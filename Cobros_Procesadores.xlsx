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dyen" sheetId="2" state="visible" r:id="rId2"/>
    <sheet name="Nuvei" sheetId="3" state="visible" r:id="rId3"/>
    <sheet name="Shift4" sheetId="4" state="visible" r:id="rId4"/>
    <sheet name="Paysaf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[Red](#,##0)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  <color rgb="00808080"/>
      <sz val="9"/>
    </font>
    <font>
      <b val="1"/>
      <color rgb="00FFFFFF"/>
    </font>
    <font>
      <b val="1"/>
      <sz val="13"/>
    </font>
    <font>
      <i val="1"/>
      <color rgb="0080808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7A4E1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1F7A3D"/>
      </patternFill>
    </fill>
    <fill>
      <patternFill patternType="solid">
        <fgColor rgb="002E5496"/>
      </patternFill>
    </fill>
    <fill>
      <patternFill patternType="solid">
        <fgColor rgb="006A1F7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0" fontId="2" fillId="3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166" fontId="2" fillId="6" borderId="0" pivotButton="0" quotePrefix="0" xfId="0"/>
    <xf numFmtId="0" fontId="2" fillId="3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6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2" fillId="4" borderId="0" pivotButton="0" quotePrefix="0" xfId="0"/>
    <xf numFmtId="165" fontId="0" fillId="0" borderId="1" pivotButton="0" quotePrefix="0" xfId="0"/>
    <xf numFmtId="0" fontId="1" fillId="7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7" customWidth="1" min="8" max="8"/>
    <col width="8" customWidth="1" min="9" max="9"/>
    <col width="1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hidden="1" width="13" customWidth="1" min="40" max="40"/>
    <col hidden="1" width="13" customWidth="1" min="41" max="41"/>
  </cols>
  <sheetData>
    <row r="1">
      <c r="A1" s="1" t="inlineStr">
        <is>
          <t>RESUMEN — TOTAL NETO COBRADO POR DÍA (TODOS LOS PROCESADORES)</t>
        </is>
      </c>
    </row>
    <row r="3">
      <c r="A3" s="2" t="inlineStr">
        <is>
          <t>Suma automáticamente lo que se liquida cada día (ya neto de comisión y refund) en Adyen, Nuvei, Shift4 y Paysafe.</t>
        </is>
      </c>
      <c r="H3" s="3" t="inlineStr">
        <is>
          <t>CIERRE SEMANAL — para Temporary Restriction (Ventas − Fees = Venta Neta · Collected · Retenido)</t>
        </is>
      </c>
    </row>
    <row r="4">
      <c r="H4" s="2" t="inlineStr">
        <is>
          <t>Por semana ISO y procesador. Venta Neta = Ventas − Fees (ventas limpias de comisiones). Retenido = neto vendido hasta el domingo y aún sin liquidar.</t>
        </is>
      </c>
    </row>
    <row r="5">
      <c r="A5" s="4" t="inlineStr">
        <is>
          <t>Fecha</t>
        </is>
      </c>
      <c r="B5" s="4" t="inlineStr">
        <is>
          <t>Adyen</t>
        </is>
      </c>
      <c r="C5" s="4" t="inlineStr">
        <is>
          <t>Nuvei</t>
        </is>
      </c>
      <c r="D5" s="4" t="inlineStr">
        <is>
          <t>Shift4</t>
        </is>
      </c>
      <c r="E5" s="4" t="inlineStr">
        <is>
          <t>Paysafe</t>
        </is>
      </c>
      <c r="F5" s="4" t="inlineStr">
        <is>
          <t>Total Neto del día</t>
        </is>
      </c>
      <c r="H5" s="5" t="inlineStr">
        <is>
          <t>Año</t>
        </is>
      </c>
      <c r="I5" s="5" t="inlineStr">
        <is>
          <t>Semana</t>
        </is>
      </c>
      <c r="J5" s="5" t="inlineStr">
        <is>
          <t>Fechas</t>
        </is>
      </c>
      <c r="K5" s="6" t="inlineStr">
        <is>
          <t>Adyen</t>
        </is>
      </c>
      <c r="L5" s="7" t="n"/>
      <c r="M5" s="7" t="n"/>
      <c r="N5" s="7" t="n"/>
      <c r="O5" s="7" t="n"/>
      <c r="P5" s="6" t="inlineStr">
        <is>
          <t>Nuvei</t>
        </is>
      </c>
      <c r="Q5" s="7" t="n"/>
      <c r="R5" s="7" t="n"/>
      <c r="S5" s="7" t="n"/>
      <c r="T5" s="7" t="n"/>
      <c r="U5" s="6" t="inlineStr">
        <is>
          <t>Shift4</t>
        </is>
      </c>
      <c r="V5" s="7" t="n"/>
      <c r="W5" s="7" t="n"/>
      <c r="X5" s="7" t="n"/>
      <c r="Y5" s="7" t="n"/>
      <c r="Z5" s="6" t="inlineStr">
        <is>
          <t>Paysafe</t>
        </is>
      </c>
      <c r="AA5" s="7" t="n"/>
      <c r="AB5" s="7" t="n"/>
      <c r="AC5" s="7" t="n"/>
      <c r="AD5" s="7" t="n"/>
      <c r="AE5" s="6" t="inlineStr">
        <is>
          <t>TOTAL</t>
        </is>
      </c>
      <c r="AF5" s="7" t="n"/>
      <c r="AG5" s="7" t="n"/>
      <c r="AH5" s="7" t="n"/>
      <c r="AI5" s="7" t="n"/>
    </row>
    <row r="6">
      <c r="A6" s="8" t="n">
        <v>45926</v>
      </c>
      <c r="B6" s="9">
        <f>SUMIFS('Adyen'!$E$11:$E$207,'Adyen'!$G$11:$G$207,$A6)</f>
        <v/>
      </c>
      <c r="C6" s="9">
        <f>SUMIFS('Nuvei'!$E$11:$E$296,'Nuvei'!$G$11:$G$296,$A6)</f>
        <v/>
      </c>
      <c r="D6" s="9">
        <f>SUMIFS('Shift4'!$E$11:$E$116,'Shift4'!$G$11:$G$116,$A6)</f>
        <v/>
      </c>
      <c r="E6" s="9">
        <f>SUMIFS('Paysafe'!$E$11:$E$44,'Paysafe'!$G$11:$G$44,$A6)</f>
        <v/>
      </c>
      <c r="F6" s="10">
        <f>SUM(B6:E6)</f>
        <v/>
      </c>
      <c r="H6" s="7" t="n"/>
      <c r="I6" s="7" t="n"/>
      <c r="J6" s="7" t="n"/>
      <c r="K6" s="11" t="inlineStr">
        <is>
          <t>Ventas</t>
        </is>
      </c>
      <c r="L6" s="11" t="inlineStr">
        <is>
          <t>Fees</t>
        </is>
      </c>
      <c r="M6" s="11" t="inlineStr">
        <is>
          <t>Venta Neta</t>
        </is>
      </c>
      <c r="N6" s="11" t="inlineStr">
        <is>
          <t>Collected</t>
        </is>
      </c>
      <c r="O6" s="11" t="inlineStr">
        <is>
          <t>Retenido</t>
        </is>
      </c>
      <c r="P6" s="11" t="inlineStr">
        <is>
          <t>Ventas</t>
        </is>
      </c>
      <c r="Q6" s="11" t="inlineStr">
        <is>
          <t>Fees</t>
        </is>
      </c>
      <c r="R6" s="11" t="inlineStr">
        <is>
          <t>Venta Neta</t>
        </is>
      </c>
      <c r="S6" s="11" t="inlineStr">
        <is>
          <t>Collected</t>
        </is>
      </c>
      <c r="T6" s="11" t="inlineStr">
        <is>
          <t>Retenido</t>
        </is>
      </c>
      <c r="U6" s="11" t="inlineStr">
        <is>
          <t>Ventas</t>
        </is>
      </c>
      <c r="V6" s="11" t="inlineStr">
        <is>
          <t>Fees</t>
        </is>
      </c>
      <c r="W6" s="11" t="inlineStr">
        <is>
          <t>Venta Neta</t>
        </is>
      </c>
      <c r="X6" s="11" t="inlineStr">
        <is>
          <t>Collected</t>
        </is>
      </c>
      <c r="Y6" s="11" t="inlineStr">
        <is>
          <t>Retenido</t>
        </is>
      </c>
      <c r="Z6" s="11" t="inlineStr">
        <is>
          <t>Ventas</t>
        </is>
      </c>
      <c r="AA6" s="11" t="inlineStr">
        <is>
          <t>Fees</t>
        </is>
      </c>
      <c r="AB6" s="11" t="inlineStr">
        <is>
          <t>Venta Neta</t>
        </is>
      </c>
      <c r="AC6" s="11" t="inlineStr">
        <is>
          <t>Collected</t>
        </is>
      </c>
      <c r="AD6" s="11" t="inlineStr">
        <is>
          <t>Retenido</t>
        </is>
      </c>
      <c r="AE6" s="11" t="inlineStr">
        <is>
          <t>Ventas</t>
        </is>
      </c>
      <c r="AF6" s="11" t="inlineStr">
        <is>
          <t>Fees</t>
        </is>
      </c>
      <c r="AG6" s="11" t="inlineStr">
        <is>
          <t>Venta Neta</t>
        </is>
      </c>
      <c r="AH6" s="11" t="inlineStr">
        <is>
          <t>Collected</t>
        </is>
      </c>
      <c r="AI6" s="11" t="inlineStr">
        <is>
          <t>Retenido</t>
        </is>
      </c>
    </row>
    <row r="7">
      <c r="A7" s="8" t="n">
        <v>45927</v>
      </c>
      <c r="B7" s="9">
        <f>SUMIFS('Adyen'!$E$11:$E$207,'Adyen'!$G$11:$G$207,$A7)</f>
        <v/>
      </c>
      <c r="C7" s="9">
        <f>SUMIFS('Nuvei'!$E$11:$E$296,'Nuvei'!$G$11:$G$296,$A7)</f>
        <v/>
      </c>
      <c r="D7" s="9">
        <f>SUMIFS('Shift4'!$E$11:$E$116,'Shift4'!$G$11:$G$116,$A7)</f>
        <v/>
      </c>
      <c r="E7" s="9">
        <f>SUMIFS('Paysafe'!$E$11:$E$44,'Paysafe'!$G$11:$G$44,$A7)</f>
        <v/>
      </c>
      <c r="F7" s="10">
        <f>SUM(B7:E7)</f>
        <v/>
      </c>
      <c r="H7" t="n">
        <v>2025</v>
      </c>
      <c r="I7" t="inlineStr">
        <is>
          <t>W39</t>
        </is>
      </c>
      <c r="J7" t="inlineStr">
        <is>
          <t>22/09 - 28/09/2025</t>
        </is>
      </c>
      <c r="K7" s="9">
        <f>SUMIFS('Adyen'!$B$11:$B$207,'Adyen'!$A$11:$A$207,"&gt;="&amp;$AN7,'Adyen'!$A$11:$A$207,"&lt;="&amp;$AO7)</f>
        <v/>
      </c>
      <c r="L7" s="9">
        <f>SUMIFS('Adyen'!$C$11:$C$207,'Adyen'!$A$11:$A$207,"&gt;="&amp;$AN7,'Adyen'!$A$11:$A$207,"&lt;="&amp;$AO7)</f>
        <v/>
      </c>
      <c r="M7" s="9">
        <f>K7-L7</f>
        <v/>
      </c>
      <c r="N7" s="9">
        <f>SUMIFS('Adyen'!$E$11:$E$207,'Adyen'!$G$11:$G$207,"&gt;="&amp;$AN7,'Adyen'!$G$11:$G$207,"&lt;="&amp;$AO7)</f>
        <v/>
      </c>
      <c r="O7" s="9">
        <f>SUMIFS('Adyen'!$E$11:$E$207,'Adyen'!$A$11:$A$207,"&lt;="&amp;$AO7,'Adyen'!$G$11:$G$207,"&gt;"&amp;$AO7)</f>
        <v/>
      </c>
      <c r="P7" s="9">
        <f>SUMIFS('Nuvei'!$B$11:$B$296,'Nuvei'!$A$11:$A$296,"&gt;="&amp;$AN7,'Nuvei'!$A$11:$A$296,"&lt;="&amp;$AO7)</f>
        <v/>
      </c>
      <c r="Q7" s="9">
        <f>SUMIFS('Nuvei'!$C$11:$C$296,'Nuvei'!$A$11:$A$296,"&gt;="&amp;$AN7,'Nuvei'!$A$11:$A$296,"&lt;="&amp;$AO7)</f>
        <v/>
      </c>
      <c r="R7" s="9">
        <f>P7-Q7</f>
        <v/>
      </c>
      <c r="S7" s="9">
        <f>SUMIFS('Nuvei'!$E$11:$E$296,'Nuvei'!$G$11:$G$296,"&gt;="&amp;$AN7,'Nuvei'!$G$11:$G$296,"&lt;="&amp;$AO7)</f>
        <v/>
      </c>
      <c r="T7" s="9">
        <f>SUMIFS('Nuvei'!$E$11:$E$296,'Nuvei'!$A$11:$A$296,"&lt;="&amp;$AO7,'Nuvei'!$G$11:$G$296,"&gt;"&amp;$AO7)</f>
        <v/>
      </c>
      <c r="U7" s="9">
        <f>SUMIFS('Shift4'!$B$11:$B$116,'Shift4'!$A$11:$A$116,"&gt;="&amp;$AN7,'Shift4'!$A$11:$A$116,"&lt;="&amp;$AO7)</f>
        <v/>
      </c>
      <c r="V7" s="9">
        <f>SUMIFS('Shift4'!$C$11:$C$116,'Shift4'!$A$11:$A$116,"&gt;="&amp;$AN7,'Shift4'!$A$11:$A$116,"&lt;="&amp;$AO7)</f>
        <v/>
      </c>
      <c r="W7" s="9">
        <f>U7-V7</f>
        <v/>
      </c>
      <c r="X7" s="9">
        <f>SUMIFS('Shift4'!$E$11:$E$116,'Shift4'!$G$11:$G$116,"&gt;="&amp;$AN7,'Shift4'!$G$11:$G$116,"&lt;="&amp;$AO7)</f>
        <v/>
      </c>
      <c r="Y7" s="9">
        <f>SUMIFS('Shift4'!$E$11:$E$116,'Shift4'!$A$11:$A$116,"&lt;="&amp;$AO7,'Shift4'!$G$11:$G$116,"&gt;"&amp;$AO7)</f>
        <v/>
      </c>
      <c r="Z7" s="9">
        <f>SUMIFS('Paysafe'!$B$11:$B$44,'Paysafe'!$A$11:$A$44,"&gt;="&amp;$AN7,'Paysafe'!$A$11:$A$44,"&lt;="&amp;$AO7)</f>
        <v/>
      </c>
      <c r="AA7" s="9">
        <f>SUMIFS('Paysafe'!$C$11:$C$44,'Paysafe'!$A$11:$A$44,"&gt;="&amp;$AN7,'Paysafe'!$A$11:$A$44,"&lt;="&amp;$AO7)</f>
        <v/>
      </c>
      <c r="AB7" s="9">
        <f>Z7-AA7</f>
        <v/>
      </c>
      <c r="AC7" s="9">
        <f>SUMIFS('Paysafe'!$E$11:$E$44,'Paysafe'!$G$11:$G$44,"&gt;="&amp;$AN7,'Paysafe'!$G$11:$G$44,"&lt;="&amp;$AO7)</f>
        <v/>
      </c>
      <c r="AD7" s="9">
        <f>SUMIFS('Paysafe'!$E$11:$E$44,'Paysafe'!$A$11:$A$44,"&lt;="&amp;$AO7,'Paysafe'!$G$11:$G$44,"&gt;"&amp;$AO7)</f>
        <v/>
      </c>
      <c r="AE7" s="10">
        <f>K7+P7+U7+Z7</f>
        <v/>
      </c>
      <c r="AF7" s="10">
        <f>L7+Q7+V7+AA7</f>
        <v/>
      </c>
      <c r="AG7" s="10">
        <f>M7+R7+W7+AB7</f>
        <v/>
      </c>
      <c r="AH7" s="10">
        <f>N7+S7+X7+AC7</f>
        <v/>
      </c>
      <c r="AI7" s="10">
        <f>O7+T7+Y7+AD7</f>
        <v/>
      </c>
      <c r="AN7" s="8" t="n">
        <v>45922</v>
      </c>
      <c r="AO7" s="8" t="n">
        <v>45928</v>
      </c>
    </row>
    <row r="8">
      <c r="A8" s="8" t="n">
        <v>45928</v>
      </c>
      <c r="B8" s="9">
        <f>SUMIFS('Adyen'!$E$11:$E$207,'Adyen'!$G$11:$G$207,$A8)</f>
        <v/>
      </c>
      <c r="C8" s="9">
        <f>SUMIFS('Nuvei'!$E$11:$E$296,'Nuvei'!$G$11:$G$296,$A8)</f>
        <v/>
      </c>
      <c r="D8" s="9">
        <f>SUMIFS('Shift4'!$E$11:$E$116,'Shift4'!$G$11:$G$116,$A8)</f>
        <v/>
      </c>
      <c r="E8" s="9">
        <f>SUMIFS('Paysafe'!$E$11:$E$44,'Paysafe'!$G$11:$G$44,$A8)</f>
        <v/>
      </c>
      <c r="F8" s="10">
        <f>SUM(B8:E8)</f>
        <v/>
      </c>
      <c r="H8" t="n">
        <v>2025</v>
      </c>
      <c r="I8" t="inlineStr">
        <is>
          <t>W40</t>
        </is>
      </c>
      <c r="J8" t="inlineStr">
        <is>
          <t>29/09 - 05/10/2025</t>
        </is>
      </c>
      <c r="K8" s="9">
        <f>SUMIFS('Adyen'!$B$11:$B$207,'Adyen'!$A$11:$A$207,"&gt;="&amp;$AN8,'Adyen'!$A$11:$A$207,"&lt;="&amp;$AO8)</f>
        <v/>
      </c>
      <c r="L8" s="9">
        <f>SUMIFS('Adyen'!$C$11:$C$207,'Adyen'!$A$11:$A$207,"&gt;="&amp;$AN8,'Adyen'!$A$11:$A$207,"&lt;="&amp;$AO8)</f>
        <v/>
      </c>
      <c r="M8" s="9">
        <f>K8-L8</f>
        <v/>
      </c>
      <c r="N8" s="9">
        <f>SUMIFS('Adyen'!$E$11:$E$207,'Adyen'!$G$11:$G$207,"&gt;="&amp;$AN8,'Adyen'!$G$11:$G$207,"&lt;="&amp;$AO8)</f>
        <v/>
      </c>
      <c r="O8" s="9">
        <f>SUMIFS('Adyen'!$E$11:$E$207,'Adyen'!$A$11:$A$207,"&lt;="&amp;$AO8,'Adyen'!$G$11:$G$207,"&gt;"&amp;$AO8)</f>
        <v/>
      </c>
      <c r="P8" s="9">
        <f>SUMIFS('Nuvei'!$B$11:$B$296,'Nuvei'!$A$11:$A$296,"&gt;="&amp;$AN8,'Nuvei'!$A$11:$A$296,"&lt;="&amp;$AO8)</f>
        <v/>
      </c>
      <c r="Q8" s="9">
        <f>SUMIFS('Nuvei'!$C$11:$C$296,'Nuvei'!$A$11:$A$296,"&gt;="&amp;$AN8,'Nuvei'!$A$11:$A$296,"&lt;="&amp;$AO8)</f>
        <v/>
      </c>
      <c r="R8" s="9">
        <f>P8-Q8</f>
        <v/>
      </c>
      <c r="S8" s="9">
        <f>SUMIFS('Nuvei'!$E$11:$E$296,'Nuvei'!$G$11:$G$296,"&gt;="&amp;$AN8,'Nuvei'!$G$11:$G$296,"&lt;="&amp;$AO8)</f>
        <v/>
      </c>
      <c r="T8" s="9">
        <f>SUMIFS('Nuvei'!$E$11:$E$296,'Nuvei'!$A$11:$A$296,"&lt;="&amp;$AO8,'Nuvei'!$G$11:$G$296,"&gt;"&amp;$AO8)</f>
        <v/>
      </c>
      <c r="U8" s="9">
        <f>SUMIFS('Shift4'!$B$11:$B$116,'Shift4'!$A$11:$A$116,"&gt;="&amp;$AN8,'Shift4'!$A$11:$A$116,"&lt;="&amp;$AO8)</f>
        <v/>
      </c>
      <c r="V8" s="9">
        <f>SUMIFS('Shift4'!$C$11:$C$116,'Shift4'!$A$11:$A$116,"&gt;="&amp;$AN8,'Shift4'!$A$11:$A$116,"&lt;="&amp;$AO8)</f>
        <v/>
      </c>
      <c r="W8" s="9">
        <f>U8-V8</f>
        <v/>
      </c>
      <c r="X8" s="9">
        <f>SUMIFS('Shift4'!$E$11:$E$116,'Shift4'!$G$11:$G$116,"&gt;="&amp;$AN8,'Shift4'!$G$11:$G$116,"&lt;="&amp;$AO8)</f>
        <v/>
      </c>
      <c r="Y8" s="9">
        <f>SUMIFS('Shift4'!$E$11:$E$116,'Shift4'!$A$11:$A$116,"&lt;="&amp;$AO8,'Shift4'!$G$11:$G$116,"&gt;"&amp;$AO8)</f>
        <v/>
      </c>
      <c r="Z8" s="9">
        <f>SUMIFS('Paysafe'!$B$11:$B$44,'Paysafe'!$A$11:$A$44,"&gt;="&amp;$AN8,'Paysafe'!$A$11:$A$44,"&lt;="&amp;$AO8)</f>
        <v/>
      </c>
      <c r="AA8" s="9">
        <f>SUMIFS('Paysafe'!$C$11:$C$44,'Paysafe'!$A$11:$A$44,"&gt;="&amp;$AN8,'Paysafe'!$A$11:$A$44,"&lt;="&amp;$AO8)</f>
        <v/>
      </c>
      <c r="AB8" s="9">
        <f>Z8-AA8</f>
        <v/>
      </c>
      <c r="AC8" s="9">
        <f>SUMIFS('Paysafe'!$E$11:$E$44,'Paysafe'!$G$11:$G$44,"&gt;="&amp;$AN8,'Paysafe'!$G$11:$G$44,"&lt;="&amp;$AO8)</f>
        <v/>
      </c>
      <c r="AD8" s="9">
        <f>SUMIFS('Paysafe'!$E$11:$E$44,'Paysafe'!$A$11:$A$44,"&lt;="&amp;$AO8,'Paysafe'!$G$11:$G$44,"&gt;"&amp;$AO8)</f>
        <v/>
      </c>
      <c r="AE8" s="10">
        <f>K8+P8+U8+Z8</f>
        <v/>
      </c>
      <c r="AF8" s="10">
        <f>L8+Q8+V8+AA8</f>
        <v/>
      </c>
      <c r="AG8" s="10">
        <f>M8+R8+W8+AB8</f>
        <v/>
      </c>
      <c r="AH8" s="10">
        <f>N8+S8+X8+AC8</f>
        <v/>
      </c>
      <c r="AI8" s="10">
        <f>O8+T8+Y8+AD8</f>
        <v/>
      </c>
      <c r="AN8" s="8" t="n">
        <v>45929</v>
      </c>
      <c r="AO8" s="8" t="n">
        <v>45935</v>
      </c>
    </row>
    <row r="9">
      <c r="A9" s="8" t="n">
        <v>45929</v>
      </c>
      <c r="B9" s="9">
        <f>SUMIFS('Adyen'!$E$11:$E$207,'Adyen'!$G$11:$G$207,$A9)</f>
        <v/>
      </c>
      <c r="C9" s="9">
        <f>SUMIFS('Nuvei'!$E$11:$E$296,'Nuvei'!$G$11:$G$296,$A9)</f>
        <v/>
      </c>
      <c r="D9" s="9">
        <f>SUMIFS('Shift4'!$E$11:$E$116,'Shift4'!$G$11:$G$116,$A9)</f>
        <v/>
      </c>
      <c r="E9" s="9">
        <f>SUMIFS('Paysafe'!$E$11:$E$44,'Paysafe'!$G$11:$G$44,$A9)</f>
        <v/>
      </c>
      <c r="F9" s="10">
        <f>SUM(B9:E9)</f>
        <v/>
      </c>
      <c r="H9" t="n">
        <v>2025</v>
      </c>
      <c r="I9" t="inlineStr">
        <is>
          <t>W41</t>
        </is>
      </c>
      <c r="J9" t="inlineStr">
        <is>
          <t>06/10 - 12/10/2025</t>
        </is>
      </c>
      <c r="K9" s="9">
        <f>SUMIFS('Adyen'!$B$11:$B$207,'Adyen'!$A$11:$A$207,"&gt;="&amp;$AN9,'Adyen'!$A$11:$A$207,"&lt;="&amp;$AO9)</f>
        <v/>
      </c>
      <c r="L9" s="9">
        <f>SUMIFS('Adyen'!$C$11:$C$207,'Adyen'!$A$11:$A$207,"&gt;="&amp;$AN9,'Adyen'!$A$11:$A$207,"&lt;="&amp;$AO9)</f>
        <v/>
      </c>
      <c r="M9" s="9">
        <f>K9-L9</f>
        <v/>
      </c>
      <c r="N9" s="9">
        <f>SUMIFS('Adyen'!$E$11:$E$207,'Adyen'!$G$11:$G$207,"&gt;="&amp;$AN9,'Adyen'!$G$11:$G$207,"&lt;="&amp;$AO9)</f>
        <v/>
      </c>
      <c r="O9" s="9">
        <f>SUMIFS('Adyen'!$E$11:$E$207,'Adyen'!$A$11:$A$207,"&lt;="&amp;$AO9,'Adyen'!$G$11:$G$207,"&gt;"&amp;$AO9)</f>
        <v/>
      </c>
      <c r="P9" s="9">
        <f>SUMIFS('Nuvei'!$B$11:$B$296,'Nuvei'!$A$11:$A$296,"&gt;="&amp;$AN9,'Nuvei'!$A$11:$A$296,"&lt;="&amp;$AO9)</f>
        <v/>
      </c>
      <c r="Q9" s="9">
        <f>SUMIFS('Nuvei'!$C$11:$C$296,'Nuvei'!$A$11:$A$296,"&gt;="&amp;$AN9,'Nuvei'!$A$11:$A$296,"&lt;="&amp;$AO9)</f>
        <v/>
      </c>
      <c r="R9" s="9">
        <f>P9-Q9</f>
        <v/>
      </c>
      <c r="S9" s="9">
        <f>SUMIFS('Nuvei'!$E$11:$E$296,'Nuvei'!$G$11:$G$296,"&gt;="&amp;$AN9,'Nuvei'!$G$11:$G$296,"&lt;="&amp;$AO9)</f>
        <v/>
      </c>
      <c r="T9" s="9">
        <f>SUMIFS('Nuvei'!$E$11:$E$296,'Nuvei'!$A$11:$A$296,"&lt;="&amp;$AO9,'Nuvei'!$G$11:$G$296,"&gt;"&amp;$AO9)</f>
        <v/>
      </c>
      <c r="U9" s="9">
        <f>SUMIFS('Shift4'!$B$11:$B$116,'Shift4'!$A$11:$A$116,"&gt;="&amp;$AN9,'Shift4'!$A$11:$A$116,"&lt;="&amp;$AO9)</f>
        <v/>
      </c>
      <c r="V9" s="9">
        <f>SUMIFS('Shift4'!$C$11:$C$116,'Shift4'!$A$11:$A$116,"&gt;="&amp;$AN9,'Shift4'!$A$11:$A$116,"&lt;="&amp;$AO9)</f>
        <v/>
      </c>
      <c r="W9" s="9">
        <f>U9-V9</f>
        <v/>
      </c>
      <c r="X9" s="9">
        <f>SUMIFS('Shift4'!$E$11:$E$116,'Shift4'!$G$11:$G$116,"&gt;="&amp;$AN9,'Shift4'!$G$11:$G$116,"&lt;="&amp;$AO9)</f>
        <v/>
      </c>
      <c r="Y9" s="9">
        <f>SUMIFS('Shift4'!$E$11:$E$116,'Shift4'!$A$11:$A$116,"&lt;="&amp;$AO9,'Shift4'!$G$11:$G$116,"&gt;"&amp;$AO9)</f>
        <v/>
      </c>
      <c r="Z9" s="9">
        <f>SUMIFS('Paysafe'!$B$11:$B$44,'Paysafe'!$A$11:$A$44,"&gt;="&amp;$AN9,'Paysafe'!$A$11:$A$44,"&lt;="&amp;$AO9)</f>
        <v/>
      </c>
      <c r="AA9" s="9">
        <f>SUMIFS('Paysafe'!$C$11:$C$44,'Paysafe'!$A$11:$A$44,"&gt;="&amp;$AN9,'Paysafe'!$A$11:$A$44,"&lt;="&amp;$AO9)</f>
        <v/>
      </c>
      <c r="AB9" s="9">
        <f>Z9-AA9</f>
        <v/>
      </c>
      <c r="AC9" s="9">
        <f>SUMIFS('Paysafe'!$E$11:$E$44,'Paysafe'!$G$11:$G$44,"&gt;="&amp;$AN9,'Paysafe'!$G$11:$G$44,"&lt;="&amp;$AO9)</f>
        <v/>
      </c>
      <c r="AD9" s="9">
        <f>SUMIFS('Paysafe'!$E$11:$E$44,'Paysafe'!$A$11:$A$44,"&lt;="&amp;$AO9,'Paysafe'!$G$11:$G$44,"&gt;"&amp;$AO9)</f>
        <v/>
      </c>
      <c r="AE9" s="10">
        <f>K9+P9+U9+Z9</f>
        <v/>
      </c>
      <c r="AF9" s="10">
        <f>L9+Q9+V9+AA9</f>
        <v/>
      </c>
      <c r="AG9" s="10">
        <f>M9+R9+W9+AB9</f>
        <v/>
      </c>
      <c r="AH9" s="10">
        <f>N9+S9+X9+AC9</f>
        <v/>
      </c>
      <c r="AI9" s="10">
        <f>O9+T9+Y9+AD9</f>
        <v/>
      </c>
      <c r="AN9" s="8" t="n">
        <v>45936</v>
      </c>
      <c r="AO9" s="8" t="n">
        <v>45942</v>
      </c>
    </row>
    <row r="10">
      <c r="A10" s="8" t="n">
        <v>45930</v>
      </c>
      <c r="B10" s="9">
        <f>SUMIFS('Adyen'!$E$11:$E$207,'Adyen'!$G$11:$G$207,$A10)</f>
        <v/>
      </c>
      <c r="C10" s="9">
        <f>SUMIFS('Nuvei'!$E$11:$E$296,'Nuvei'!$G$11:$G$296,$A10)</f>
        <v/>
      </c>
      <c r="D10" s="9">
        <f>SUMIFS('Shift4'!$E$11:$E$116,'Shift4'!$G$11:$G$116,$A10)</f>
        <v/>
      </c>
      <c r="E10" s="9">
        <f>SUMIFS('Paysafe'!$E$11:$E$44,'Paysafe'!$G$11:$G$44,$A10)</f>
        <v/>
      </c>
      <c r="F10" s="10">
        <f>SUM(B10:E10)</f>
        <v/>
      </c>
      <c r="H10" t="n">
        <v>2025</v>
      </c>
      <c r="I10" t="inlineStr">
        <is>
          <t>W42</t>
        </is>
      </c>
      <c r="J10" t="inlineStr">
        <is>
          <t>13/10 - 19/10/2025</t>
        </is>
      </c>
      <c r="K10" s="9">
        <f>SUMIFS('Adyen'!$B$11:$B$207,'Adyen'!$A$11:$A$207,"&gt;="&amp;$AN10,'Adyen'!$A$11:$A$207,"&lt;="&amp;$AO10)</f>
        <v/>
      </c>
      <c r="L10" s="9">
        <f>SUMIFS('Adyen'!$C$11:$C$207,'Adyen'!$A$11:$A$207,"&gt;="&amp;$AN10,'Adyen'!$A$11:$A$207,"&lt;="&amp;$AO10)</f>
        <v/>
      </c>
      <c r="M10" s="9">
        <f>K10-L10</f>
        <v/>
      </c>
      <c r="N10" s="9">
        <f>SUMIFS('Adyen'!$E$11:$E$207,'Adyen'!$G$11:$G$207,"&gt;="&amp;$AN10,'Adyen'!$G$11:$G$207,"&lt;="&amp;$AO10)</f>
        <v/>
      </c>
      <c r="O10" s="9">
        <f>SUMIFS('Adyen'!$E$11:$E$207,'Adyen'!$A$11:$A$207,"&lt;="&amp;$AO10,'Adyen'!$G$11:$G$207,"&gt;"&amp;$AO10)</f>
        <v/>
      </c>
      <c r="P10" s="9">
        <f>SUMIFS('Nuvei'!$B$11:$B$296,'Nuvei'!$A$11:$A$296,"&gt;="&amp;$AN10,'Nuvei'!$A$11:$A$296,"&lt;="&amp;$AO10)</f>
        <v/>
      </c>
      <c r="Q10" s="9">
        <f>SUMIFS('Nuvei'!$C$11:$C$296,'Nuvei'!$A$11:$A$296,"&gt;="&amp;$AN10,'Nuvei'!$A$11:$A$296,"&lt;="&amp;$AO10)</f>
        <v/>
      </c>
      <c r="R10" s="9">
        <f>P10-Q10</f>
        <v/>
      </c>
      <c r="S10" s="9">
        <f>SUMIFS('Nuvei'!$E$11:$E$296,'Nuvei'!$G$11:$G$296,"&gt;="&amp;$AN10,'Nuvei'!$G$11:$G$296,"&lt;="&amp;$AO10)</f>
        <v/>
      </c>
      <c r="T10" s="9">
        <f>SUMIFS('Nuvei'!$E$11:$E$296,'Nuvei'!$A$11:$A$296,"&lt;="&amp;$AO10,'Nuvei'!$G$11:$G$296,"&gt;"&amp;$AO10)</f>
        <v/>
      </c>
      <c r="U10" s="9">
        <f>SUMIFS('Shift4'!$B$11:$B$116,'Shift4'!$A$11:$A$116,"&gt;="&amp;$AN10,'Shift4'!$A$11:$A$116,"&lt;="&amp;$AO10)</f>
        <v/>
      </c>
      <c r="V10" s="9">
        <f>SUMIFS('Shift4'!$C$11:$C$116,'Shift4'!$A$11:$A$116,"&gt;="&amp;$AN10,'Shift4'!$A$11:$A$116,"&lt;="&amp;$AO10)</f>
        <v/>
      </c>
      <c r="W10" s="9">
        <f>U10-V10</f>
        <v/>
      </c>
      <c r="X10" s="9">
        <f>SUMIFS('Shift4'!$E$11:$E$116,'Shift4'!$G$11:$G$116,"&gt;="&amp;$AN10,'Shift4'!$G$11:$G$116,"&lt;="&amp;$AO10)</f>
        <v/>
      </c>
      <c r="Y10" s="9">
        <f>SUMIFS('Shift4'!$E$11:$E$116,'Shift4'!$A$11:$A$116,"&lt;="&amp;$AO10,'Shift4'!$G$11:$G$116,"&gt;"&amp;$AO10)</f>
        <v/>
      </c>
      <c r="Z10" s="9">
        <f>SUMIFS('Paysafe'!$B$11:$B$44,'Paysafe'!$A$11:$A$44,"&gt;="&amp;$AN10,'Paysafe'!$A$11:$A$44,"&lt;="&amp;$AO10)</f>
        <v/>
      </c>
      <c r="AA10" s="9">
        <f>SUMIFS('Paysafe'!$C$11:$C$44,'Paysafe'!$A$11:$A$44,"&gt;="&amp;$AN10,'Paysafe'!$A$11:$A$44,"&lt;="&amp;$AO10)</f>
        <v/>
      </c>
      <c r="AB10" s="9">
        <f>Z10-AA10</f>
        <v/>
      </c>
      <c r="AC10" s="9">
        <f>SUMIFS('Paysafe'!$E$11:$E$44,'Paysafe'!$G$11:$G$44,"&gt;="&amp;$AN10,'Paysafe'!$G$11:$G$44,"&lt;="&amp;$AO10)</f>
        <v/>
      </c>
      <c r="AD10" s="9">
        <f>SUMIFS('Paysafe'!$E$11:$E$44,'Paysafe'!$A$11:$A$44,"&lt;="&amp;$AO10,'Paysafe'!$G$11:$G$44,"&gt;"&amp;$AO10)</f>
        <v/>
      </c>
      <c r="AE10" s="10">
        <f>K10+P10+U10+Z10</f>
        <v/>
      </c>
      <c r="AF10" s="10">
        <f>L10+Q10+V10+AA10</f>
        <v/>
      </c>
      <c r="AG10" s="10">
        <f>M10+R10+W10+AB10</f>
        <v/>
      </c>
      <c r="AH10" s="10">
        <f>N10+S10+X10+AC10</f>
        <v/>
      </c>
      <c r="AI10" s="10">
        <f>O10+T10+Y10+AD10</f>
        <v/>
      </c>
      <c r="AN10" s="8" t="n">
        <v>45943</v>
      </c>
      <c r="AO10" s="8" t="n">
        <v>45949</v>
      </c>
    </row>
    <row r="11">
      <c r="A11" s="8" t="n">
        <v>45931</v>
      </c>
      <c r="B11" s="9">
        <f>SUMIFS('Adyen'!$E$11:$E$207,'Adyen'!$G$11:$G$207,$A11)</f>
        <v/>
      </c>
      <c r="C11" s="9">
        <f>SUMIFS('Nuvei'!$E$11:$E$296,'Nuvei'!$G$11:$G$296,$A11)</f>
        <v/>
      </c>
      <c r="D11" s="9">
        <f>SUMIFS('Shift4'!$E$11:$E$116,'Shift4'!$G$11:$G$116,$A11)</f>
        <v/>
      </c>
      <c r="E11" s="9">
        <f>SUMIFS('Paysafe'!$E$11:$E$44,'Paysafe'!$G$11:$G$44,$A11)</f>
        <v/>
      </c>
      <c r="F11" s="10">
        <f>SUM(B11:E11)</f>
        <v/>
      </c>
      <c r="H11" t="n">
        <v>2025</v>
      </c>
      <c r="I11" t="inlineStr">
        <is>
          <t>W43</t>
        </is>
      </c>
      <c r="J11" t="inlineStr">
        <is>
          <t>20/10 - 26/10/2025</t>
        </is>
      </c>
      <c r="K11" s="9">
        <f>SUMIFS('Adyen'!$B$11:$B$207,'Adyen'!$A$11:$A$207,"&gt;="&amp;$AN11,'Adyen'!$A$11:$A$207,"&lt;="&amp;$AO11)</f>
        <v/>
      </c>
      <c r="L11" s="9">
        <f>SUMIFS('Adyen'!$C$11:$C$207,'Adyen'!$A$11:$A$207,"&gt;="&amp;$AN11,'Adyen'!$A$11:$A$207,"&lt;="&amp;$AO11)</f>
        <v/>
      </c>
      <c r="M11" s="9">
        <f>K11-L11</f>
        <v/>
      </c>
      <c r="N11" s="9">
        <f>SUMIFS('Adyen'!$E$11:$E$207,'Adyen'!$G$11:$G$207,"&gt;="&amp;$AN11,'Adyen'!$G$11:$G$207,"&lt;="&amp;$AO11)</f>
        <v/>
      </c>
      <c r="O11" s="9">
        <f>SUMIFS('Adyen'!$E$11:$E$207,'Adyen'!$A$11:$A$207,"&lt;="&amp;$AO11,'Adyen'!$G$11:$G$207,"&gt;"&amp;$AO11)</f>
        <v/>
      </c>
      <c r="P11" s="9">
        <f>SUMIFS('Nuvei'!$B$11:$B$296,'Nuvei'!$A$11:$A$296,"&gt;="&amp;$AN11,'Nuvei'!$A$11:$A$296,"&lt;="&amp;$AO11)</f>
        <v/>
      </c>
      <c r="Q11" s="9">
        <f>SUMIFS('Nuvei'!$C$11:$C$296,'Nuvei'!$A$11:$A$296,"&gt;="&amp;$AN11,'Nuvei'!$A$11:$A$296,"&lt;="&amp;$AO11)</f>
        <v/>
      </c>
      <c r="R11" s="9">
        <f>P11-Q11</f>
        <v/>
      </c>
      <c r="S11" s="9">
        <f>SUMIFS('Nuvei'!$E$11:$E$296,'Nuvei'!$G$11:$G$296,"&gt;="&amp;$AN11,'Nuvei'!$G$11:$G$296,"&lt;="&amp;$AO11)</f>
        <v/>
      </c>
      <c r="T11" s="9">
        <f>SUMIFS('Nuvei'!$E$11:$E$296,'Nuvei'!$A$11:$A$296,"&lt;="&amp;$AO11,'Nuvei'!$G$11:$G$296,"&gt;"&amp;$AO11)</f>
        <v/>
      </c>
      <c r="U11" s="9">
        <f>SUMIFS('Shift4'!$B$11:$B$116,'Shift4'!$A$11:$A$116,"&gt;="&amp;$AN11,'Shift4'!$A$11:$A$116,"&lt;="&amp;$AO11)</f>
        <v/>
      </c>
      <c r="V11" s="9">
        <f>SUMIFS('Shift4'!$C$11:$C$116,'Shift4'!$A$11:$A$116,"&gt;="&amp;$AN11,'Shift4'!$A$11:$A$116,"&lt;="&amp;$AO11)</f>
        <v/>
      </c>
      <c r="W11" s="9">
        <f>U11-V11</f>
        <v/>
      </c>
      <c r="X11" s="9">
        <f>SUMIFS('Shift4'!$E$11:$E$116,'Shift4'!$G$11:$G$116,"&gt;="&amp;$AN11,'Shift4'!$G$11:$G$116,"&lt;="&amp;$AO11)</f>
        <v/>
      </c>
      <c r="Y11" s="9">
        <f>SUMIFS('Shift4'!$E$11:$E$116,'Shift4'!$A$11:$A$116,"&lt;="&amp;$AO11,'Shift4'!$G$11:$G$116,"&gt;"&amp;$AO11)</f>
        <v/>
      </c>
      <c r="Z11" s="9">
        <f>SUMIFS('Paysafe'!$B$11:$B$44,'Paysafe'!$A$11:$A$44,"&gt;="&amp;$AN11,'Paysafe'!$A$11:$A$44,"&lt;="&amp;$AO11)</f>
        <v/>
      </c>
      <c r="AA11" s="9">
        <f>SUMIFS('Paysafe'!$C$11:$C$44,'Paysafe'!$A$11:$A$44,"&gt;="&amp;$AN11,'Paysafe'!$A$11:$A$44,"&lt;="&amp;$AO11)</f>
        <v/>
      </c>
      <c r="AB11" s="9">
        <f>Z11-AA11</f>
        <v/>
      </c>
      <c r="AC11" s="9">
        <f>SUMIFS('Paysafe'!$E$11:$E$44,'Paysafe'!$G$11:$G$44,"&gt;="&amp;$AN11,'Paysafe'!$G$11:$G$44,"&lt;="&amp;$AO11)</f>
        <v/>
      </c>
      <c r="AD11" s="9">
        <f>SUMIFS('Paysafe'!$E$11:$E$44,'Paysafe'!$A$11:$A$44,"&lt;="&amp;$AO11,'Paysafe'!$G$11:$G$44,"&gt;"&amp;$AO11)</f>
        <v/>
      </c>
      <c r="AE11" s="10">
        <f>K11+P11+U11+Z11</f>
        <v/>
      </c>
      <c r="AF11" s="10">
        <f>L11+Q11+V11+AA11</f>
        <v/>
      </c>
      <c r="AG11" s="10">
        <f>M11+R11+W11+AB11</f>
        <v/>
      </c>
      <c r="AH11" s="10">
        <f>N11+S11+X11+AC11</f>
        <v/>
      </c>
      <c r="AI11" s="10">
        <f>O11+T11+Y11+AD11</f>
        <v/>
      </c>
      <c r="AN11" s="8" t="n">
        <v>45950</v>
      </c>
      <c r="AO11" s="8" t="n">
        <v>45956</v>
      </c>
    </row>
    <row r="12">
      <c r="A12" s="8" t="n">
        <v>45932</v>
      </c>
      <c r="B12" s="9">
        <f>SUMIFS('Adyen'!$E$11:$E$207,'Adyen'!$G$11:$G$207,$A12)</f>
        <v/>
      </c>
      <c r="C12" s="9">
        <f>SUMIFS('Nuvei'!$E$11:$E$296,'Nuvei'!$G$11:$G$296,$A12)</f>
        <v/>
      </c>
      <c r="D12" s="9">
        <f>SUMIFS('Shift4'!$E$11:$E$116,'Shift4'!$G$11:$G$116,$A12)</f>
        <v/>
      </c>
      <c r="E12" s="9">
        <f>SUMIFS('Paysafe'!$E$11:$E$44,'Paysafe'!$G$11:$G$44,$A12)</f>
        <v/>
      </c>
      <c r="F12" s="10">
        <f>SUM(B12:E12)</f>
        <v/>
      </c>
      <c r="H12" t="n">
        <v>2025</v>
      </c>
      <c r="I12" t="inlineStr">
        <is>
          <t>W44</t>
        </is>
      </c>
      <c r="J12" t="inlineStr">
        <is>
          <t>27/10 - 02/11/2025</t>
        </is>
      </c>
      <c r="K12" s="9">
        <f>SUMIFS('Adyen'!$B$11:$B$207,'Adyen'!$A$11:$A$207,"&gt;="&amp;$AN12,'Adyen'!$A$11:$A$207,"&lt;="&amp;$AO12)</f>
        <v/>
      </c>
      <c r="L12" s="9">
        <f>SUMIFS('Adyen'!$C$11:$C$207,'Adyen'!$A$11:$A$207,"&gt;="&amp;$AN12,'Adyen'!$A$11:$A$207,"&lt;="&amp;$AO12)</f>
        <v/>
      </c>
      <c r="M12" s="9">
        <f>K12-L12</f>
        <v/>
      </c>
      <c r="N12" s="9">
        <f>SUMIFS('Adyen'!$E$11:$E$207,'Adyen'!$G$11:$G$207,"&gt;="&amp;$AN12,'Adyen'!$G$11:$G$207,"&lt;="&amp;$AO12)</f>
        <v/>
      </c>
      <c r="O12" s="9">
        <f>SUMIFS('Adyen'!$E$11:$E$207,'Adyen'!$A$11:$A$207,"&lt;="&amp;$AO12,'Adyen'!$G$11:$G$207,"&gt;"&amp;$AO12)</f>
        <v/>
      </c>
      <c r="P12" s="9">
        <f>SUMIFS('Nuvei'!$B$11:$B$296,'Nuvei'!$A$11:$A$296,"&gt;="&amp;$AN12,'Nuvei'!$A$11:$A$296,"&lt;="&amp;$AO12)</f>
        <v/>
      </c>
      <c r="Q12" s="9">
        <f>SUMIFS('Nuvei'!$C$11:$C$296,'Nuvei'!$A$11:$A$296,"&gt;="&amp;$AN12,'Nuvei'!$A$11:$A$296,"&lt;="&amp;$AO12)</f>
        <v/>
      </c>
      <c r="R12" s="9">
        <f>P12-Q12</f>
        <v/>
      </c>
      <c r="S12" s="9">
        <f>SUMIFS('Nuvei'!$E$11:$E$296,'Nuvei'!$G$11:$G$296,"&gt;="&amp;$AN12,'Nuvei'!$G$11:$G$296,"&lt;="&amp;$AO12)</f>
        <v/>
      </c>
      <c r="T12" s="9">
        <f>SUMIFS('Nuvei'!$E$11:$E$296,'Nuvei'!$A$11:$A$296,"&lt;="&amp;$AO12,'Nuvei'!$G$11:$G$296,"&gt;"&amp;$AO12)</f>
        <v/>
      </c>
      <c r="U12" s="9">
        <f>SUMIFS('Shift4'!$B$11:$B$116,'Shift4'!$A$11:$A$116,"&gt;="&amp;$AN12,'Shift4'!$A$11:$A$116,"&lt;="&amp;$AO12)</f>
        <v/>
      </c>
      <c r="V12" s="9">
        <f>SUMIFS('Shift4'!$C$11:$C$116,'Shift4'!$A$11:$A$116,"&gt;="&amp;$AN12,'Shift4'!$A$11:$A$116,"&lt;="&amp;$AO12)</f>
        <v/>
      </c>
      <c r="W12" s="9">
        <f>U12-V12</f>
        <v/>
      </c>
      <c r="X12" s="9">
        <f>SUMIFS('Shift4'!$E$11:$E$116,'Shift4'!$G$11:$G$116,"&gt;="&amp;$AN12,'Shift4'!$G$11:$G$116,"&lt;="&amp;$AO12)</f>
        <v/>
      </c>
      <c r="Y12" s="9">
        <f>SUMIFS('Shift4'!$E$11:$E$116,'Shift4'!$A$11:$A$116,"&lt;="&amp;$AO12,'Shift4'!$G$11:$G$116,"&gt;"&amp;$AO12)</f>
        <v/>
      </c>
      <c r="Z12" s="9">
        <f>SUMIFS('Paysafe'!$B$11:$B$44,'Paysafe'!$A$11:$A$44,"&gt;="&amp;$AN12,'Paysafe'!$A$11:$A$44,"&lt;="&amp;$AO12)</f>
        <v/>
      </c>
      <c r="AA12" s="9">
        <f>SUMIFS('Paysafe'!$C$11:$C$44,'Paysafe'!$A$11:$A$44,"&gt;="&amp;$AN12,'Paysafe'!$A$11:$A$44,"&lt;="&amp;$AO12)</f>
        <v/>
      </c>
      <c r="AB12" s="9">
        <f>Z12-AA12</f>
        <v/>
      </c>
      <c r="AC12" s="9">
        <f>SUMIFS('Paysafe'!$E$11:$E$44,'Paysafe'!$G$11:$G$44,"&gt;="&amp;$AN12,'Paysafe'!$G$11:$G$44,"&lt;="&amp;$AO12)</f>
        <v/>
      </c>
      <c r="AD12" s="9">
        <f>SUMIFS('Paysafe'!$E$11:$E$44,'Paysafe'!$A$11:$A$44,"&lt;="&amp;$AO12,'Paysafe'!$G$11:$G$44,"&gt;"&amp;$AO12)</f>
        <v/>
      </c>
      <c r="AE12" s="10">
        <f>K12+P12+U12+Z12</f>
        <v/>
      </c>
      <c r="AF12" s="10">
        <f>L12+Q12+V12+AA12</f>
        <v/>
      </c>
      <c r="AG12" s="10">
        <f>M12+R12+W12+AB12</f>
        <v/>
      </c>
      <c r="AH12" s="10">
        <f>N12+S12+X12+AC12</f>
        <v/>
      </c>
      <c r="AI12" s="10">
        <f>O12+T12+Y12+AD12</f>
        <v/>
      </c>
      <c r="AN12" s="8" t="n">
        <v>45957</v>
      </c>
      <c r="AO12" s="8" t="n">
        <v>45963</v>
      </c>
    </row>
    <row r="13">
      <c r="A13" s="8" t="n">
        <v>45933</v>
      </c>
      <c r="B13" s="9">
        <f>SUMIFS('Adyen'!$E$11:$E$207,'Adyen'!$G$11:$G$207,$A13)</f>
        <v/>
      </c>
      <c r="C13" s="9">
        <f>SUMIFS('Nuvei'!$E$11:$E$296,'Nuvei'!$G$11:$G$296,$A13)</f>
        <v/>
      </c>
      <c r="D13" s="9">
        <f>SUMIFS('Shift4'!$E$11:$E$116,'Shift4'!$G$11:$G$116,$A13)</f>
        <v/>
      </c>
      <c r="E13" s="9">
        <f>SUMIFS('Paysafe'!$E$11:$E$44,'Paysafe'!$G$11:$G$44,$A13)</f>
        <v/>
      </c>
      <c r="F13" s="10">
        <f>SUM(B13:E13)</f>
        <v/>
      </c>
      <c r="H13" t="n">
        <v>2025</v>
      </c>
      <c r="I13" t="inlineStr">
        <is>
          <t>W45</t>
        </is>
      </c>
      <c r="J13" t="inlineStr">
        <is>
          <t>03/11 - 09/11/2025</t>
        </is>
      </c>
      <c r="K13" s="9">
        <f>SUMIFS('Adyen'!$B$11:$B$207,'Adyen'!$A$11:$A$207,"&gt;="&amp;$AN13,'Adyen'!$A$11:$A$207,"&lt;="&amp;$AO13)</f>
        <v/>
      </c>
      <c r="L13" s="9">
        <f>SUMIFS('Adyen'!$C$11:$C$207,'Adyen'!$A$11:$A$207,"&gt;="&amp;$AN13,'Adyen'!$A$11:$A$207,"&lt;="&amp;$AO13)</f>
        <v/>
      </c>
      <c r="M13" s="9">
        <f>K13-L13</f>
        <v/>
      </c>
      <c r="N13" s="9">
        <f>SUMIFS('Adyen'!$E$11:$E$207,'Adyen'!$G$11:$G$207,"&gt;="&amp;$AN13,'Adyen'!$G$11:$G$207,"&lt;="&amp;$AO13)</f>
        <v/>
      </c>
      <c r="O13" s="9">
        <f>SUMIFS('Adyen'!$E$11:$E$207,'Adyen'!$A$11:$A$207,"&lt;="&amp;$AO13,'Adyen'!$G$11:$G$207,"&gt;"&amp;$AO13)</f>
        <v/>
      </c>
      <c r="P13" s="9">
        <f>SUMIFS('Nuvei'!$B$11:$B$296,'Nuvei'!$A$11:$A$296,"&gt;="&amp;$AN13,'Nuvei'!$A$11:$A$296,"&lt;="&amp;$AO13)</f>
        <v/>
      </c>
      <c r="Q13" s="9">
        <f>SUMIFS('Nuvei'!$C$11:$C$296,'Nuvei'!$A$11:$A$296,"&gt;="&amp;$AN13,'Nuvei'!$A$11:$A$296,"&lt;="&amp;$AO13)</f>
        <v/>
      </c>
      <c r="R13" s="9">
        <f>P13-Q13</f>
        <v/>
      </c>
      <c r="S13" s="9">
        <f>SUMIFS('Nuvei'!$E$11:$E$296,'Nuvei'!$G$11:$G$296,"&gt;="&amp;$AN13,'Nuvei'!$G$11:$G$296,"&lt;="&amp;$AO13)</f>
        <v/>
      </c>
      <c r="T13" s="9">
        <f>SUMIFS('Nuvei'!$E$11:$E$296,'Nuvei'!$A$11:$A$296,"&lt;="&amp;$AO13,'Nuvei'!$G$11:$G$296,"&gt;"&amp;$AO13)</f>
        <v/>
      </c>
      <c r="U13" s="9">
        <f>SUMIFS('Shift4'!$B$11:$B$116,'Shift4'!$A$11:$A$116,"&gt;="&amp;$AN13,'Shift4'!$A$11:$A$116,"&lt;="&amp;$AO13)</f>
        <v/>
      </c>
      <c r="V13" s="9">
        <f>SUMIFS('Shift4'!$C$11:$C$116,'Shift4'!$A$11:$A$116,"&gt;="&amp;$AN13,'Shift4'!$A$11:$A$116,"&lt;="&amp;$AO13)</f>
        <v/>
      </c>
      <c r="W13" s="9">
        <f>U13-V13</f>
        <v/>
      </c>
      <c r="X13" s="9">
        <f>SUMIFS('Shift4'!$E$11:$E$116,'Shift4'!$G$11:$G$116,"&gt;="&amp;$AN13,'Shift4'!$G$11:$G$116,"&lt;="&amp;$AO13)</f>
        <v/>
      </c>
      <c r="Y13" s="9">
        <f>SUMIFS('Shift4'!$E$11:$E$116,'Shift4'!$A$11:$A$116,"&lt;="&amp;$AO13,'Shift4'!$G$11:$G$116,"&gt;"&amp;$AO13)</f>
        <v/>
      </c>
      <c r="Z13" s="9">
        <f>SUMIFS('Paysafe'!$B$11:$B$44,'Paysafe'!$A$11:$A$44,"&gt;="&amp;$AN13,'Paysafe'!$A$11:$A$44,"&lt;="&amp;$AO13)</f>
        <v/>
      </c>
      <c r="AA13" s="9">
        <f>SUMIFS('Paysafe'!$C$11:$C$44,'Paysafe'!$A$11:$A$44,"&gt;="&amp;$AN13,'Paysafe'!$A$11:$A$44,"&lt;="&amp;$AO13)</f>
        <v/>
      </c>
      <c r="AB13" s="9">
        <f>Z13-AA13</f>
        <v/>
      </c>
      <c r="AC13" s="9">
        <f>SUMIFS('Paysafe'!$E$11:$E$44,'Paysafe'!$G$11:$G$44,"&gt;="&amp;$AN13,'Paysafe'!$G$11:$G$44,"&lt;="&amp;$AO13)</f>
        <v/>
      </c>
      <c r="AD13" s="9">
        <f>SUMIFS('Paysafe'!$E$11:$E$44,'Paysafe'!$A$11:$A$44,"&lt;="&amp;$AO13,'Paysafe'!$G$11:$G$44,"&gt;"&amp;$AO13)</f>
        <v/>
      </c>
      <c r="AE13" s="10">
        <f>K13+P13+U13+Z13</f>
        <v/>
      </c>
      <c r="AF13" s="10">
        <f>L13+Q13+V13+AA13</f>
        <v/>
      </c>
      <c r="AG13" s="10">
        <f>M13+R13+W13+AB13</f>
        <v/>
      </c>
      <c r="AH13" s="10">
        <f>N13+S13+X13+AC13</f>
        <v/>
      </c>
      <c r="AI13" s="10">
        <f>O13+T13+Y13+AD13</f>
        <v/>
      </c>
      <c r="AN13" s="8" t="n">
        <v>45964</v>
      </c>
      <c r="AO13" s="8" t="n">
        <v>45970</v>
      </c>
    </row>
    <row r="14">
      <c r="A14" s="8" t="n">
        <v>45934</v>
      </c>
      <c r="B14" s="9">
        <f>SUMIFS('Adyen'!$E$11:$E$207,'Adyen'!$G$11:$G$207,$A14)</f>
        <v/>
      </c>
      <c r="C14" s="9">
        <f>SUMIFS('Nuvei'!$E$11:$E$296,'Nuvei'!$G$11:$G$296,$A14)</f>
        <v/>
      </c>
      <c r="D14" s="9">
        <f>SUMIFS('Shift4'!$E$11:$E$116,'Shift4'!$G$11:$G$116,$A14)</f>
        <v/>
      </c>
      <c r="E14" s="9">
        <f>SUMIFS('Paysafe'!$E$11:$E$44,'Paysafe'!$G$11:$G$44,$A14)</f>
        <v/>
      </c>
      <c r="F14" s="10">
        <f>SUM(B14:E14)</f>
        <v/>
      </c>
      <c r="H14" t="n">
        <v>2025</v>
      </c>
      <c r="I14" t="inlineStr">
        <is>
          <t>W46</t>
        </is>
      </c>
      <c r="J14" t="inlineStr">
        <is>
          <t>10/11 - 16/11/2025</t>
        </is>
      </c>
      <c r="K14" s="9">
        <f>SUMIFS('Adyen'!$B$11:$B$207,'Adyen'!$A$11:$A$207,"&gt;="&amp;$AN14,'Adyen'!$A$11:$A$207,"&lt;="&amp;$AO14)</f>
        <v/>
      </c>
      <c r="L14" s="9">
        <f>SUMIFS('Adyen'!$C$11:$C$207,'Adyen'!$A$11:$A$207,"&gt;="&amp;$AN14,'Adyen'!$A$11:$A$207,"&lt;="&amp;$AO14)</f>
        <v/>
      </c>
      <c r="M14" s="9">
        <f>K14-L14</f>
        <v/>
      </c>
      <c r="N14" s="9">
        <f>SUMIFS('Adyen'!$E$11:$E$207,'Adyen'!$G$11:$G$207,"&gt;="&amp;$AN14,'Adyen'!$G$11:$G$207,"&lt;="&amp;$AO14)</f>
        <v/>
      </c>
      <c r="O14" s="9">
        <f>SUMIFS('Adyen'!$E$11:$E$207,'Adyen'!$A$11:$A$207,"&lt;="&amp;$AO14,'Adyen'!$G$11:$G$207,"&gt;"&amp;$AO14)</f>
        <v/>
      </c>
      <c r="P14" s="9">
        <f>SUMIFS('Nuvei'!$B$11:$B$296,'Nuvei'!$A$11:$A$296,"&gt;="&amp;$AN14,'Nuvei'!$A$11:$A$296,"&lt;="&amp;$AO14)</f>
        <v/>
      </c>
      <c r="Q14" s="9">
        <f>SUMIFS('Nuvei'!$C$11:$C$296,'Nuvei'!$A$11:$A$296,"&gt;="&amp;$AN14,'Nuvei'!$A$11:$A$296,"&lt;="&amp;$AO14)</f>
        <v/>
      </c>
      <c r="R14" s="9">
        <f>P14-Q14</f>
        <v/>
      </c>
      <c r="S14" s="9">
        <f>SUMIFS('Nuvei'!$E$11:$E$296,'Nuvei'!$G$11:$G$296,"&gt;="&amp;$AN14,'Nuvei'!$G$11:$G$296,"&lt;="&amp;$AO14)</f>
        <v/>
      </c>
      <c r="T14" s="9">
        <f>SUMIFS('Nuvei'!$E$11:$E$296,'Nuvei'!$A$11:$A$296,"&lt;="&amp;$AO14,'Nuvei'!$G$11:$G$296,"&gt;"&amp;$AO14)</f>
        <v/>
      </c>
      <c r="U14" s="9">
        <f>SUMIFS('Shift4'!$B$11:$B$116,'Shift4'!$A$11:$A$116,"&gt;="&amp;$AN14,'Shift4'!$A$11:$A$116,"&lt;="&amp;$AO14)</f>
        <v/>
      </c>
      <c r="V14" s="9">
        <f>SUMIFS('Shift4'!$C$11:$C$116,'Shift4'!$A$11:$A$116,"&gt;="&amp;$AN14,'Shift4'!$A$11:$A$116,"&lt;="&amp;$AO14)</f>
        <v/>
      </c>
      <c r="W14" s="9">
        <f>U14-V14</f>
        <v/>
      </c>
      <c r="X14" s="9">
        <f>SUMIFS('Shift4'!$E$11:$E$116,'Shift4'!$G$11:$G$116,"&gt;="&amp;$AN14,'Shift4'!$G$11:$G$116,"&lt;="&amp;$AO14)</f>
        <v/>
      </c>
      <c r="Y14" s="9">
        <f>SUMIFS('Shift4'!$E$11:$E$116,'Shift4'!$A$11:$A$116,"&lt;="&amp;$AO14,'Shift4'!$G$11:$G$116,"&gt;"&amp;$AO14)</f>
        <v/>
      </c>
      <c r="Z14" s="9">
        <f>SUMIFS('Paysafe'!$B$11:$B$44,'Paysafe'!$A$11:$A$44,"&gt;="&amp;$AN14,'Paysafe'!$A$11:$A$44,"&lt;="&amp;$AO14)</f>
        <v/>
      </c>
      <c r="AA14" s="9">
        <f>SUMIFS('Paysafe'!$C$11:$C$44,'Paysafe'!$A$11:$A$44,"&gt;="&amp;$AN14,'Paysafe'!$A$11:$A$44,"&lt;="&amp;$AO14)</f>
        <v/>
      </c>
      <c r="AB14" s="9">
        <f>Z14-AA14</f>
        <v/>
      </c>
      <c r="AC14" s="9">
        <f>SUMIFS('Paysafe'!$E$11:$E$44,'Paysafe'!$G$11:$G$44,"&gt;="&amp;$AN14,'Paysafe'!$G$11:$G$44,"&lt;="&amp;$AO14)</f>
        <v/>
      </c>
      <c r="AD14" s="9">
        <f>SUMIFS('Paysafe'!$E$11:$E$44,'Paysafe'!$A$11:$A$44,"&lt;="&amp;$AO14,'Paysafe'!$G$11:$G$44,"&gt;"&amp;$AO14)</f>
        <v/>
      </c>
      <c r="AE14" s="10">
        <f>K14+P14+U14+Z14</f>
        <v/>
      </c>
      <c r="AF14" s="10">
        <f>L14+Q14+V14+AA14</f>
        <v/>
      </c>
      <c r="AG14" s="10">
        <f>M14+R14+W14+AB14</f>
        <v/>
      </c>
      <c r="AH14" s="10">
        <f>N14+S14+X14+AC14</f>
        <v/>
      </c>
      <c r="AI14" s="10">
        <f>O14+T14+Y14+AD14</f>
        <v/>
      </c>
      <c r="AN14" s="8" t="n">
        <v>45971</v>
      </c>
      <c r="AO14" s="8" t="n">
        <v>45977</v>
      </c>
    </row>
    <row r="15">
      <c r="A15" s="8" t="n">
        <v>45935</v>
      </c>
      <c r="B15" s="9">
        <f>SUMIFS('Adyen'!$E$11:$E$207,'Adyen'!$G$11:$G$207,$A15)</f>
        <v/>
      </c>
      <c r="C15" s="9">
        <f>SUMIFS('Nuvei'!$E$11:$E$296,'Nuvei'!$G$11:$G$296,$A15)</f>
        <v/>
      </c>
      <c r="D15" s="9">
        <f>SUMIFS('Shift4'!$E$11:$E$116,'Shift4'!$G$11:$G$116,$A15)</f>
        <v/>
      </c>
      <c r="E15" s="9">
        <f>SUMIFS('Paysafe'!$E$11:$E$44,'Paysafe'!$G$11:$G$44,$A15)</f>
        <v/>
      </c>
      <c r="F15" s="10">
        <f>SUM(B15:E15)</f>
        <v/>
      </c>
      <c r="H15" t="n">
        <v>2025</v>
      </c>
      <c r="I15" t="inlineStr">
        <is>
          <t>W47</t>
        </is>
      </c>
      <c r="J15" t="inlineStr">
        <is>
          <t>17/11 - 23/11/2025</t>
        </is>
      </c>
      <c r="K15" s="9">
        <f>SUMIFS('Adyen'!$B$11:$B$207,'Adyen'!$A$11:$A$207,"&gt;="&amp;$AN15,'Adyen'!$A$11:$A$207,"&lt;="&amp;$AO15)</f>
        <v/>
      </c>
      <c r="L15" s="9">
        <f>SUMIFS('Adyen'!$C$11:$C$207,'Adyen'!$A$11:$A$207,"&gt;="&amp;$AN15,'Adyen'!$A$11:$A$207,"&lt;="&amp;$AO15)</f>
        <v/>
      </c>
      <c r="M15" s="9">
        <f>K15-L15</f>
        <v/>
      </c>
      <c r="N15" s="9">
        <f>SUMIFS('Adyen'!$E$11:$E$207,'Adyen'!$G$11:$G$207,"&gt;="&amp;$AN15,'Adyen'!$G$11:$G$207,"&lt;="&amp;$AO15)</f>
        <v/>
      </c>
      <c r="O15" s="9">
        <f>SUMIFS('Adyen'!$E$11:$E$207,'Adyen'!$A$11:$A$207,"&lt;="&amp;$AO15,'Adyen'!$G$11:$G$207,"&gt;"&amp;$AO15)</f>
        <v/>
      </c>
      <c r="P15" s="9">
        <f>SUMIFS('Nuvei'!$B$11:$B$296,'Nuvei'!$A$11:$A$296,"&gt;="&amp;$AN15,'Nuvei'!$A$11:$A$296,"&lt;="&amp;$AO15)</f>
        <v/>
      </c>
      <c r="Q15" s="9">
        <f>SUMIFS('Nuvei'!$C$11:$C$296,'Nuvei'!$A$11:$A$296,"&gt;="&amp;$AN15,'Nuvei'!$A$11:$A$296,"&lt;="&amp;$AO15)</f>
        <v/>
      </c>
      <c r="R15" s="9">
        <f>P15-Q15</f>
        <v/>
      </c>
      <c r="S15" s="9">
        <f>SUMIFS('Nuvei'!$E$11:$E$296,'Nuvei'!$G$11:$G$296,"&gt;="&amp;$AN15,'Nuvei'!$G$11:$G$296,"&lt;="&amp;$AO15)</f>
        <v/>
      </c>
      <c r="T15" s="9">
        <f>SUMIFS('Nuvei'!$E$11:$E$296,'Nuvei'!$A$11:$A$296,"&lt;="&amp;$AO15,'Nuvei'!$G$11:$G$296,"&gt;"&amp;$AO15)</f>
        <v/>
      </c>
      <c r="U15" s="9">
        <f>SUMIFS('Shift4'!$B$11:$B$116,'Shift4'!$A$11:$A$116,"&gt;="&amp;$AN15,'Shift4'!$A$11:$A$116,"&lt;="&amp;$AO15)</f>
        <v/>
      </c>
      <c r="V15" s="9">
        <f>SUMIFS('Shift4'!$C$11:$C$116,'Shift4'!$A$11:$A$116,"&gt;="&amp;$AN15,'Shift4'!$A$11:$A$116,"&lt;="&amp;$AO15)</f>
        <v/>
      </c>
      <c r="W15" s="9">
        <f>U15-V15</f>
        <v/>
      </c>
      <c r="X15" s="9">
        <f>SUMIFS('Shift4'!$E$11:$E$116,'Shift4'!$G$11:$G$116,"&gt;="&amp;$AN15,'Shift4'!$G$11:$G$116,"&lt;="&amp;$AO15)</f>
        <v/>
      </c>
      <c r="Y15" s="9">
        <f>SUMIFS('Shift4'!$E$11:$E$116,'Shift4'!$A$11:$A$116,"&lt;="&amp;$AO15,'Shift4'!$G$11:$G$116,"&gt;"&amp;$AO15)</f>
        <v/>
      </c>
      <c r="Z15" s="9">
        <f>SUMIFS('Paysafe'!$B$11:$B$44,'Paysafe'!$A$11:$A$44,"&gt;="&amp;$AN15,'Paysafe'!$A$11:$A$44,"&lt;="&amp;$AO15)</f>
        <v/>
      </c>
      <c r="AA15" s="9">
        <f>SUMIFS('Paysafe'!$C$11:$C$44,'Paysafe'!$A$11:$A$44,"&gt;="&amp;$AN15,'Paysafe'!$A$11:$A$44,"&lt;="&amp;$AO15)</f>
        <v/>
      </c>
      <c r="AB15" s="9">
        <f>Z15-AA15</f>
        <v/>
      </c>
      <c r="AC15" s="9">
        <f>SUMIFS('Paysafe'!$E$11:$E$44,'Paysafe'!$G$11:$G$44,"&gt;="&amp;$AN15,'Paysafe'!$G$11:$G$44,"&lt;="&amp;$AO15)</f>
        <v/>
      </c>
      <c r="AD15" s="9">
        <f>SUMIFS('Paysafe'!$E$11:$E$44,'Paysafe'!$A$11:$A$44,"&lt;="&amp;$AO15,'Paysafe'!$G$11:$G$44,"&gt;"&amp;$AO15)</f>
        <v/>
      </c>
      <c r="AE15" s="10">
        <f>K15+P15+U15+Z15</f>
        <v/>
      </c>
      <c r="AF15" s="10">
        <f>L15+Q15+V15+AA15</f>
        <v/>
      </c>
      <c r="AG15" s="10">
        <f>M15+R15+W15+AB15</f>
        <v/>
      </c>
      <c r="AH15" s="10">
        <f>N15+S15+X15+AC15</f>
        <v/>
      </c>
      <c r="AI15" s="10">
        <f>O15+T15+Y15+AD15</f>
        <v/>
      </c>
      <c r="AN15" s="8" t="n">
        <v>45978</v>
      </c>
      <c r="AO15" s="8" t="n">
        <v>45984</v>
      </c>
    </row>
    <row r="16">
      <c r="A16" s="8" t="n">
        <v>45936</v>
      </c>
      <c r="B16" s="9">
        <f>SUMIFS('Adyen'!$E$11:$E$207,'Adyen'!$G$11:$G$207,$A16)</f>
        <v/>
      </c>
      <c r="C16" s="9">
        <f>SUMIFS('Nuvei'!$E$11:$E$296,'Nuvei'!$G$11:$G$296,$A16)</f>
        <v/>
      </c>
      <c r="D16" s="9">
        <f>SUMIFS('Shift4'!$E$11:$E$116,'Shift4'!$G$11:$G$116,$A16)</f>
        <v/>
      </c>
      <c r="E16" s="9">
        <f>SUMIFS('Paysafe'!$E$11:$E$44,'Paysafe'!$G$11:$G$44,$A16)</f>
        <v/>
      </c>
      <c r="F16" s="10">
        <f>SUM(B16:E16)</f>
        <v/>
      </c>
      <c r="H16" t="n">
        <v>2025</v>
      </c>
      <c r="I16" t="inlineStr">
        <is>
          <t>W48</t>
        </is>
      </c>
      <c r="J16" t="inlineStr">
        <is>
          <t>24/11 - 30/11/2025</t>
        </is>
      </c>
      <c r="K16" s="9">
        <f>SUMIFS('Adyen'!$B$11:$B$207,'Adyen'!$A$11:$A$207,"&gt;="&amp;$AN16,'Adyen'!$A$11:$A$207,"&lt;="&amp;$AO16)</f>
        <v/>
      </c>
      <c r="L16" s="9">
        <f>SUMIFS('Adyen'!$C$11:$C$207,'Adyen'!$A$11:$A$207,"&gt;="&amp;$AN16,'Adyen'!$A$11:$A$207,"&lt;="&amp;$AO16)</f>
        <v/>
      </c>
      <c r="M16" s="9">
        <f>K16-L16</f>
        <v/>
      </c>
      <c r="N16" s="9">
        <f>SUMIFS('Adyen'!$E$11:$E$207,'Adyen'!$G$11:$G$207,"&gt;="&amp;$AN16,'Adyen'!$G$11:$G$207,"&lt;="&amp;$AO16)</f>
        <v/>
      </c>
      <c r="O16" s="9">
        <f>SUMIFS('Adyen'!$E$11:$E$207,'Adyen'!$A$11:$A$207,"&lt;="&amp;$AO16,'Adyen'!$G$11:$G$207,"&gt;"&amp;$AO16)</f>
        <v/>
      </c>
      <c r="P16" s="9">
        <f>SUMIFS('Nuvei'!$B$11:$B$296,'Nuvei'!$A$11:$A$296,"&gt;="&amp;$AN16,'Nuvei'!$A$11:$A$296,"&lt;="&amp;$AO16)</f>
        <v/>
      </c>
      <c r="Q16" s="9">
        <f>SUMIFS('Nuvei'!$C$11:$C$296,'Nuvei'!$A$11:$A$296,"&gt;="&amp;$AN16,'Nuvei'!$A$11:$A$296,"&lt;="&amp;$AO16)</f>
        <v/>
      </c>
      <c r="R16" s="9">
        <f>P16-Q16</f>
        <v/>
      </c>
      <c r="S16" s="9">
        <f>SUMIFS('Nuvei'!$E$11:$E$296,'Nuvei'!$G$11:$G$296,"&gt;="&amp;$AN16,'Nuvei'!$G$11:$G$296,"&lt;="&amp;$AO16)</f>
        <v/>
      </c>
      <c r="T16" s="9">
        <f>SUMIFS('Nuvei'!$E$11:$E$296,'Nuvei'!$A$11:$A$296,"&lt;="&amp;$AO16,'Nuvei'!$G$11:$G$296,"&gt;"&amp;$AO16)</f>
        <v/>
      </c>
      <c r="U16" s="9">
        <f>SUMIFS('Shift4'!$B$11:$B$116,'Shift4'!$A$11:$A$116,"&gt;="&amp;$AN16,'Shift4'!$A$11:$A$116,"&lt;="&amp;$AO16)</f>
        <v/>
      </c>
      <c r="V16" s="9">
        <f>SUMIFS('Shift4'!$C$11:$C$116,'Shift4'!$A$11:$A$116,"&gt;="&amp;$AN16,'Shift4'!$A$11:$A$116,"&lt;="&amp;$AO16)</f>
        <v/>
      </c>
      <c r="W16" s="9">
        <f>U16-V16</f>
        <v/>
      </c>
      <c r="X16" s="9">
        <f>SUMIFS('Shift4'!$E$11:$E$116,'Shift4'!$G$11:$G$116,"&gt;="&amp;$AN16,'Shift4'!$G$11:$G$116,"&lt;="&amp;$AO16)</f>
        <v/>
      </c>
      <c r="Y16" s="9">
        <f>SUMIFS('Shift4'!$E$11:$E$116,'Shift4'!$A$11:$A$116,"&lt;="&amp;$AO16,'Shift4'!$G$11:$G$116,"&gt;"&amp;$AO16)</f>
        <v/>
      </c>
      <c r="Z16" s="9">
        <f>SUMIFS('Paysafe'!$B$11:$B$44,'Paysafe'!$A$11:$A$44,"&gt;="&amp;$AN16,'Paysafe'!$A$11:$A$44,"&lt;="&amp;$AO16)</f>
        <v/>
      </c>
      <c r="AA16" s="9">
        <f>SUMIFS('Paysafe'!$C$11:$C$44,'Paysafe'!$A$11:$A$44,"&gt;="&amp;$AN16,'Paysafe'!$A$11:$A$44,"&lt;="&amp;$AO16)</f>
        <v/>
      </c>
      <c r="AB16" s="9">
        <f>Z16-AA16</f>
        <v/>
      </c>
      <c r="AC16" s="9">
        <f>SUMIFS('Paysafe'!$E$11:$E$44,'Paysafe'!$G$11:$G$44,"&gt;="&amp;$AN16,'Paysafe'!$G$11:$G$44,"&lt;="&amp;$AO16)</f>
        <v/>
      </c>
      <c r="AD16" s="9">
        <f>SUMIFS('Paysafe'!$E$11:$E$44,'Paysafe'!$A$11:$A$44,"&lt;="&amp;$AO16,'Paysafe'!$G$11:$G$44,"&gt;"&amp;$AO16)</f>
        <v/>
      </c>
      <c r="AE16" s="10">
        <f>K16+P16+U16+Z16</f>
        <v/>
      </c>
      <c r="AF16" s="10">
        <f>L16+Q16+V16+AA16</f>
        <v/>
      </c>
      <c r="AG16" s="10">
        <f>M16+R16+W16+AB16</f>
        <v/>
      </c>
      <c r="AH16" s="10">
        <f>N16+S16+X16+AC16</f>
        <v/>
      </c>
      <c r="AI16" s="10">
        <f>O16+T16+Y16+AD16</f>
        <v/>
      </c>
      <c r="AN16" s="8" t="n">
        <v>45985</v>
      </c>
      <c r="AO16" s="8" t="n">
        <v>45991</v>
      </c>
    </row>
    <row r="17">
      <c r="A17" s="8" t="n">
        <v>45937</v>
      </c>
      <c r="B17" s="9">
        <f>SUMIFS('Adyen'!$E$11:$E$207,'Adyen'!$G$11:$G$207,$A17)</f>
        <v/>
      </c>
      <c r="C17" s="9">
        <f>SUMIFS('Nuvei'!$E$11:$E$296,'Nuvei'!$G$11:$G$296,$A17)</f>
        <v/>
      </c>
      <c r="D17" s="9">
        <f>SUMIFS('Shift4'!$E$11:$E$116,'Shift4'!$G$11:$G$116,$A17)</f>
        <v/>
      </c>
      <c r="E17" s="9">
        <f>SUMIFS('Paysafe'!$E$11:$E$44,'Paysafe'!$G$11:$G$44,$A17)</f>
        <v/>
      </c>
      <c r="F17" s="10">
        <f>SUM(B17:E17)</f>
        <v/>
      </c>
      <c r="H17" t="n">
        <v>2025</v>
      </c>
      <c r="I17" t="inlineStr">
        <is>
          <t>W49</t>
        </is>
      </c>
      <c r="J17" t="inlineStr">
        <is>
          <t>01/12 - 07/12/2025</t>
        </is>
      </c>
      <c r="K17" s="9">
        <f>SUMIFS('Adyen'!$B$11:$B$207,'Adyen'!$A$11:$A$207,"&gt;="&amp;$AN17,'Adyen'!$A$11:$A$207,"&lt;="&amp;$AO17)</f>
        <v/>
      </c>
      <c r="L17" s="9">
        <f>SUMIFS('Adyen'!$C$11:$C$207,'Adyen'!$A$11:$A$207,"&gt;="&amp;$AN17,'Adyen'!$A$11:$A$207,"&lt;="&amp;$AO17)</f>
        <v/>
      </c>
      <c r="M17" s="9">
        <f>K17-L17</f>
        <v/>
      </c>
      <c r="N17" s="9">
        <f>SUMIFS('Adyen'!$E$11:$E$207,'Adyen'!$G$11:$G$207,"&gt;="&amp;$AN17,'Adyen'!$G$11:$G$207,"&lt;="&amp;$AO17)</f>
        <v/>
      </c>
      <c r="O17" s="9">
        <f>SUMIFS('Adyen'!$E$11:$E$207,'Adyen'!$A$11:$A$207,"&lt;="&amp;$AO17,'Adyen'!$G$11:$G$207,"&gt;"&amp;$AO17)</f>
        <v/>
      </c>
      <c r="P17" s="9">
        <f>SUMIFS('Nuvei'!$B$11:$B$296,'Nuvei'!$A$11:$A$296,"&gt;="&amp;$AN17,'Nuvei'!$A$11:$A$296,"&lt;="&amp;$AO17)</f>
        <v/>
      </c>
      <c r="Q17" s="9">
        <f>SUMIFS('Nuvei'!$C$11:$C$296,'Nuvei'!$A$11:$A$296,"&gt;="&amp;$AN17,'Nuvei'!$A$11:$A$296,"&lt;="&amp;$AO17)</f>
        <v/>
      </c>
      <c r="R17" s="9">
        <f>P17-Q17</f>
        <v/>
      </c>
      <c r="S17" s="9">
        <f>SUMIFS('Nuvei'!$E$11:$E$296,'Nuvei'!$G$11:$G$296,"&gt;="&amp;$AN17,'Nuvei'!$G$11:$G$296,"&lt;="&amp;$AO17)</f>
        <v/>
      </c>
      <c r="T17" s="9">
        <f>SUMIFS('Nuvei'!$E$11:$E$296,'Nuvei'!$A$11:$A$296,"&lt;="&amp;$AO17,'Nuvei'!$G$11:$G$296,"&gt;"&amp;$AO17)</f>
        <v/>
      </c>
      <c r="U17" s="9">
        <f>SUMIFS('Shift4'!$B$11:$B$116,'Shift4'!$A$11:$A$116,"&gt;="&amp;$AN17,'Shift4'!$A$11:$A$116,"&lt;="&amp;$AO17)</f>
        <v/>
      </c>
      <c r="V17" s="9">
        <f>SUMIFS('Shift4'!$C$11:$C$116,'Shift4'!$A$11:$A$116,"&gt;="&amp;$AN17,'Shift4'!$A$11:$A$116,"&lt;="&amp;$AO17)</f>
        <v/>
      </c>
      <c r="W17" s="9">
        <f>U17-V17</f>
        <v/>
      </c>
      <c r="X17" s="9">
        <f>SUMIFS('Shift4'!$E$11:$E$116,'Shift4'!$G$11:$G$116,"&gt;="&amp;$AN17,'Shift4'!$G$11:$G$116,"&lt;="&amp;$AO17)</f>
        <v/>
      </c>
      <c r="Y17" s="9">
        <f>SUMIFS('Shift4'!$E$11:$E$116,'Shift4'!$A$11:$A$116,"&lt;="&amp;$AO17,'Shift4'!$G$11:$G$116,"&gt;"&amp;$AO17)</f>
        <v/>
      </c>
      <c r="Z17" s="9">
        <f>SUMIFS('Paysafe'!$B$11:$B$44,'Paysafe'!$A$11:$A$44,"&gt;="&amp;$AN17,'Paysafe'!$A$11:$A$44,"&lt;="&amp;$AO17)</f>
        <v/>
      </c>
      <c r="AA17" s="9">
        <f>SUMIFS('Paysafe'!$C$11:$C$44,'Paysafe'!$A$11:$A$44,"&gt;="&amp;$AN17,'Paysafe'!$A$11:$A$44,"&lt;="&amp;$AO17)</f>
        <v/>
      </c>
      <c r="AB17" s="9">
        <f>Z17-AA17</f>
        <v/>
      </c>
      <c r="AC17" s="9">
        <f>SUMIFS('Paysafe'!$E$11:$E$44,'Paysafe'!$G$11:$G$44,"&gt;="&amp;$AN17,'Paysafe'!$G$11:$G$44,"&lt;="&amp;$AO17)</f>
        <v/>
      </c>
      <c r="AD17" s="9">
        <f>SUMIFS('Paysafe'!$E$11:$E$44,'Paysafe'!$A$11:$A$44,"&lt;="&amp;$AO17,'Paysafe'!$G$11:$G$44,"&gt;"&amp;$AO17)</f>
        <v/>
      </c>
      <c r="AE17" s="10">
        <f>K17+P17+U17+Z17</f>
        <v/>
      </c>
      <c r="AF17" s="10">
        <f>L17+Q17+V17+AA17</f>
        <v/>
      </c>
      <c r="AG17" s="10">
        <f>M17+R17+W17+AB17</f>
        <v/>
      </c>
      <c r="AH17" s="10">
        <f>N17+S17+X17+AC17</f>
        <v/>
      </c>
      <c r="AI17" s="10">
        <f>O17+T17+Y17+AD17</f>
        <v/>
      </c>
      <c r="AN17" s="8" t="n">
        <v>45992</v>
      </c>
      <c r="AO17" s="8" t="n">
        <v>45998</v>
      </c>
    </row>
    <row r="18">
      <c r="A18" s="8" t="n">
        <v>45938</v>
      </c>
      <c r="B18" s="9">
        <f>SUMIFS('Adyen'!$E$11:$E$207,'Adyen'!$G$11:$G$207,$A18)</f>
        <v/>
      </c>
      <c r="C18" s="9">
        <f>SUMIFS('Nuvei'!$E$11:$E$296,'Nuvei'!$G$11:$G$296,$A18)</f>
        <v/>
      </c>
      <c r="D18" s="9">
        <f>SUMIFS('Shift4'!$E$11:$E$116,'Shift4'!$G$11:$G$116,$A18)</f>
        <v/>
      </c>
      <c r="E18" s="9">
        <f>SUMIFS('Paysafe'!$E$11:$E$44,'Paysafe'!$G$11:$G$44,$A18)</f>
        <v/>
      </c>
      <c r="F18" s="10">
        <f>SUM(B18:E18)</f>
        <v/>
      </c>
      <c r="H18" t="n">
        <v>2025</v>
      </c>
      <c r="I18" t="inlineStr">
        <is>
          <t>W50</t>
        </is>
      </c>
      <c r="J18" t="inlineStr">
        <is>
          <t>08/12 - 14/12/2025</t>
        </is>
      </c>
      <c r="K18" s="9">
        <f>SUMIFS('Adyen'!$B$11:$B$207,'Adyen'!$A$11:$A$207,"&gt;="&amp;$AN18,'Adyen'!$A$11:$A$207,"&lt;="&amp;$AO18)</f>
        <v/>
      </c>
      <c r="L18" s="9">
        <f>SUMIFS('Adyen'!$C$11:$C$207,'Adyen'!$A$11:$A$207,"&gt;="&amp;$AN18,'Adyen'!$A$11:$A$207,"&lt;="&amp;$AO18)</f>
        <v/>
      </c>
      <c r="M18" s="9">
        <f>K18-L18</f>
        <v/>
      </c>
      <c r="N18" s="9">
        <f>SUMIFS('Adyen'!$E$11:$E$207,'Adyen'!$G$11:$G$207,"&gt;="&amp;$AN18,'Adyen'!$G$11:$G$207,"&lt;="&amp;$AO18)</f>
        <v/>
      </c>
      <c r="O18" s="9">
        <f>SUMIFS('Adyen'!$E$11:$E$207,'Adyen'!$A$11:$A$207,"&lt;="&amp;$AO18,'Adyen'!$G$11:$G$207,"&gt;"&amp;$AO18)</f>
        <v/>
      </c>
      <c r="P18" s="9">
        <f>SUMIFS('Nuvei'!$B$11:$B$296,'Nuvei'!$A$11:$A$296,"&gt;="&amp;$AN18,'Nuvei'!$A$11:$A$296,"&lt;="&amp;$AO18)</f>
        <v/>
      </c>
      <c r="Q18" s="9">
        <f>SUMIFS('Nuvei'!$C$11:$C$296,'Nuvei'!$A$11:$A$296,"&gt;="&amp;$AN18,'Nuvei'!$A$11:$A$296,"&lt;="&amp;$AO18)</f>
        <v/>
      </c>
      <c r="R18" s="9">
        <f>P18-Q18</f>
        <v/>
      </c>
      <c r="S18" s="9">
        <f>SUMIFS('Nuvei'!$E$11:$E$296,'Nuvei'!$G$11:$G$296,"&gt;="&amp;$AN18,'Nuvei'!$G$11:$G$296,"&lt;="&amp;$AO18)</f>
        <v/>
      </c>
      <c r="T18" s="9">
        <f>SUMIFS('Nuvei'!$E$11:$E$296,'Nuvei'!$A$11:$A$296,"&lt;="&amp;$AO18,'Nuvei'!$G$11:$G$296,"&gt;"&amp;$AO18)</f>
        <v/>
      </c>
      <c r="U18" s="9">
        <f>SUMIFS('Shift4'!$B$11:$B$116,'Shift4'!$A$11:$A$116,"&gt;="&amp;$AN18,'Shift4'!$A$11:$A$116,"&lt;="&amp;$AO18)</f>
        <v/>
      </c>
      <c r="V18" s="9">
        <f>SUMIFS('Shift4'!$C$11:$C$116,'Shift4'!$A$11:$A$116,"&gt;="&amp;$AN18,'Shift4'!$A$11:$A$116,"&lt;="&amp;$AO18)</f>
        <v/>
      </c>
      <c r="W18" s="9">
        <f>U18-V18</f>
        <v/>
      </c>
      <c r="X18" s="9">
        <f>SUMIFS('Shift4'!$E$11:$E$116,'Shift4'!$G$11:$G$116,"&gt;="&amp;$AN18,'Shift4'!$G$11:$G$116,"&lt;="&amp;$AO18)</f>
        <v/>
      </c>
      <c r="Y18" s="9">
        <f>SUMIFS('Shift4'!$E$11:$E$116,'Shift4'!$A$11:$A$116,"&lt;="&amp;$AO18,'Shift4'!$G$11:$G$116,"&gt;"&amp;$AO18)</f>
        <v/>
      </c>
      <c r="Z18" s="9">
        <f>SUMIFS('Paysafe'!$B$11:$B$44,'Paysafe'!$A$11:$A$44,"&gt;="&amp;$AN18,'Paysafe'!$A$11:$A$44,"&lt;="&amp;$AO18)</f>
        <v/>
      </c>
      <c r="AA18" s="9">
        <f>SUMIFS('Paysafe'!$C$11:$C$44,'Paysafe'!$A$11:$A$44,"&gt;="&amp;$AN18,'Paysafe'!$A$11:$A$44,"&lt;="&amp;$AO18)</f>
        <v/>
      </c>
      <c r="AB18" s="9">
        <f>Z18-AA18</f>
        <v/>
      </c>
      <c r="AC18" s="9">
        <f>SUMIFS('Paysafe'!$E$11:$E$44,'Paysafe'!$G$11:$G$44,"&gt;="&amp;$AN18,'Paysafe'!$G$11:$G$44,"&lt;="&amp;$AO18)</f>
        <v/>
      </c>
      <c r="AD18" s="9">
        <f>SUMIFS('Paysafe'!$E$11:$E$44,'Paysafe'!$A$11:$A$44,"&lt;="&amp;$AO18,'Paysafe'!$G$11:$G$44,"&gt;"&amp;$AO18)</f>
        <v/>
      </c>
      <c r="AE18" s="10">
        <f>K18+P18+U18+Z18</f>
        <v/>
      </c>
      <c r="AF18" s="10">
        <f>L18+Q18+V18+AA18</f>
        <v/>
      </c>
      <c r="AG18" s="10">
        <f>M18+R18+W18+AB18</f>
        <v/>
      </c>
      <c r="AH18" s="10">
        <f>N18+S18+X18+AC18</f>
        <v/>
      </c>
      <c r="AI18" s="10">
        <f>O18+T18+Y18+AD18</f>
        <v/>
      </c>
      <c r="AN18" s="8" t="n">
        <v>45999</v>
      </c>
      <c r="AO18" s="8" t="n">
        <v>46005</v>
      </c>
    </row>
    <row r="19">
      <c r="A19" s="8" t="n">
        <v>45939</v>
      </c>
      <c r="B19" s="9">
        <f>SUMIFS('Adyen'!$E$11:$E$207,'Adyen'!$G$11:$G$207,$A19)</f>
        <v/>
      </c>
      <c r="C19" s="9">
        <f>SUMIFS('Nuvei'!$E$11:$E$296,'Nuvei'!$G$11:$G$296,$A19)</f>
        <v/>
      </c>
      <c r="D19" s="9">
        <f>SUMIFS('Shift4'!$E$11:$E$116,'Shift4'!$G$11:$G$116,$A19)</f>
        <v/>
      </c>
      <c r="E19" s="9">
        <f>SUMIFS('Paysafe'!$E$11:$E$44,'Paysafe'!$G$11:$G$44,$A19)</f>
        <v/>
      </c>
      <c r="F19" s="10">
        <f>SUM(B19:E19)</f>
        <v/>
      </c>
      <c r="H19" t="n">
        <v>2025</v>
      </c>
      <c r="I19" t="inlineStr">
        <is>
          <t>W51</t>
        </is>
      </c>
      <c r="J19" t="inlineStr">
        <is>
          <t>15/12 - 21/12/2025</t>
        </is>
      </c>
      <c r="K19" s="9">
        <f>SUMIFS('Adyen'!$B$11:$B$207,'Adyen'!$A$11:$A$207,"&gt;="&amp;$AN19,'Adyen'!$A$11:$A$207,"&lt;="&amp;$AO19)</f>
        <v/>
      </c>
      <c r="L19" s="9">
        <f>SUMIFS('Adyen'!$C$11:$C$207,'Adyen'!$A$11:$A$207,"&gt;="&amp;$AN19,'Adyen'!$A$11:$A$207,"&lt;="&amp;$AO19)</f>
        <v/>
      </c>
      <c r="M19" s="9">
        <f>K19-L19</f>
        <v/>
      </c>
      <c r="N19" s="9">
        <f>SUMIFS('Adyen'!$E$11:$E$207,'Adyen'!$G$11:$G$207,"&gt;="&amp;$AN19,'Adyen'!$G$11:$G$207,"&lt;="&amp;$AO19)</f>
        <v/>
      </c>
      <c r="O19" s="9">
        <f>SUMIFS('Adyen'!$E$11:$E$207,'Adyen'!$A$11:$A$207,"&lt;="&amp;$AO19,'Adyen'!$G$11:$G$207,"&gt;"&amp;$AO19)</f>
        <v/>
      </c>
      <c r="P19" s="9">
        <f>SUMIFS('Nuvei'!$B$11:$B$296,'Nuvei'!$A$11:$A$296,"&gt;="&amp;$AN19,'Nuvei'!$A$11:$A$296,"&lt;="&amp;$AO19)</f>
        <v/>
      </c>
      <c r="Q19" s="9">
        <f>SUMIFS('Nuvei'!$C$11:$C$296,'Nuvei'!$A$11:$A$296,"&gt;="&amp;$AN19,'Nuvei'!$A$11:$A$296,"&lt;="&amp;$AO19)</f>
        <v/>
      </c>
      <c r="R19" s="9">
        <f>P19-Q19</f>
        <v/>
      </c>
      <c r="S19" s="9">
        <f>SUMIFS('Nuvei'!$E$11:$E$296,'Nuvei'!$G$11:$G$296,"&gt;="&amp;$AN19,'Nuvei'!$G$11:$G$296,"&lt;="&amp;$AO19)</f>
        <v/>
      </c>
      <c r="T19" s="9">
        <f>SUMIFS('Nuvei'!$E$11:$E$296,'Nuvei'!$A$11:$A$296,"&lt;="&amp;$AO19,'Nuvei'!$G$11:$G$296,"&gt;"&amp;$AO19)</f>
        <v/>
      </c>
      <c r="U19" s="9">
        <f>SUMIFS('Shift4'!$B$11:$B$116,'Shift4'!$A$11:$A$116,"&gt;="&amp;$AN19,'Shift4'!$A$11:$A$116,"&lt;="&amp;$AO19)</f>
        <v/>
      </c>
      <c r="V19" s="9">
        <f>SUMIFS('Shift4'!$C$11:$C$116,'Shift4'!$A$11:$A$116,"&gt;="&amp;$AN19,'Shift4'!$A$11:$A$116,"&lt;="&amp;$AO19)</f>
        <v/>
      </c>
      <c r="W19" s="9">
        <f>U19-V19</f>
        <v/>
      </c>
      <c r="X19" s="9">
        <f>SUMIFS('Shift4'!$E$11:$E$116,'Shift4'!$G$11:$G$116,"&gt;="&amp;$AN19,'Shift4'!$G$11:$G$116,"&lt;="&amp;$AO19)</f>
        <v/>
      </c>
      <c r="Y19" s="9">
        <f>SUMIFS('Shift4'!$E$11:$E$116,'Shift4'!$A$11:$A$116,"&lt;="&amp;$AO19,'Shift4'!$G$11:$G$116,"&gt;"&amp;$AO19)</f>
        <v/>
      </c>
      <c r="Z19" s="9">
        <f>SUMIFS('Paysafe'!$B$11:$B$44,'Paysafe'!$A$11:$A$44,"&gt;="&amp;$AN19,'Paysafe'!$A$11:$A$44,"&lt;="&amp;$AO19)</f>
        <v/>
      </c>
      <c r="AA19" s="9">
        <f>SUMIFS('Paysafe'!$C$11:$C$44,'Paysafe'!$A$11:$A$44,"&gt;="&amp;$AN19,'Paysafe'!$A$11:$A$44,"&lt;="&amp;$AO19)</f>
        <v/>
      </c>
      <c r="AB19" s="9">
        <f>Z19-AA19</f>
        <v/>
      </c>
      <c r="AC19" s="9">
        <f>SUMIFS('Paysafe'!$E$11:$E$44,'Paysafe'!$G$11:$G$44,"&gt;="&amp;$AN19,'Paysafe'!$G$11:$G$44,"&lt;="&amp;$AO19)</f>
        <v/>
      </c>
      <c r="AD19" s="9">
        <f>SUMIFS('Paysafe'!$E$11:$E$44,'Paysafe'!$A$11:$A$44,"&lt;="&amp;$AO19,'Paysafe'!$G$11:$G$44,"&gt;"&amp;$AO19)</f>
        <v/>
      </c>
      <c r="AE19" s="10">
        <f>K19+P19+U19+Z19</f>
        <v/>
      </c>
      <c r="AF19" s="10">
        <f>L19+Q19+V19+AA19</f>
        <v/>
      </c>
      <c r="AG19" s="10">
        <f>M19+R19+W19+AB19</f>
        <v/>
      </c>
      <c r="AH19" s="10">
        <f>N19+S19+X19+AC19</f>
        <v/>
      </c>
      <c r="AI19" s="10">
        <f>O19+T19+Y19+AD19</f>
        <v/>
      </c>
      <c r="AN19" s="8" t="n">
        <v>46006</v>
      </c>
      <c r="AO19" s="8" t="n">
        <v>46012</v>
      </c>
    </row>
    <row r="20">
      <c r="A20" s="8" t="n">
        <v>45940</v>
      </c>
      <c r="B20" s="9">
        <f>SUMIFS('Adyen'!$E$11:$E$207,'Adyen'!$G$11:$G$207,$A20)</f>
        <v/>
      </c>
      <c r="C20" s="9">
        <f>SUMIFS('Nuvei'!$E$11:$E$296,'Nuvei'!$G$11:$G$296,$A20)</f>
        <v/>
      </c>
      <c r="D20" s="9">
        <f>SUMIFS('Shift4'!$E$11:$E$116,'Shift4'!$G$11:$G$116,$A20)</f>
        <v/>
      </c>
      <c r="E20" s="9">
        <f>SUMIFS('Paysafe'!$E$11:$E$44,'Paysafe'!$G$11:$G$44,$A20)</f>
        <v/>
      </c>
      <c r="F20" s="10">
        <f>SUM(B20:E20)</f>
        <v/>
      </c>
      <c r="H20" t="n">
        <v>2025</v>
      </c>
      <c r="I20" t="inlineStr">
        <is>
          <t>W52</t>
        </is>
      </c>
      <c r="J20" t="inlineStr">
        <is>
          <t>22/12 - 28/12/2025</t>
        </is>
      </c>
      <c r="K20" s="9">
        <f>SUMIFS('Adyen'!$B$11:$B$207,'Adyen'!$A$11:$A$207,"&gt;="&amp;$AN20,'Adyen'!$A$11:$A$207,"&lt;="&amp;$AO20)</f>
        <v/>
      </c>
      <c r="L20" s="9">
        <f>SUMIFS('Adyen'!$C$11:$C$207,'Adyen'!$A$11:$A$207,"&gt;="&amp;$AN20,'Adyen'!$A$11:$A$207,"&lt;="&amp;$AO20)</f>
        <v/>
      </c>
      <c r="M20" s="9">
        <f>K20-L20</f>
        <v/>
      </c>
      <c r="N20" s="9">
        <f>SUMIFS('Adyen'!$E$11:$E$207,'Adyen'!$G$11:$G$207,"&gt;="&amp;$AN20,'Adyen'!$G$11:$G$207,"&lt;="&amp;$AO20)</f>
        <v/>
      </c>
      <c r="O20" s="9">
        <f>SUMIFS('Adyen'!$E$11:$E$207,'Adyen'!$A$11:$A$207,"&lt;="&amp;$AO20,'Adyen'!$G$11:$G$207,"&gt;"&amp;$AO20)</f>
        <v/>
      </c>
      <c r="P20" s="9">
        <f>SUMIFS('Nuvei'!$B$11:$B$296,'Nuvei'!$A$11:$A$296,"&gt;="&amp;$AN20,'Nuvei'!$A$11:$A$296,"&lt;="&amp;$AO20)</f>
        <v/>
      </c>
      <c r="Q20" s="9">
        <f>SUMIFS('Nuvei'!$C$11:$C$296,'Nuvei'!$A$11:$A$296,"&gt;="&amp;$AN20,'Nuvei'!$A$11:$A$296,"&lt;="&amp;$AO20)</f>
        <v/>
      </c>
      <c r="R20" s="9">
        <f>P20-Q20</f>
        <v/>
      </c>
      <c r="S20" s="9">
        <f>SUMIFS('Nuvei'!$E$11:$E$296,'Nuvei'!$G$11:$G$296,"&gt;="&amp;$AN20,'Nuvei'!$G$11:$G$296,"&lt;="&amp;$AO20)</f>
        <v/>
      </c>
      <c r="T20" s="9">
        <f>SUMIFS('Nuvei'!$E$11:$E$296,'Nuvei'!$A$11:$A$296,"&lt;="&amp;$AO20,'Nuvei'!$G$11:$G$296,"&gt;"&amp;$AO20)</f>
        <v/>
      </c>
      <c r="U20" s="9">
        <f>SUMIFS('Shift4'!$B$11:$B$116,'Shift4'!$A$11:$A$116,"&gt;="&amp;$AN20,'Shift4'!$A$11:$A$116,"&lt;="&amp;$AO20)</f>
        <v/>
      </c>
      <c r="V20" s="9">
        <f>SUMIFS('Shift4'!$C$11:$C$116,'Shift4'!$A$11:$A$116,"&gt;="&amp;$AN20,'Shift4'!$A$11:$A$116,"&lt;="&amp;$AO20)</f>
        <v/>
      </c>
      <c r="W20" s="9">
        <f>U20-V20</f>
        <v/>
      </c>
      <c r="X20" s="9">
        <f>SUMIFS('Shift4'!$E$11:$E$116,'Shift4'!$G$11:$G$116,"&gt;="&amp;$AN20,'Shift4'!$G$11:$G$116,"&lt;="&amp;$AO20)</f>
        <v/>
      </c>
      <c r="Y20" s="9">
        <f>SUMIFS('Shift4'!$E$11:$E$116,'Shift4'!$A$11:$A$116,"&lt;="&amp;$AO20,'Shift4'!$G$11:$G$116,"&gt;"&amp;$AO20)</f>
        <v/>
      </c>
      <c r="Z20" s="9">
        <f>SUMIFS('Paysafe'!$B$11:$B$44,'Paysafe'!$A$11:$A$44,"&gt;="&amp;$AN20,'Paysafe'!$A$11:$A$44,"&lt;="&amp;$AO20)</f>
        <v/>
      </c>
      <c r="AA20" s="9">
        <f>SUMIFS('Paysafe'!$C$11:$C$44,'Paysafe'!$A$11:$A$44,"&gt;="&amp;$AN20,'Paysafe'!$A$11:$A$44,"&lt;="&amp;$AO20)</f>
        <v/>
      </c>
      <c r="AB20" s="9">
        <f>Z20-AA20</f>
        <v/>
      </c>
      <c r="AC20" s="9">
        <f>SUMIFS('Paysafe'!$E$11:$E$44,'Paysafe'!$G$11:$G$44,"&gt;="&amp;$AN20,'Paysafe'!$G$11:$G$44,"&lt;="&amp;$AO20)</f>
        <v/>
      </c>
      <c r="AD20" s="9">
        <f>SUMIFS('Paysafe'!$E$11:$E$44,'Paysafe'!$A$11:$A$44,"&lt;="&amp;$AO20,'Paysafe'!$G$11:$G$44,"&gt;"&amp;$AO20)</f>
        <v/>
      </c>
      <c r="AE20" s="10">
        <f>K20+P20+U20+Z20</f>
        <v/>
      </c>
      <c r="AF20" s="10">
        <f>L20+Q20+V20+AA20</f>
        <v/>
      </c>
      <c r="AG20" s="10">
        <f>M20+R20+W20+AB20</f>
        <v/>
      </c>
      <c r="AH20" s="10">
        <f>N20+S20+X20+AC20</f>
        <v/>
      </c>
      <c r="AI20" s="10">
        <f>O20+T20+Y20+AD20</f>
        <v/>
      </c>
      <c r="AN20" s="8" t="n">
        <v>46013</v>
      </c>
      <c r="AO20" s="8" t="n">
        <v>46019</v>
      </c>
    </row>
    <row r="21">
      <c r="A21" s="8" t="n">
        <v>45941</v>
      </c>
      <c r="B21" s="9">
        <f>SUMIFS('Adyen'!$E$11:$E$207,'Adyen'!$G$11:$G$207,$A21)</f>
        <v/>
      </c>
      <c r="C21" s="9">
        <f>SUMIFS('Nuvei'!$E$11:$E$296,'Nuvei'!$G$11:$G$296,$A21)</f>
        <v/>
      </c>
      <c r="D21" s="9">
        <f>SUMIFS('Shift4'!$E$11:$E$116,'Shift4'!$G$11:$G$116,$A21)</f>
        <v/>
      </c>
      <c r="E21" s="9">
        <f>SUMIFS('Paysafe'!$E$11:$E$44,'Paysafe'!$G$11:$G$44,$A21)</f>
        <v/>
      </c>
      <c r="F21" s="10">
        <f>SUM(B21:E21)</f>
        <v/>
      </c>
      <c r="H21" t="n">
        <v>2026</v>
      </c>
      <c r="I21" t="inlineStr">
        <is>
          <t>W01</t>
        </is>
      </c>
      <c r="J21" t="inlineStr">
        <is>
          <t>29/12 - 04/01/2026</t>
        </is>
      </c>
      <c r="K21" s="9">
        <f>SUMIFS('Adyen'!$B$11:$B$207,'Adyen'!$A$11:$A$207,"&gt;="&amp;$AN21,'Adyen'!$A$11:$A$207,"&lt;="&amp;$AO21)</f>
        <v/>
      </c>
      <c r="L21" s="9">
        <f>SUMIFS('Adyen'!$C$11:$C$207,'Adyen'!$A$11:$A$207,"&gt;="&amp;$AN21,'Adyen'!$A$11:$A$207,"&lt;="&amp;$AO21)</f>
        <v/>
      </c>
      <c r="M21" s="9">
        <f>K21-L21</f>
        <v/>
      </c>
      <c r="N21" s="9">
        <f>SUMIFS('Adyen'!$E$11:$E$207,'Adyen'!$G$11:$G$207,"&gt;="&amp;$AN21,'Adyen'!$G$11:$G$207,"&lt;="&amp;$AO21)</f>
        <v/>
      </c>
      <c r="O21" s="9">
        <f>SUMIFS('Adyen'!$E$11:$E$207,'Adyen'!$A$11:$A$207,"&lt;="&amp;$AO21,'Adyen'!$G$11:$G$207,"&gt;"&amp;$AO21)</f>
        <v/>
      </c>
      <c r="P21" s="9">
        <f>SUMIFS('Nuvei'!$B$11:$B$296,'Nuvei'!$A$11:$A$296,"&gt;="&amp;$AN21,'Nuvei'!$A$11:$A$296,"&lt;="&amp;$AO21)</f>
        <v/>
      </c>
      <c r="Q21" s="9">
        <f>SUMIFS('Nuvei'!$C$11:$C$296,'Nuvei'!$A$11:$A$296,"&gt;="&amp;$AN21,'Nuvei'!$A$11:$A$296,"&lt;="&amp;$AO21)</f>
        <v/>
      </c>
      <c r="R21" s="9">
        <f>P21-Q21</f>
        <v/>
      </c>
      <c r="S21" s="9">
        <f>SUMIFS('Nuvei'!$E$11:$E$296,'Nuvei'!$G$11:$G$296,"&gt;="&amp;$AN21,'Nuvei'!$G$11:$G$296,"&lt;="&amp;$AO21)</f>
        <v/>
      </c>
      <c r="T21" s="9">
        <f>SUMIFS('Nuvei'!$E$11:$E$296,'Nuvei'!$A$11:$A$296,"&lt;="&amp;$AO21,'Nuvei'!$G$11:$G$296,"&gt;"&amp;$AO21)</f>
        <v/>
      </c>
      <c r="U21" s="9">
        <f>SUMIFS('Shift4'!$B$11:$B$116,'Shift4'!$A$11:$A$116,"&gt;="&amp;$AN21,'Shift4'!$A$11:$A$116,"&lt;="&amp;$AO21)</f>
        <v/>
      </c>
      <c r="V21" s="9">
        <f>SUMIFS('Shift4'!$C$11:$C$116,'Shift4'!$A$11:$A$116,"&gt;="&amp;$AN21,'Shift4'!$A$11:$A$116,"&lt;="&amp;$AO21)</f>
        <v/>
      </c>
      <c r="W21" s="9">
        <f>U21-V21</f>
        <v/>
      </c>
      <c r="X21" s="9">
        <f>SUMIFS('Shift4'!$E$11:$E$116,'Shift4'!$G$11:$G$116,"&gt;="&amp;$AN21,'Shift4'!$G$11:$G$116,"&lt;="&amp;$AO21)</f>
        <v/>
      </c>
      <c r="Y21" s="9">
        <f>SUMIFS('Shift4'!$E$11:$E$116,'Shift4'!$A$11:$A$116,"&lt;="&amp;$AO21,'Shift4'!$G$11:$G$116,"&gt;"&amp;$AO21)</f>
        <v/>
      </c>
      <c r="Z21" s="9">
        <f>SUMIFS('Paysafe'!$B$11:$B$44,'Paysafe'!$A$11:$A$44,"&gt;="&amp;$AN21,'Paysafe'!$A$11:$A$44,"&lt;="&amp;$AO21)</f>
        <v/>
      </c>
      <c r="AA21" s="9">
        <f>SUMIFS('Paysafe'!$C$11:$C$44,'Paysafe'!$A$11:$A$44,"&gt;="&amp;$AN21,'Paysafe'!$A$11:$A$44,"&lt;="&amp;$AO21)</f>
        <v/>
      </c>
      <c r="AB21" s="9">
        <f>Z21-AA21</f>
        <v/>
      </c>
      <c r="AC21" s="9">
        <f>SUMIFS('Paysafe'!$E$11:$E$44,'Paysafe'!$G$11:$G$44,"&gt;="&amp;$AN21,'Paysafe'!$G$11:$G$44,"&lt;="&amp;$AO21)</f>
        <v/>
      </c>
      <c r="AD21" s="9">
        <f>SUMIFS('Paysafe'!$E$11:$E$44,'Paysafe'!$A$11:$A$44,"&lt;="&amp;$AO21,'Paysafe'!$G$11:$G$44,"&gt;"&amp;$AO21)</f>
        <v/>
      </c>
      <c r="AE21" s="10">
        <f>K21+P21+U21+Z21</f>
        <v/>
      </c>
      <c r="AF21" s="10">
        <f>L21+Q21+V21+AA21</f>
        <v/>
      </c>
      <c r="AG21" s="10">
        <f>M21+R21+W21+AB21</f>
        <v/>
      </c>
      <c r="AH21" s="10">
        <f>N21+S21+X21+AC21</f>
        <v/>
      </c>
      <c r="AI21" s="10">
        <f>O21+T21+Y21+AD21</f>
        <v/>
      </c>
      <c r="AN21" s="8" t="n">
        <v>46020</v>
      </c>
      <c r="AO21" s="8" t="n">
        <v>46026</v>
      </c>
    </row>
    <row r="22">
      <c r="A22" s="8" t="n">
        <v>45942</v>
      </c>
      <c r="B22" s="9">
        <f>SUMIFS('Adyen'!$E$11:$E$207,'Adyen'!$G$11:$G$207,$A22)</f>
        <v/>
      </c>
      <c r="C22" s="9">
        <f>SUMIFS('Nuvei'!$E$11:$E$296,'Nuvei'!$G$11:$G$296,$A22)</f>
        <v/>
      </c>
      <c r="D22" s="9">
        <f>SUMIFS('Shift4'!$E$11:$E$116,'Shift4'!$G$11:$G$116,$A22)</f>
        <v/>
      </c>
      <c r="E22" s="9">
        <f>SUMIFS('Paysafe'!$E$11:$E$44,'Paysafe'!$G$11:$G$44,$A22)</f>
        <v/>
      </c>
      <c r="F22" s="10">
        <f>SUM(B22:E22)</f>
        <v/>
      </c>
      <c r="H22" t="n">
        <v>2026</v>
      </c>
      <c r="I22" t="inlineStr">
        <is>
          <t>W02</t>
        </is>
      </c>
      <c r="J22" t="inlineStr">
        <is>
          <t>05/01 - 11/01/2026</t>
        </is>
      </c>
      <c r="K22" s="9">
        <f>SUMIFS('Adyen'!$B$11:$B$207,'Adyen'!$A$11:$A$207,"&gt;="&amp;$AN22,'Adyen'!$A$11:$A$207,"&lt;="&amp;$AO22)</f>
        <v/>
      </c>
      <c r="L22" s="9">
        <f>SUMIFS('Adyen'!$C$11:$C$207,'Adyen'!$A$11:$A$207,"&gt;="&amp;$AN22,'Adyen'!$A$11:$A$207,"&lt;="&amp;$AO22)</f>
        <v/>
      </c>
      <c r="M22" s="9">
        <f>K22-L22</f>
        <v/>
      </c>
      <c r="N22" s="9">
        <f>SUMIFS('Adyen'!$E$11:$E$207,'Adyen'!$G$11:$G$207,"&gt;="&amp;$AN22,'Adyen'!$G$11:$G$207,"&lt;="&amp;$AO22)</f>
        <v/>
      </c>
      <c r="O22" s="9">
        <f>SUMIFS('Adyen'!$E$11:$E$207,'Adyen'!$A$11:$A$207,"&lt;="&amp;$AO22,'Adyen'!$G$11:$G$207,"&gt;"&amp;$AO22)</f>
        <v/>
      </c>
      <c r="P22" s="9">
        <f>SUMIFS('Nuvei'!$B$11:$B$296,'Nuvei'!$A$11:$A$296,"&gt;="&amp;$AN22,'Nuvei'!$A$11:$A$296,"&lt;="&amp;$AO22)</f>
        <v/>
      </c>
      <c r="Q22" s="9">
        <f>SUMIFS('Nuvei'!$C$11:$C$296,'Nuvei'!$A$11:$A$296,"&gt;="&amp;$AN22,'Nuvei'!$A$11:$A$296,"&lt;="&amp;$AO22)</f>
        <v/>
      </c>
      <c r="R22" s="9">
        <f>P22-Q22</f>
        <v/>
      </c>
      <c r="S22" s="9">
        <f>SUMIFS('Nuvei'!$E$11:$E$296,'Nuvei'!$G$11:$G$296,"&gt;="&amp;$AN22,'Nuvei'!$G$11:$G$296,"&lt;="&amp;$AO22)</f>
        <v/>
      </c>
      <c r="T22" s="9">
        <f>SUMIFS('Nuvei'!$E$11:$E$296,'Nuvei'!$A$11:$A$296,"&lt;="&amp;$AO22,'Nuvei'!$G$11:$G$296,"&gt;"&amp;$AO22)</f>
        <v/>
      </c>
      <c r="U22" s="9">
        <f>SUMIFS('Shift4'!$B$11:$B$116,'Shift4'!$A$11:$A$116,"&gt;="&amp;$AN22,'Shift4'!$A$11:$A$116,"&lt;="&amp;$AO22)</f>
        <v/>
      </c>
      <c r="V22" s="9">
        <f>SUMIFS('Shift4'!$C$11:$C$116,'Shift4'!$A$11:$A$116,"&gt;="&amp;$AN22,'Shift4'!$A$11:$A$116,"&lt;="&amp;$AO22)</f>
        <v/>
      </c>
      <c r="W22" s="9">
        <f>U22-V22</f>
        <v/>
      </c>
      <c r="X22" s="9">
        <f>SUMIFS('Shift4'!$E$11:$E$116,'Shift4'!$G$11:$G$116,"&gt;="&amp;$AN22,'Shift4'!$G$11:$G$116,"&lt;="&amp;$AO22)</f>
        <v/>
      </c>
      <c r="Y22" s="9">
        <f>SUMIFS('Shift4'!$E$11:$E$116,'Shift4'!$A$11:$A$116,"&lt;="&amp;$AO22,'Shift4'!$G$11:$G$116,"&gt;"&amp;$AO22)</f>
        <v/>
      </c>
      <c r="Z22" s="9">
        <f>SUMIFS('Paysafe'!$B$11:$B$44,'Paysafe'!$A$11:$A$44,"&gt;="&amp;$AN22,'Paysafe'!$A$11:$A$44,"&lt;="&amp;$AO22)</f>
        <v/>
      </c>
      <c r="AA22" s="9">
        <f>SUMIFS('Paysafe'!$C$11:$C$44,'Paysafe'!$A$11:$A$44,"&gt;="&amp;$AN22,'Paysafe'!$A$11:$A$44,"&lt;="&amp;$AO22)</f>
        <v/>
      </c>
      <c r="AB22" s="9">
        <f>Z22-AA22</f>
        <v/>
      </c>
      <c r="AC22" s="9">
        <f>SUMIFS('Paysafe'!$E$11:$E$44,'Paysafe'!$G$11:$G$44,"&gt;="&amp;$AN22,'Paysafe'!$G$11:$G$44,"&lt;="&amp;$AO22)</f>
        <v/>
      </c>
      <c r="AD22" s="9">
        <f>SUMIFS('Paysafe'!$E$11:$E$44,'Paysafe'!$A$11:$A$44,"&lt;="&amp;$AO22,'Paysafe'!$G$11:$G$44,"&gt;"&amp;$AO22)</f>
        <v/>
      </c>
      <c r="AE22" s="10">
        <f>K22+P22+U22+Z22</f>
        <v/>
      </c>
      <c r="AF22" s="10">
        <f>L22+Q22+V22+AA22</f>
        <v/>
      </c>
      <c r="AG22" s="10">
        <f>M22+R22+W22+AB22</f>
        <v/>
      </c>
      <c r="AH22" s="10">
        <f>N22+S22+X22+AC22</f>
        <v/>
      </c>
      <c r="AI22" s="10">
        <f>O22+T22+Y22+AD22</f>
        <v/>
      </c>
      <c r="AN22" s="8" t="n">
        <v>46027</v>
      </c>
      <c r="AO22" s="8" t="n">
        <v>46033</v>
      </c>
    </row>
    <row r="23">
      <c r="A23" s="8" t="n">
        <v>45943</v>
      </c>
      <c r="B23" s="9">
        <f>SUMIFS('Adyen'!$E$11:$E$207,'Adyen'!$G$11:$G$207,$A23)</f>
        <v/>
      </c>
      <c r="C23" s="9">
        <f>SUMIFS('Nuvei'!$E$11:$E$296,'Nuvei'!$G$11:$G$296,$A23)</f>
        <v/>
      </c>
      <c r="D23" s="9">
        <f>SUMIFS('Shift4'!$E$11:$E$116,'Shift4'!$G$11:$G$116,$A23)</f>
        <v/>
      </c>
      <c r="E23" s="9">
        <f>SUMIFS('Paysafe'!$E$11:$E$44,'Paysafe'!$G$11:$G$44,$A23)</f>
        <v/>
      </c>
      <c r="F23" s="10">
        <f>SUM(B23:E23)</f>
        <v/>
      </c>
      <c r="H23" t="n">
        <v>2026</v>
      </c>
      <c r="I23" t="inlineStr">
        <is>
          <t>W03</t>
        </is>
      </c>
      <c r="J23" t="inlineStr">
        <is>
          <t>12/01 - 18/01/2026</t>
        </is>
      </c>
      <c r="K23" s="9">
        <f>SUMIFS('Adyen'!$B$11:$B$207,'Adyen'!$A$11:$A$207,"&gt;="&amp;$AN23,'Adyen'!$A$11:$A$207,"&lt;="&amp;$AO23)</f>
        <v/>
      </c>
      <c r="L23" s="9">
        <f>SUMIFS('Adyen'!$C$11:$C$207,'Adyen'!$A$11:$A$207,"&gt;="&amp;$AN23,'Adyen'!$A$11:$A$207,"&lt;="&amp;$AO23)</f>
        <v/>
      </c>
      <c r="M23" s="9">
        <f>K23-L23</f>
        <v/>
      </c>
      <c r="N23" s="9">
        <f>SUMIFS('Adyen'!$E$11:$E$207,'Adyen'!$G$11:$G$207,"&gt;="&amp;$AN23,'Adyen'!$G$11:$G$207,"&lt;="&amp;$AO23)</f>
        <v/>
      </c>
      <c r="O23" s="9">
        <f>SUMIFS('Adyen'!$E$11:$E$207,'Adyen'!$A$11:$A$207,"&lt;="&amp;$AO23,'Adyen'!$G$11:$G$207,"&gt;"&amp;$AO23)</f>
        <v/>
      </c>
      <c r="P23" s="9">
        <f>SUMIFS('Nuvei'!$B$11:$B$296,'Nuvei'!$A$11:$A$296,"&gt;="&amp;$AN23,'Nuvei'!$A$11:$A$296,"&lt;="&amp;$AO23)</f>
        <v/>
      </c>
      <c r="Q23" s="9">
        <f>SUMIFS('Nuvei'!$C$11:$C$296,'Nuvei'!$A$11:$A$296,"&gt;="&amp;$AN23,'Nuvei'!$A$11:$A$296,"&lt;="&amp;$AO23)</f>
        <v/>
      </c>
      <c r="R23" s="9">
        <f>P23-Q23</f>
        <v/>
      </c>
      <c r="S23" s="9">
        <f>SUMIFS('Nuvei'!$E$11:$E$296,'Nuvei'!$G$11:$G$296,"&gt;="&amp;$AN23,'Nuvei'!$G$11:$G$296,"&lt;="&amp;$AO23)</f>
        <v/>
      </c>
      <c r="T23" s="9">
        <f>SUMIFS('Nuvei'!$E$11:$E$296,'Nuvei'!$A$11:$A$296,"&lt;="&amp;$AO23,'Nuvei'!$G$11:$G$296,"&gt;"&amp;$AO23)</f>
        <v/>
      </c>
      <c r="U23" s="9">
        <f>SUMIFS('Shift4'!$B$11:$B$116,'Shift4'!$A$11:$A$116,"&gt;="&amp;$AN23,'Shift4'!$A$11:$A$116,"&lt;="&amp;$AO23)</f>
        <v/>
      </c>
      <c r="V23" s="9">
        <f>SUMIFS('Shift4'!$C$11:$C$116,'Shift4'!$A$11:$A$116,"&gt;="&amp;$AN23,'Shift4'!$A$11:$A$116,"&lt;="&amp;$AO23)</f>
        <v/>
      </c>
      <c r="W23" s="9">
        <f>U23-V23</f>
        <v/>
      </c>
      <c r="X23" s="9">
        <f>SUMIFS('Shift4'!$E$11:$E$116,'Shift4'!$G$11:$G$116,"&gt;="&amp;$AN23,'Shift4'!$G$11:$G$116,"&lt;="&amp;$AO23)</f>
        <v/>
      </c>
      <c r="Y23" s="9">
        <f>SUMIFS('Shift4'!$E$11:$E$116,'Shift4'!$A$11:$A$116,"&lt;="&amp;$AO23,'Shift4'!$G$11:$G$116,"&gt;"&amp;$AO23)</f>
        <v/>
      </c>
      <c r="Z23" s="9">
        <f>SUMIFS('Paysafe'!$B$11:$B$44,'Paysafe'!$A$11:$A$44,"&gt;="&amp;$AN23,'Paysafe'!$A$11:$A$44,"&lt;="&amp;$AO23)</f>
        <v/>
      </c>
      <c r="AA23" s="9">
        <f>SUMIFS('Paysafe'!$C$11:$C$44,'Paysafe'!$A$11:$A$44,"&gt;="&amp;$AN23,'Paysafe'!$A$11:$A$44,"&lt;="&amp;$AO23)</f>
        <v/>
      </c>
      <c r="AB23" s="9">
        <f>Z23-AA23</f>
        <v/>
      </c>
      <c r="AC23" s="9">
        <f>SUMIFS('Paysafe'!$E$11:$E$44,'Paysafe'!$G$11:$G$44,"&gt;="&amp;$AN23,'Paysafe'!$G$11:$G$44,"&lt;="&amp;$AO23)</f>
        <v/>
      </c>
      <c r="AD23" s="9">
        <f>SUMIFS('Paysafe'!$E$11:$E$44,'Paysafe'!$A$11:$A$44,"&lt;="&amp;$AO23,'Paysafe'!$G$11:$G$44,"&gt;"&amp;$AO23)</f>
        <v/>
      </c>
      <c r="AE23" s="10">
        <f>K23+P23+U23+Z23</f>
        <v/>
      </c>
      <c r="AF23" s="10">
        <f>L23+Q23+V23+AA23</f>
        <v/>
      </c>
      <c r="AG23" s="10">
        <f>M23+R23+W23+AB23</f>
        <v/>
      </c>
      <c r="AH23" s="10">
        <f>N23+S23+X23+AC23</f>
        <v/>
      </c>
      <c r="AI23" s="10">
        <f>O23+T23+Y23+AD23</f>
        <v/>
      </c>
      <c r="AN23" s="8" t="n">
        <v>46034</v>
      </c>
      <c r="AO23" s="8" t="n">
        <v>46040</v>
      </c>
    </row>
    <row r="24">
      <c r="A24" s="8" t="n">
        <v>45944</v>
      </c>
      <c r="B24" s="9">
        <f>SUMIFS('Adyen'!$E$11:$E$207,'Adyen'!$G$11:$G$207,$A24)</f>
        <v/>
      </c>
      <c r="C24" s="9">
        <f>SUMIFS('Nuvei'!$E$11:$E$296,'Nuvei'!$G$11:$G$296,$A24)</f>
        <v/>
      </c>
      <c r="D24" s="9">
        <f>SUMIFS('Shift4'!$E$11:$E$116,'Shift4'!$G$11:$G$116,$A24)</f>
        <v/>
      </c>
      <c r="E24" s="9">
        <f>SUMIFS('Paysafe'!$E$11:$E$44,'Paysafe'!$G$11:$G$44,$A24)</f>
        <v/>
      </c>
      <c r="F24" s="10">
        <f>SUM(B24:E24)</f>
        <v/>
      </c>
      <c r="H24" t="n">
        <v>2026</v>
      </c>
      <c r="I24" t="inlineStr">
        <is>
          <t>W04</t>
        </is>
      </c>
      <c r="J24" t="inlineStr">
        <is>
          <t>19/01 - 25/01/2026</t>
        </is>
      </c>
      <c r="K24" s="9">
        <f>SUMIFS('Adyen'!$B$11:$B$207,'Adyen'!$A$11:$A$207,"&gt;="&amp;$AN24,'Adyen'!$A$11:$A$207,"&lt;="&amp;$AO24)</f>
        <v/>
      </c>
      <c r="L24" s="9">
        <f>SUMIFS('Adyen'!$C$11:$C$207,'Adyen'!$A$11:$A$207,"&gt;="&amp;$AN24,'Adyen'!$A$11:$A$207,"&lt;="&amp;$AO24)</f>
        <v/>
      </c>
      <c r="M24" s="9">
        <f>K24-L24</f>
        <v/>
      </c>
      <c r="N24" s="9">
        <f>SUMIFS('Adyen'!$E$11:$E$207,'Adyen'!$G$11:$G$207,"&gt;="&amp;$AN24,'Adyen'!$G$11:$G$207,"&lt;="&amp;$AO24)</f>
        <v/>
      </c>
      <c r="O24" s="9">
        <f>SUMIFS('Adyen'!$E$11:$E$207,'Adyen'!$A$11:$A$207,"&lt;="&amp;$AO24,'Adyen'!$G$11:$G$207,"&gt;"&amp;$AO24)</f>
        <v/>
      </c>
      <c r="P24" s="9">
        <f>SUMIFS('Nuvei'!$B$11:$B$296,'Nuvei'!$A$11:$A$296,"&gt;="&amp;$AN24,'Nuvei'!$A$11:$A$296,"&lt;="&amp;$AO24)</f>
        <v/>
      </c>
      <c r="Q24" s="9">
        <f>SUMIFS('Nuvei'!$C$11:$C$296,'Nuvei'!$A$11:$A$296,"&gt;="&amp;$AN24,'Nuvei'!$A$11:$A$296,"&lt;="&amp;$AO24)</f>
        <v/>
      </c>
      <c r="R24" s="9">
        <f>P24-Q24</f>
        <v/>
      </c>
      <c r="S24" s="9">
        <f>SUMIFS('Nuvei'!$E$11:$E$296,'Nuvei'!$G$11:$G$296,"&gt;="&amp;$AN24,'Nuvei'!$G$11:$G$296,"&lt;="&amp;$AO24)</f>
        <v/>
      </c>
      <c r="T24" s="9">
        <f>SUMIFS('Nuvei'!$E$11:$E$296,'Nuvei'!$A$11:$A$296,"&lt;="&amp;$AO24,'Nuvei'!$G$11:$G$296,"&gt;"&amp;$AO24)</f>
        <v/>
      </c>
      <c r="U24" s="9">
        <f>SUMIFS('Shift4'!$B$11:$B$116,'Shift4'!$A$11:$A$116,"&gt;="&amp;$AN24,'Shift4'!$A$11:$A$116,"&lt;="&amp;$AO24)</f>
        <v/>
      </c>
      <c r="V24" s="9">
        <f>SUMIFS('Shift4'!$C$11:$C$116,'Shift4'!$A$11:$A$116,"&gt;="&amp;$AN24,'Shift4'!$A$11:$A$116,"&lt;="&amp;$AO24)</f>
        <v/>
      </c>
      <c r="W24" s="9">
        <f>U24-V24</f>
        <v/>
      </c>
      <c r="X24" s="9">
        <f>SUMIFS('Shift4'!$E$11:$E$116,'Shift4'!$G$11:$G$116,"&gt;="&amp;$AN24,'Shift4'!$G$11:$G$116,"&lt;="&amp;$AO24)</f>
        <v/>
      </c>
      <c r="Y24" s="9">
        <f>SUMIFS('Shift4'!$E$11:$E$116,'Shift4'!$A$11:$A$116,"&lt;="&amp;$AO24,'Shift4'!$G$11:$G$116,"&gt;"&amp;$AO24)</f>
        <v/>
      </c>
      <c r="Z24" s="9">
        <f>SUMIFS('Paysafe'!$B$11:$B$44,'Paysafe'!$A$11:$A$44,"&gt;="&amp;$AN24,'Paysafe'!$A$11:$A$44,"&lt;="&amp;$AO24)</f>
        <v/>
      </c>
      <c r="AA24" s="9">
        <f>SUMIFS('Paysafe'!$C$11:$C$44,'Paysafe'!$A$11:$A$44,"&gt;="&amp;$AN24,'Paysafe'!$A$11:$A$44,"&lt;="&amp;$AO24)</f>
        <v/>
      </c>
      <c r="AB24" s="9">
        <f>Z24-AA24</f>
        <v/>
      </c>
      <c r="AC24" s="9">
        <f>SUMIFS('Paysafe'!$E$11:$E$44,'Paysafe'!$G$11:$G$44,"&gt;="&amp;$AN24,'Paysafe'!$G$11:$G$44,"&lt;="&amp;$AO24)</f>
        <v/>
      </c>
      <c r="AD24" s="9">
        <f>SUMIFS('Paysafe'!$E$11:$E$44,'Paysafe'!$A$11:$A$44,"&lt;="&amp;$AO24,'Paysafe'!$G$11:$G$44,"&gt;"&amp;$AO24)</f>
        <v/>
      </c>
      <c r="AE24" s="10">
        <f>K24+P24+U24+Z24</f>
        <v/>
      </c>
      <c r="AF24" s="10">
        <f>L24+Q24+V24+AA24</f>
        <v/>
      </c>
      <c r="AG24" s="10">
        <f>M24+R24+W24+AB24</f>
        <v/>
      </c>
      <c r="AH24" s="10">
        <f>N24+S24+X24+AC24</f>
        <v/>
      </c>
      <c r="AI24" s="10">
        <f>O24+T24+Y24+AD24</f>
        <v/>
      </c>
      <c r="AN24" s="8" t="n">
        <v>46041</v>
      </c>
      <c r="AO24" s="8" t="n">
        <v>46047</v>
      </c>
    </row>
    <row r="25">
      <c r="A25" s="8" t="n">
        <v>45945</v>
      </c>
      <c r="B25" s="9">
        <f>SUMIFS('Adyen'!$E$11:$E$207,'Adyen'!$G$11:$G$207,$A25)</f>
        <v/>
      </c>
      <c r="C25" s="9">
        <f>SUMIFS('Nuvei'!$E$11:$E$296,'Nuvei'!$G$11:$G$296,$A25)</f>
        <v/>
      </c>
      <c r="D25" s="9">
        <f>SUMIFS('Shift4'!$E$11:$E$116,'Shift4'!$G$11:$G$116,$A25)</f>
        <v/>
      </c>
      <c r="E25" s="9">
        <f>SUMIFS('Paysafe'!$E$11:$E$44,'Paysafe'!$G$11:$G$44,$A25)</f>
        <v/>
      </c>
      <c r="F25" s="10">
        <f>SUM(B25:E25)</f>
        <v/>
      </c>
      <c r="H25" t="n">
        <v>2026</v>
      </c>
      <c r="I25" t="inlineStr">
        <is>
          <t>W05</t>
        </is>
      </c>
      <c r="J25" t="inlineStr">
        <is>
          <t>26/01 - 01/02/2026</t>
        </is>
      </c>
      <c r="K25" s="9">
        <f>SUMIFS('Adyen'!$B$11:$B$207,'Adyen'!$A$11:$A$207,"&gt;="&amp;$AN25,'Adyen'!$A$11:$A$207,"&lt;="&amp;$AO25)</f>
        <v/>
      </c>
      <c r="L25" s="9">
        <f>SUMIFS('Adyen'!$C$11:$C$207,'Adyen'!$A$11:$A$207,"&gt;="&amp;$AN25,'Adyen'!$A$11:$A$207,"&lt;="&amp;$AO25)</f>
        <v/>
      </c>
      <c r="M25" s="9">
        <f>K25-L25</f>
        <v/>
      </c>
      <c r="N25" s="9">
        <f>SUMIFS('Adyen'!$E$11:$E$207,'Adyen'!$G$11:$G$207,"&gt;="&amp;$AN25,'Adyen'!$G$11:$G$207,"&lt;="&amp;$AO25)</f>
        <v/>
      </c>
      <c r="O25" s="9">
        <f>SUMIFS('Adyen'!$E$11:$E$207,'Adyen'!$A$11:$A$207,"&lt;="&amp;$AO25,'Adyen'!$G$11:$G$207,"&gt;"&amp;$AO25)</f>
        <v/>
      </c>
      <c r="P25" s="9">
        <f>SUMIFS('Nuvei'!$B$11:$B$296,'Nuvei'!$A$11:$A$296,"&gt;="&amp;$AN25,'Nuvei'!$A$11:$A$296,"&lt;="&amp;$AO25)</f>
        <v/>
      </c>
      <c r="Q25" s="9">
        <f>SUMIFS('Nuvei'!$C$11:$C$296,'Nuvei'!$A$11:$A$296,"&gt;="&amp;$AN25,'Nuvei'!$A$11:$A$296,"&lt;="&amp;$AO25)</f>
        <v/>
      </c>
      <c r="R25" s="9">
        <f>P25-Q25</f>
        <v/>
      </c>
      <c r="S25" s="9">
        <f>SUMIFS('Nuvei'!$E$11:$E$296,'Nuvei'!$G$11:$G$296,"&gt;="&amp;$AN25,'Nuvei'!$G$11:$G$296,"&lt;="&amp;$AO25)</f>
        <v/>
      </c>
      <c r="T25" s="9">
        <f>SUMIFS('Nuvei'!$E$11:$E$296,'Nuvei'!$A$11:$A$296,"&lt;="&amp;$AO25,'Nuvei'!$G$11:$G$296,"&gt;"&amp;$AO25)</f>
        <v/>
      </c>
      <c r="U25" s="9">
        <f>SUMIFS('Shift4'!$B$11:$B$116,'Shift4'!$A$11:$A$116,"&gt;="&amp;$AN25,'Shift4'!$A$11:$A$116,"&lt;="&amp;$AO25)</f>
        <v/>
      </c>
      <c r="V25" s="9">
        <f>SUMIFS('Shift4'!$C$11:$C$116,'Shift4'!$A$11:$A$116,"&gt;="&amp;$AN25,'Shift4'!$A$11:$A$116,"&lt;="&amp;$AO25)</f>
        <v/>
      </c>
      <c r="W25" s="9">
        <f>U25-V25</f>
        <v/>
      </c>
      <c r="X25" s="9">
        <f>SUMIFS('Shift4'!$E$11:$E$116,'Shift4'!$G$11:$G$116,"&gt;="&amp;$AN25,'Shift4'!$G$11:$G$116,"&lt;="&amp;$AO25)</f>
        <v/>
      </c>
      <c r="Y25" s="9">
        <f>SUMIFS('Shift4'!$E$11:$E$116,'Shift4'!$A$11:$A$116,"&lt;="&amp;$AO25,'Shift4'!$G$11:$G$116,"&gt;"&amp;$AO25)</f>
        <v/>
      </c>
      <c r="Z25" s="9">
        <f>SUMIFS('Paysafe'!$B$11:$B$44,'Paysafe'!$A$11:$A$44,"&gt;="&amp;$AN25,'Paysafe'!$A$11:$A$44,"&lt;="&amp;$AO25)</f>
        <v/>
      </c>
      <c r="AA25" s="9">
        <f>SUMIFS('Paysafe'!$C$11:$C$44,'Paysafe'!$A$11:$A$44,"&gt;="&amp;$AN25,'Paysafe'!$A$11:$A$44,"&lt;="&amp;$AO25)</f>
        <v/>
      </c>
      <c r="AB25" s="9">
        <f>Z25-AA25</f>
        <v/>
      </c>
      <c r="AC25" s="9">
        <f>SUMIFS('Paysafe'!$E$11:$E$44,'Paysafe'!$G$11:$G$44,"&gt;="&amp;$AN25,'Paysafe'!$G$11:$G$44,"&lt;="&amp;$AO25)</f>
        <v/>
      </c>
      <c r="AD25" s="9">
        <f>SUMIFS('Paysafe'!$E$11:$E$44,'Paysafe'!$A$11:$A$44,"&lt;="&amp;$AO25,'Paysafe'!$G$11:$G$44,"&gt;"&amp;$AO25)</f>
        <v/>
      </c>
      <c r="AE25" s="10">
        <f>K25+P25+U25+Z25</f>
        <v/>
      </c>
      <c r="AF25" s="10">
        <f>L25+Q25+V25+AA25</f>
        <v/>
      </c>
      <c r="AG25" s="10">
        <f>M25+R25+W25+AB25</f>
        <v/>
      </c>
      <c r="AH25" s="10">
        <f>N25+S25+X25+AC25</f>
        <v/>
      </c>
      <c r="AI25" s="10">
        <f>O25+T25+Y25+AD25</f>
        <v/>
      </c>
      <c r="AN25" s="8" t="n">
        <v>46048</v>
      </c>
      <c r="AO25" s="8" t="n">
        <v>46054</v>
      </c>
    </row>
    <row r="26">
      <c r="A26" s="8" t="n">
        <v>45946</v>
      </c>
      <c r="B26" s="9">
        <f>SUMIFS('Adyen'!$E$11:$E$207,'Adyen'!$G$11:$G$207,$A26)</f>
        <v/>
      </c>
      <c r="C26" s="9">
        <f>SUMIFS('Nuvei'!$E$11:$E$296,'Nuvei'!$G$11:$G$296,$A26)</f>
        <v/>
      </c>
      <c r="D26" s="9">
        <f>SUMIFS('Shift4'!$E$11:$E$116,'Shift4'!$G$11:$G$116,$A26)</f>
        <v/>
      </c>
      <c r="E26" s="9">
        <f>SUMIFS('Paysafe'!$E$11:$E$44,'Paysafe'!$G$11:$G$44,$A26)</f>
        <v/>
      </c>
      <c r="F26" s="10">
        <f>SUM(B26:E26)</f>
        <v/>
      </c>
      <c r="H26" t="n">
        <v>2026</v>
      </c>
      <c r="I26" t="inlineStr">
        <is>
          <t>W06</t>
        </is>
      </c>
      <c r="J26" t="inlineStr">
        <is>
          <t>02/02 - 08/02/2026</t>
        </is>
      </c>
      <c r="K26" s="9">
        <f>SUMIFS('Adyen'!$B$11:$B$207,'Adyen'!$A$11:$A$207,"&gt;="&amp;$AN26,'Adyen'!$A$11:$A$207,"&lt;="&amp;$AO26)</f>
        <v/>
      </c>
      <c r="L26" s="9">
        <f>SUMIFS('Adyen'!$C$11:$C$207,'Adyen'!$A$11:$A$207,"&gt;="&amp;$AN26,'Adyen'!$A$11:$A$207,"&lt;="&amp;$AO26)</f>
        <v/>
      </c>
      <c r="M26" s="9">
        <f>K26-L26</f>
        <v/>
      </c>
      <c r="N26" s="9">
        <f>SUMIFS('Adyen'!$E$11:$E$207,'Adyen'!$G$11:$G$207,"&gt;="&amp;$AN26,'Adyen'!$G$11:$G$207,"&lt;="&amp;$AO26)</f>
        <v/>
      </c>
      <c r="O26" s="9">
        <f>SUMIFS('Adyen'!$E$11:$E$207,'Adyen'!$A$11:$A$207,"&lt;="&amp;$AO26,'Adyen'!$G$11:$G$207,"&gt;"&amp;$AO26)</f>
        <v/>
      </c>
      <c r="P26" s="9">
        <f>SUMIFS('Nuvei'!$B$11:$B$296,'Nuvei'!$A$11:$A$296,"&gt;="&amp;$AN26,'Nuvei'!$A$11:$A$296,"&lt;="&amp;$AO26)</f>
        <v/>
      </c>
      <c r="Q26" s="9">
        <f>SUMIFS('Nuvei'!$C$11:$C$296,'Nuvei'!$A$11:$A$296,"&gt;="&amp;$AN26,'Nuvei'!$A$11:$A$296,"&lt;="&amp;$AO26)</f>
        <v/>
      </c>
      <c r="R26" s="9">
        <f>P26-Q26</f>
        <v/>
      </c>
      <c r="S26" s="9">
        <f>SUMIFS('Nuvei'!$E$11:$E$296,'Nuvei'!$G$11:$G$296,"&gt;="&amp;$AN26,'Nuvei'!$G$11:$G$296,"&lt;="&amp;$AO26)</f>
        <v/>
      </c>
      <c r="T26" s="9">
        <f>SUMIFS('Nuvei'!$E$11:$E$296,'Nuvei'!$A$11:$A$296,"&lt;="&amp;$AO26,'Nuvei'!$G$11:$G$296,"&gt;"&amp;$AO26)</f>
        <v/>
      </c>
      <c r="U26" s="9">
        <f>SUMIFS('Shift4'!$B$11:$B$116,'Shift4'!$A$11:$A$116,"&gt;="&amp;$AN26,'Shift4'!$A$11:$A$116,"&lt;="&amp;$AO26)</f>
        <v/>
      </c>
      <c r="V26" s="9">
        <f>SUMIFS('Shift4'!$C$11:$C$116,'Shift4'!$A$11:$A$116,"&gt;="&amp;$AN26,'Shift4'!$A$11:$A$116,"&lt;="&amp;$AO26)</f>
        <v/>
      </c>
      <c r="W26" s="9">
        <f>U26-V26</f>
        <v/>
      </c>
      <c r="X26" s="9">
        <f>SUMIFS('Shift4'!$E$11:$E$116,'Shift4'!$G$11:$G$116,"&gt;="&amp;$AN26,'Shift4'!$G$11:$G$116,"&lt;="&amp;$AO26)</f>
        <v/>
      </c>
      <c r="Y26" s="9">
        <f>SUMIFS('Shift4'!$E$11:$E$116,'Shift4'!$A$11:$A$116,"&lt;="&amp;$AO26,'Shift4'!$G$11:$G$116,"&gt;"&amp;$AO26)</f>
        <v/>
      </c>
      <c r="Z26" s="9">
        <f>SUMIFS('Paysafe'!$B$11:$B$44,'Paysafe'!$A$11:$A$44,"&gt;="&amp;$AN26,'Paysafe'!$A$11:$A$44,"&lt;="&amp;$AO26)</f>
        <v/>
      </c>
      <c r="AA26" s="9">
        <f>SUMIFS('Paysafe'!$C$11:$C$44,'Paysafe'!$A$11:$A$44,"&gt;="&amp;$AN26,'Paysafe'!$A$11:$A$44,"&lt;="&amp;$AO26)</f>
        <v/>
      </c>
      <c r="AB26" s="9">
        <f>Z26-AA26</f>
        <v/>
      </c>
      <c r="AC26" s="9">
        <f>SUMIFS('Paysafe'!$E$11:$E$44,'Paysafe'!$G$11:$G$44,"&gt;="&amp;$AN26,'Paysafe'!$G$11:$G$44,"&lt;="&amp;$AO26)</f>
        <v/>
      </c>
      <c r="AD26" s="9">
        <f>SUMIFS('Paysafe'!$E$11:$E$44,'Paysafe'!$A$11:$A$44,"&lt;="&amp;$AO26,'Paysafe'!$G$11:$G$44,"&gt;"&amp;$AO26)</f>
        <v/>
      </c>
      <c r="AE26" s="10">
        <f>K26+P26+U26+Z26</f>
        <v/>
      </c>
      <c r="AF26" s="10">
        <f>L26+Q26+V26+AA26</f>
        <v/>
      </c>
      <c r="AG26" s="10">
        <f>M26+R26+W26+AB26</f>
        <v/>
      </c>
      <c r="AH26" s="10">
        <f>N26+S26+X26+AC26</f>
        <v/>
      </c>
      <c r="AI26" s="10">
        <f>O26+T26+Y26+AD26</f>
        <v/>
      </c>
      <c r="AN26" s="8" t="n">
        <v>46055</v>
      </c>
      <c r="AO26" s="8" t="n">
        <v>46061</v>
      </c>
    </row>
    <row r="27">
      <c r="A27" s="8" t="n">
        <v>45947</v>
      </c>
      <c r="B27" s="9">
        <f>SUMIFS('Adyen'!$E$11:$E$207,'Adyen'!$G$11:$G$207,$A27)</f>
        <v/>
      </c>
      <c r="C27" s="9">
        <f>SUMIFS('Nuvei'!$E$11:$E$296,'Nuvei'!$G$11:$G$296,$A27)</f>
        <v/>
      </c>
      <c r="D27" s="9">
        <f>SUMIFS('Shift4'!$E$11:$E$116,'Shift4'!$G$11:$G$116,$A27)</f>
        <v/>
      </c>
      <c r="E27" s="9">
        <f>SUMIFS('Paysafe'!$E$11:$E$44,'Paysafe'!$G$11:$G$44,$A27)</f>
        <v/>
      </c>
      <c r="F27" s="10">
        <f>SUM(B27:E27)</f>
        <v/>
      </c>
      <c r="H27" t="n">
        <v>2026</v>
      </c>
      <c r="I27" t="inlineStr">
        <is>
          <t>W07</t>
        </is>
      </c>
      <c r="J27" t="inlineStr">
        <is>
          <t>09/02 - 15/02/2026</t>
        </is>
      </c>
      <c r="K27" s="9">
        <f>SUMIFS('Adyen'!$B$11:$B$207,'Adyen'!$A$11:$A$207,"&gt;="&amp;$AN27,'Adyen'!$A$11:$A$207,"&lt;="&amp;$AO27)</f>
        <v/>
      </c>
      <c r="L27" s="9">
        <f>SUMIFS('Adyen'!$C$11:$C$207,'Adyen'!$A$11:$A$207,"&gt;="&amp;$AN27,'Adyen'!$A$11:$A$207,"&lt;="&amp;$AO27)</f>
        <v/>
      </c>
      <c r="M27" s="9">
        <f>K27-L27</f>
        <v/>
      </c>
      <c r="N27" s="9">
        <f>SUMIFS('Adyen'!$E$11:$E$207,'Adyen'!$G$11:$G$207,"&gt;="&amp;$AN27,'Adyen'!$G$11:$G$207,"&lt;="&amp;$AO27)</f>
        <v/>
      </c>
      <c r="O27" s="9">
        <f>SUMIFS('Adyen'!$E$11:$E$207,'Adyen'!$A$11:$A$207,"&lt;="&amp;$AO27,'Adyen'!$G$11:$G$207,"&gt;"&amp;$AO27)</f>
        <v/>
      </c>
      <c r="P27" s="9">
        <f>SUMIFS('Nuvei'!$B$11:$B$296,'Nuvei'!$A$11:$A$296,"&gt;="&amp;$AN27,'Nuvei'!$A$11:$A$296,"&lt;="&amp;$AO27)</f>
        <v/>
      </c>
      <c r="Q27" s="9">
        <f>SUMIFS('Nuvei'!$C$11:$C$296,'Nuvei'!$A$11:$A$296,"&gt;="&amp;$AN27,'Nuvei'!$A$11:$A$296,"&lt;="&amp;$AO27)</f>
        <v/>
      </c>
      <c r="R27" s="9">
        <f>P27-Q27</f>
        <v/>
      </c>
      <c r="S27" s="9">
        <f>SUMIFS('Nuvei'!$E$11:$E$296,'Nuvei'!$G$11:$G$296,"&gt;="&amp;$AN27,'Nuvei'!$G$11:$G$296,"&lt;="&amp;$AO27)</f>
        <v/>
      </c>
      <c r="T27" s="9">
        <f>SUMIFS('Nuvei'!$E$11:$E$296,'Nuvei'!$A$11:$A$296,"&lt;="&amp;$AO27,'Nuvei'!$G$11:$G$296,"&gt;"&amp;$AO27)</f>
        <v/>
      </c>
      <c r="U27" s="9">
        <f>SUMIFS('Shift4'!$B$11:$B$116,'Shift4'!$A$11:$A$116,"&gt;="&amp;$AN27,'Shift4'!$A$11:$A$116,"&lt;="&amp;$AO27)</f>
        <v/>
      </c>
      <c r="V27" s="9">
        <f>SUMIFS('Shift4'!$C$11:$C$116,'Shift4'!$A$11:$A$116,"&gt;="&amp;$AN27,'Shift4'!$A$11:$A$116,"&lt;="&amp;$AO27)</f>
        <v/>
      </c>
      <c r="W27" s="9">
        <f>U27-V27</f>
        <v/>
      </c>
      <c r="X27" s="9">
        <f>SUMIFS('Shift4'!$E$11:$E$116,'Shift4'!$G$11:$G$116,"&gt;="&amp;$AN27,'Shift4'!$G$11:$G$116,"&lt;="&amp;$AO27)</f>
        <v/>
      </c>
      <c r="Y27" s="9">
        <f>SUMIFS('Shift4'!$E$11:$E$116,'Shift4'!$A$11:$A$116,"&lt;="&amp;$AO27,'Shift4'!$G$11:$G$116,"&gt;"&amp;$AO27)</f>
        <v/>
      </c>
      <c r="Z27" s="9">
        <f>SUMIFS('Paysafe'!$B$11:$B$44,'Paysafe'!$A$11:$A$44,"&gt;="&amp;$AN27,'Paysafe'!$A$11:$A$44,"&lt;="&amp;$AO27)</f>
        <v/>
      </c>
      <c r="AA27" s="9">
        <f>SUMIFS('Paysafe'!$C$11:$C$44,'Paysafe'!$A$11:$A$44,"&gt;="&amp;$AN27,'Paysafe'!$A$11:$A$44,"&lt;="&amp;$AO27)</f>
        <v/>
      </c>
      <c r="AB27" s="9">
        <f>Z27-AA27</f>
        <v/>
      </c>
      <c r="AC27" s="9">
        <f>SUMIFS('Paysafe'!$E$11:$E$44,'Paysafe'!$G$11:$G$44,"&gt;="&amp;$AN27,'Paysafe'!$G$11:$G$44,"&lt;="&amp;$AO27)</f>
        <v/>
      </c>
      <c r="AD27" s="9">
        <f>SUMIFS('Paysafe'!$E$11:$E$44,'Paysafe'!$A$11:$A$44,"&lt;="&amp;$AO27,'Paysafe'!$G$11:$G$44,"&gt;"&amp;$AO27)</f>
        <v/>
      </c>
      <c r="AE27" s="10">
        <f>K27+P27+U27+Z27</f>
        <v/>
      </c>
      <c r="AF27" s="10">
        <f>L27+Q27+V27+AA27</f>
        <v/>
      </c>
      <c r="AG27" s="10">
        <f>M27+R27+W27+AB27</f>
        <v/>
      </c>
      <c r="AH27" s="10">
        <f>N27+S27+X27+AC27</f>
        <v/>
      </c>
      <c r="AI27" s="10">
        <f>O27+T27+Y27+AD27</f>
        <v/>
      </c>
      <c r="AN27" s="8" t="n">
        <v>46062</v>
      </c>
      <c r="AO27" s="8" t="n">
        <v>46068</v>
      </c>
    </row>
    <row r="28">
      <c r="A28" s="8" t="n">
        <v>45948</v>
      </c>
      <c r="B28" s="9">
        <f>SUMIFS('Adyen'!$E$11:$E$207,'Adyen'!$G$11:$G$207,$A28)</f>
        <v/>
      </c>
      <c r="C28" s="9">
        <f>SUMIFS('Nuvei'!$E$11:$E$296,'Nuvei'!$G$11:$G$296,$A28)</f>
        <v/>
      </c>
      <c r="D28" s="9">
        <f>SUMIFS('Shift4'!$E$11:$E$116,'Shift4'!$G$11:$G$116,$A28)</f>
        <v/>
      </c>
      <c r="E28" s="9">
        <f>SUMIFS('Paysafe'!$E$11:$E$44,'Paysafe'!$G$11:$G$44,$A28)</f>
        <v/>
      </c>
      <c r="F28" s="10">
        <f>SUM(B28:E28)</f>
        <v/>
      </c>
      <c r="H28" t="n">
        <v>2026</v>
      </c>
      <c r="I28" t="inlineStr">
        <is>
          <t>W08</t>
        </is>
      </c>
      <c r="J28" t="inlineStr">
        <is>
          <t>16/02 - 22/02/2026</t>
        </is>
      </c>
      <c r="K28" s="9">
        <f>SUMIFS('Adyen'!$B$11:$B$207,'Adyen'!$A$11:$A$207,"&gt;="&amp;$AN28,'Adyen'!$A$11:$A$207,"&lt;="&amp;$AO28)</f>
        <v/>
      </c>
      <c r="L28" s="9">
        <f>SUMIFS('Adyen'!$C$11:$C$207,'Adyen'!$A$11:$A$207,"&gt;="&amp;$AN28,'Adyen'!$A$11:$A$207,"&lt;="&amp;$AO28)</f>
        <v/>
      </c>
      <c r="M28" s="9">
        <f>K28-L28</f>
        <v/>
      </c>
      <c r="N28" s="9">
        <f>SUMIFS('Adyen'!$E$11:$E$207,'Adyen'!$G$11:$G$207,"&gt;="&amp;$AN28,'Adyen'!$G$11:$G$207,"&lt;="&amp;$AO28)</f>
        <v/>
      </c>
      <c r="O28" s="9">
        <f>SUMIFS('Adyen'!$E$11:$E$207,'Adyen'!$A$11:$A$207,"&lt;="&amp;$AO28,'Adyen'!$G$11:$G$207,"&gt;"&amp;$AO28)</f>
        <v/>
      </c>
      <c r="P28" s="9">
        <f>SUMIFS('Nuvei'!$B$11:$B$296,'Nuvei'!$A$11:$A$296,"&gt;="&amp;$AN28,'Nuvei'!$A$11:$A$296,"&lt;="&amp;$AO28)</f>
        <v/>
      </c>
      <c r="Q28" s="9">
        <f>SUMIFS('Nuvei'!$C$11:$C$296,'Nuvei'!$A$11:$A$296,"&gt;="&amp;$AN28,'Nuvei'!$A$11:$A$296,"&lt;="&amp;$AO28)</f>
        <v/>
      </c>
      <c r="R28" s="9">
        <f>P28-Q28</f>
        <v/>
      </c>
      <c r="S28" s="9">
        <f>SUMIFS('Nuvei'!$E$11:$E$296,'Nuvei'!$G$11:$G$296,"&gt;="&amp;$AN28,'Nuvei'!$G$11:$G$296,"&lt;="&amp;$AO28)</f>
        <v/>
      </c>
      <c r="T28" s="9">
        <f>SUMIFS('Nuvei'!$E$11:$E$296,'Nuvei'!$A$11:$A$296,"&lt;="&amp;$AO28,'Nuvei'!$G$11:$G$296,"&gt;"&amp;$AO28)</f>
        <v/>
      </c>
      <c r="U28" s="9">
        <f>SUMIFS('Shift4'!$B$11:$B$116,'Shift4'!$A$11:$A$116,"&gt;="&amp;$AN28,'Shift4'!$A$11:$A$116,"&lt;="&amp;$AO28)</f>
        <v/>
      </c>
      <c r="V28" s="9">
        <f>SUMIFS('Shift4'!$C$11:$C$116,'Shift4'!$A$11:$A$116,"&gt;="&amp;$AN28,'Shift4'!$A$11:$A$116,"&lt;="&amp;$AO28)</f>
        <v/>
      </c>
      <c r="W28" s="9">
        <f>U28-V28</f>
        <v/>
      </c>
      <c r="X28" s="9">
        <f>SUMIFS('Shift4'!$E$11:$E$116,'Shift4'!$G$11:$G$116,"&gt;="&amp;$AN28,'Shift4'!$G$11:$G$116,"&lt;="&amp;$AO28)</f>
        <v/>
      </c>
      <c r="Y28" s="9">
        <f>SUMIFS('Shift4'!$E$11:$E$116,'Shift4'!$A$11:$A$116,"&lt;="&amp;$AO28,'Shift4'!$G$11:$G$116,"&gt;"&amp;$AO28)</f>
        <v/>
      </c>
      <c r="Z28" s="9">
        <f>SUMIFS('Paysafe'!$B$11:$B$44,'Paysafe'!$A$11:$A$44,"&gt;="&amp;$AN28,'Paysafe'!$A$11:$A$44,"&lt;="&amp;$AO28)</f>
        <v/>
      </c>
      <c r="AA28" s="9">
        <f>SUMIFS('Paysafe'!$C$11:$C$44,'Paysafe'!$A$11:$A$44,"&gt;="&amp;$AN28,'Paysafe'!$A$11:$A$44,"&lt;="&amp;$AO28)</f>
        <v/>
      </c>
      <c r="AB28" s="9">
        <f>Z28-AA28</f>
        <v/>
      </c>
      <c r="AC28" s="9">
        <f>SUMIFS('Paysafe'!$E$11:$E$44,'Paysafe'!$G$11:$G$44,"&gt;="&amp;$AN28,'Paysafe'!$G$11:$G$44,"&lt;="&amp;$AO28)</f>
        <v/>
      </c>
      <c r="AD28" s="9">
        <f>SUMIFS('Paysafe'!$E$11:$E$44,'Paysafe'!$A$11:$A$44,"&lt;="&amp;$AO28,'Paysafe'!$G$11:$G$44,"&gt;"&amp;$AO28)</f>
        <v/>
      </c>
      <c r="AE28" s="10">
        <f>K28+P28+U28+Z28</f>
        <v/>
      </c>
      <c r="AF28" s="10">
        <f>L28+Q28+V28+AA28</f>
        <v/>
      </c>
      <c r="AG28" s="10">
        <f>M28+R28+W28+AB28</f>
        <v/>
      </c>
      <c r="AH28" s="10">
        <f>N28+S28+X28+AC28</f>
        <v/>
      </c>
      <c r="AI28" s="10">
        <f>O28+T28+Y28+AD28</f>
        <v/>
      </c>
      <c r="AN28" s="8" t="n">
        <v>46069</v>
      </c>
      <c r="AO28" s="8" t="n">
        <v>46075</v>
      </c>
    </row>
    <row r="29">
      <c r="A29" s="8" t="n">
        <v>45949</v>
      </c>
      <c r="B29" s="9">
        <f>SUMIFS('Adyen'!$E$11:$E$207,'Adyen'!$G$11:$G$207,$A29)</f>
        <v/>
      </c>
      <c r="C29" s="9">
        <f>SUMIFS('Nuvei'!$E$11:$E$296,'Nuvei'!$G$11:$G$296,$A29)</f>
        <v/>
      </c>
      <c r="D29" s="9">
        <f>SUMIFS('Shift4'!$E$11:$E$116,'Shift4'!$G$11:$G$116,$A29)</f>
        <v/>
      </c>
      <c r="E29" s="9">
        <f>SUMIFS('Paysafe'!$E$11:$E$44,'Paysafe'!$G$11:$G$44,$A29)</f>
        <v/>
      </c>
      <c r="F29" s="10">
        <f>SUM(B29:E29)</f>
        <v/>
      </c>
      <c r="H29" t="n">
        <v>2026</v>
      </c>
      <c r="I29" t="inlineStr">
        <is>
          <t>W09</t>
        </is>
      </c>
      <c r="J29" t="inlineStr">
        <is>
          <t>23/02 - 01/03/2026</t>
        </is>
      </c>
      <c r="K29" s="9">
        <f>SUMIFS('Adyen'!$B$11:$B$207,'Adyen'!$A$11:$A$207,"&gt;="&amp;$AN29,'Adyen'!$A$11:$A$207,"&lt;="&amp;$AO29)</f>
        <v/>
      </c>
      <c r="L29" s="9">
        <f>SUMIFS('Adyen'!$C$11:$C$207,'Adyen'!$A$11:$A$207,"&gt;="&amp;$AN29,'Adyen'!$A$11:$A$207,"&lt;="&amp;$AO29)</f>
        <v/>
      </c>
      <c r="M29" s="9">
        <f>K29-L29</f>
        <v/>
      </c>
      <c r="N29" s="9">
        <f>SUMIFS('Adyen'!$E$11:$E$207,'Adyen'!$G$11:$G$207,"&gt;="&amp;$AN29,'Adyen'!$G$11:$G$207,"&lt;="&amp;$AO29)</f>
        <v/>
      </c>
      <c r="O29" s="9">
        <f>SUMIFS('Adyen'!$E$11:$E$207,'Adyen'!$A$11:$A$207,"&lt;="&amp;$AO29,'Adyen'!$G$11:$G$207,"&gt;"&amp;$AO29)</f>
        <v/>
      </c>
      <c r="P29" s="9">
        <f>SUMIFS('Nuvei'!$B$11:$B$296,'Nuvei'!$A$11:$A$296,"&gt;="&amp;$AN29,'Nuvei'!$A$11:$A$296,"&lt;="&amp;$AO29)</f>
        <v/>
      </c>
      <c r="Q29" s="9">
        <f>SUMIFS('Nuvei'!$C$11:$C$296,'Nuvei'!$A$11:$A$296,"&gt;="&amp;$AN29,'Nuvei'!$A$11:$A$296,"&lt;="&amp;$AO29)</f>
        <v/>
      </c>
      <c r="R29" s="9">
        <f>P29-Q29</f>
        <v/>
      </c>
      <c r="S29" s="9">
        <f>SUMIFS('Nuvei'!$E$11:$E$296,'Nuvei'!$G$11:$G$296,"&gt;="&amp;$AN29,'Nuvei'!$G$11:$G$296,"&lt;="&amp;$AO29)</f>
        <v/>
      </c>
      <c r="T29" s="9">
        <f>SUMIFS('Nuvei'!$E$11:$E$296,'Nuvei'!$A$11:$A$296,"&lt;="&amp;$AO29,'Nuvei'!$G$11:$G$296,"&gt;"&amp;$AO29)</f>
        <v/>
      </c>
      <c r="U29" s="9">
        <f>SUMIFS('Shift4'!$B$11:$B$116,'Shift4'!$A$11:$A$116,"&gt;="&amp;$AN29,'Shift4'!$A$11:$A$116,"&lt;="&amp;$AO29)</f>
        <v/>
      </c>
      <c r="V29" s="9">
        <f>SUMIFS('Shift4'!$C$11:$C$116,'Shift4'!$A$11:$A$116,"&gt;="&amp;$AN29,'Shift4'!$A$11:$A$116,"&lt;="&amp;$AO29)</f>
        <v/>
      </c>
      <c r="W29" s="9">
        <f>U29-V29</f>
        <v/>
      </c>
      <c r="X29" s="9">
        <f>SUMIFS('Shift4'!$E$11:$E$116,'Shift4'!$G$11:$G$116,"&gt;="&amp;$AN29,'Shift4'!$G$11:$G$116,"&lt;="&amp;$AO29)</f>
        <v/>
      </c>
      <c r="Y29" s="9">
        <f>SUMIFS('Shift4'!$E$11:$E$116,'Shift4'!$A$11:$A$116,"&lt;="&amp;$AO29,'Shift4'!$G$11:$G$116,"&gt;"&amp;$AO29)</f>
        <v/>
      </c>
      <c r="Z29" s="9">
        <f>SUMIFS('Paysafe'!$B$11:$B$44,'Paysafe'!$A$11:$A$44,"&gt;="&amp;$AN29,'Paysafe'!$A$11:$A$44,"&lt;="&amp;$AO29)</f>
        <v/>
      </c>
      <c r="AA29" s="9">
        <f>SUMIFS('Paysafe'!$C$11:$C$44,'Paysafe'!$A$11:$A$44,"&gt;="&amp;$AN29,'Paysafe'!$A$11:$A$44,"&lt;="&amp;$AO29)</f>
        <v/>
      </c>
      <c r="AB29" s="9">
        <f>Z29-AA29</f>
        <v/>
      </c>
      <c r="AC29" s="9">
        <f>SUMIFS('Paysafe'!$E$11:$E$44,'Paysafe'!$G$11:$G$44,"&gt;="&amp;$AN29,'Paysafe'!$G$11:$G$44,"&lt;="&amp;$AO29)</f>
        <v/>
      </c>
      <c r="AD29" s="9">
        <f>SUMIFS('Paysafe'!$E$11:$E$44,'Paysafe'!$A$11:$A$44,"&lt;="&amp;$AO29,'Paysafe'!$G$11:$G$44,"&gt;"&amp;$AO29)</f>
        <v/>
      </c>
      <c r="AE29" s="10">
        <f>K29+P29+U29+Z29</f>
        <v/>
      </c>
      <c r="AF29" s="10">
        <f>L29+Q29+V29+AA29</f>
        <v/>
      </c>
      <c r="AG29" s="10">
        <f>M29+R29+W29+AB29</f>
        <v/>
      </c>
      <c r="AH29" s="10">
        <f>N29+S29+X29+AC29</f>
        <v/>
      </c>
      <c r="AI29" s="10">
        <f>O29+T29+Y29+AD29</f>
        <v/>
      </c>
      <c r="AN29" s="8" t="n">
        <v>46076</v>
      </c>
      <c r="AO29" s="8" t="n">
        <v>46082</v>
      </c>
    </row>
    <row r="30">
      <c r="A30" s="8" t="n">
        <v>45950</v>
      </c>
      <c r="B30" s="9">
        <f>SUMIFS('Adyen'!$E$11:$E$207,'Adyen'!$G$11:$G$207,$A30)</f>
        <v/>
      </c>
      <c r="C30" s="9">
        <f>SUMIFS('Nuvei'!$E$11:$E$296,'Nuvei'!$G$11:$G$296,$A30)</f>
        <v/>
      </c>
      <c r="D30" s="9">
        <f>SUMIFS('Shift4'!$E$11:$E$116,'Shift4'!$G$11:$G$116,$A30)</f>
        <v/>
      </c>
      <c r="E30" s="9">
        <f>SUMIFS('Paysafe'!$E$11:$E$44,'Paysafe'!$G$11:$G$44,$A30)</f>
        <v/>
      </c>
      <c r="F30" s="10">
        <f>SUM(B30:E30)</f>
        <v/>
      </c>
      <c r="H30" t="n">
        <v>2026</v>
      </c>
      <c r="I30" t="inlineStr">
        <is>
          <t>W10</t>
        </is>
      </c>
      <c r="J30" t="inlineStr">
        <is>
          <t>02/03 - 08/03/2026</t>
        </is>
      </c>
      <c r="K30" s="9">
        <f>SUMIFS('Adyen'!$B$11:$B$207,'Adyen'!$A$11:$A$207,"&gt;="&amp;$AN30,'Adyen'!$A$11:$A$207,"&lt;="&amp;$AO30)</f>
        <v/>
      </c>
      <c r="L30" s="9">
        <f>SUMIFS('Adyen'!$C$11:$C$207,'Adyen'!$A$11:$A$207,"&gt;="&amp;$AN30,'Adyen'!$A$11:$A$207,"&lt;="&amp;$AO30)</f>
        <v/>
      </c>
      <c r="M30" s="9">
        <f>K30-L30</f>
        <v/>
      </c>
      <c r="N30" s="9">
        <f>SUMIFS('Adyen'!$E$11:$E$207,'Adyen'!$G$11:$G$207,"&gt;="&amp;$AN30,'Adyen'!$G$11:$G$207,"&lt;="&amp;$AO30)</f>
        <v/>
      </c>
      <c r="O30" s="9">
        <f>SUMIFS('Adyen'!$E$11:$E$207,'Adyen'!$A$11:$A$207,"&lt;="&amp;$AO30,'Adyen'!$G$11:$G$207,"&gt;"&amp;$AO30)</f>
        <v/>
      </c>
      <c r="P30" s="9">
        <f>SUMIFS('Nuvei'!$B$11:$B$296,'Nuvei'!$A$11:$A$296,"&gt;="&amp;$AN30,'Nuvei'!$A$11:$A$296,"&lt;="&amp;$AO30)</f>
        <v/>
      </c>
      <c r="Q30" s="9">
        <f>SUMIFS('Nuvei'!$C$11:$C$296,'Nuvei'!$A$11:$A$296,"&gt;="&amp;$AN30,'Nuvei'!$A$11:$A$296,"&lt;="&amp;$AO30)</f>
        <v/>
      </c>
      <c r="R30" s="9">
        <f>P30-Q30</f>
        <v/>
      </c>
      <c r="S30" s="9">
        <f>SUMIFS('Nuvei'!$E$11:$E$296,'Nuvei'!$G$11:$G$296,"&gt;="&amp;$AN30,'Nuvei'!$G$11:$G$296,"&lt;="&amp;$AO30)</f>
        <v/>
      </c>
      <c r="T30" s="9">
        <f>SUMIFS('Nuvei'!$E$11:$E$296,'Nuvei'!$A$11:$A$296,"&lt;="&amp;$AO30,'Nuvei'!$G$11:$G$296,"&gt;"&amp;$AO30)</f>
        <v/>
      </c>
      <c r="U30" s="9">
        <f>SUMIFS('Shift4'!$B$11:$B$116,'Shift4'!$A$11:$A$116,"&gt;="&amp;$AN30,'Shift4'!$A$11:$A$116,"&lt;="&amp;$AO30)</f>
        <v/>
      </c>
      <c r="V30" s="9">
        <f>SUMIFS('Shift4'!$C$11:$C$116,'Shift4'!$A$11:$A$116,"&gt;="&amp;$AN30,'Shift4'!$A$11:$A$116,"&lt;="&amp;$AO30)</f>
        <v/>
      </c>
      <c r="W30" s="9">
        <f>U30-V30</f>
        <v/>
      </c>
      <c r="X30" s="9">
        <f>SUMIFS('Shift4'!$E$11:$E$116,'Shift4'!$G$11:$G$116,"&gt;="&amp;$AN30,'Shift4'!$G$11:$G$116,"&lt;="&amp;$AO30)</f>
        <v/>
      </c>
      <c r="Y30" s="9">
        <f>SUMIFS('Shift4'!$E$11:$E$116,'Shift4'!$A$11:$A$116,"&lt;="&amp;$AO30,'Shift4'!$G$11:$G$116,"&gt;"&amp;$AO30)</f>
        <v/>
      </c>
      <c r="Z30" s="9">
        <f>SUMIFS('Paysafe'!$B$11:$B$44,'Paysafe'!$A$11:$A$44,"&gt;="&amp;$AN30,'Paysafe'!$A$11:$A$44,"&lt;="&amp;$AO30)</f>
        <v/>
      </c>
      <c r="AA30" s="9">
        <f>SUMIFS('Paysafe'!$C$11:$C$44,'Paysafe'!$A$11:$A$44,"&gt;="&amp;$AN30,'Paysafe'!$A$11:$A$44,"&lt;="&amp;$AO30)</f>
        <v/>
      </c>
      <c r="AB30" s="9">
        <f>Z30-AA30</f>
        <v/>
      </c>
      <c r="AC30" s="9">
        <f>SUMIFS('Paysafe'!$E$11:$E$44,'Paysafe'!$G$11:$G$44,"&gt;="&amp;$AN30,'Paysafe'!$G$11:$G$44,"&lt;="&amp;$AO30)</f>
        <v/>
      </c>
      <c r="AD30" s="9">
        <f>SUMIFS('Paysafe'!$E$11:$E$44,'Paysafe'!$A$11:$A$44,"&lt;="&amp;$AO30,'Paysafe'!$G$11:$G$44,"&gt;"&amp;$AO30)</f>
        <v/>
      </c>
      <c r="AE30" s="10">
        <f>K30+P30+U30+Z30</f>
        <v/>
      </c>
      <c r="AF30" s="10">
        <f>L30+Q30+V30+AA30</f>
        <v/>
      </c>
      <c r="AG30" s="10">
        <f>M30+R30+W30+AB30</f>
        <v/>
      </c>
      <c r="AH30" s="10">
        <f>N30+S30+X30+AC30</f>
        <v/>
      </c>
      <c r="AI30" s="10">
        <f>O30+T30+Y30+AD30</f>
        <v/>
      </c>
      <c r="AN30" s="8" t="n">
        <v>46083</v>
      </c>
      <c r="AO30" s="8" t="n">
        <v>46089</v>
      </c>
    </row>
    <row r="31">
      <c r="A31" s="8" t="n">
        <v>45951</v>
      </c>
      <c r="B31" s="9">
        <f>SUMIFS('Adyen'!$E$11:$E$207,'Adyen'!$G$11:$G$207,$A31)</f>
        <v/>
      </c>
      <c r="C31" s="9">
        <f>SUMIFS('Nuvei'!$E$11:$E$296,'Nuvei'!$G$11:$G$296,$A31)</f>
        <v/>
      </c>
      <c r="D31" s="9">
        <f>SUMIFS('Shift4'!$E$11:$E$116,'Shift4'!$G$11:$G$116,$A31)</f>
        <v/>
      </c>
      <c r="E31" s="9">
        <f>SUMIFS('Paysafe'!$E$11:$E$44,'Paysafe'!$G$11:$G$44,$A31)</f>
        <v/>
      </c>
      <c r="F31" s="10">
        <f>SUM(B31:E31)</f>
        <v/>
      </c>
      <c r="H31" t="n">
        <v>2026</v>
      </c>
      <c r="I31" t="inlineStr">
        <is>
          <t>W11</t>
        </is>
      </c>
      <c r="J31" t="inlineStr">
        <is>
          <t>09/03 - 15/03/2026</t>
        </is>
      </c>
      <c r="K31" s="9">
        <f>SUMIFS('Adyen'!$B$11:$B$207,'Adyen'!$A$11:$A$207,"&gt;="&amp;$AN31,'Adyen'!$A$11:$A$207,"&lt;="&amp;$AO31)</f>
        <v/>
      </c>
      <c r="L31" s="9">
        <f>SUMIFS('Adyen'!$C$11:$C$207,'Adyen'!$A$11:$A$207,"&gt;="&amp;$AN31,'Adyen'!$A$11:$A$207,"&lt;="&amp;$AO31)</f>
        <v/>
      </c>
      <c r="M31" s="9">
        <f>K31-L31</f>
        <v/>
      </c>
      <c r="N31" s="9">
        <f>SUMIFS('Adyen'!$E$11:$E$207,'Adyen'!$G$11:$G$207,"&gt;="&amp;$AN31,'Adyen'!$G$11:$G$207,"&lt;="&amp;$AO31)</f>
        <v/>
      </c>
      <c r="O31" s="9">
        <f>SUMIFS('Adyen'!$E$11:$E$207,'Adyen'!$A$11:$A$207,"&lt;="&amp;$AO31,'Adyen'!$G$11:$G$207,"&gt;"&amp;$AO31)</f>
        <v/>
      </c>
      <c r="P31" s="9">
        <f>SUMIFS('Nuvei'!$B$11:$B$296,'Nuvei'!$A$11:$A$296,"&gt;="&amp;$AN31,'Nuvei'!$A$11:$A$296,"&lt;="&amp;$AO31)</f>
        <v/>
      </c>
      <c r="Q31" s="9">
        <f>SUMIFS('Nuvei'!$C$11:$C$296,'Nuvei'!$A$11:$A$296,"&gt;="&amp;$AN31,'Nuvei'!$A$11:$A$296,"&lt;="&amp;$AO31)</f>
        <v/>
      </c>
      <c r="R31" s="9">
        <f>P31-Q31</f>
        <v/>
      </c>
      <c r="S31" s="9">
        <f>SUMIFS('Nuvei'!$E$11:$E$296,'Nuvei'!$G$11:$G$296,"&gt;="&amp;$AN31,'Nuvei'!$G$11:$G$296,"&lt;="&amp;$AO31)</f>
        <v/>
      </c>
      <c r="T31" s="9">
        <f>SUMIFS('Nuvei'!$E$11:$E$296,'Nuvei'!$A$11:$A$296,"&lt;="&amp;$AO31,'Nuvei'!$G$11:$G$296,"&gt;"&amp;$AO31)</f>
        <v/>
      </c>
      <c r="U31" s="9">
        <f>SUMIFS('Shift4'!$B$11:$B$116,'Shift4'!$A$11:$A$116,"&gt;="&amp;$AN31,'Shift4'!$A$11:$A$116,"&lt;="&amp;$AO31)</f>
        <v/>
      </c>
      <c r="V31" s="9">
        <f>SUMIFS('Shift4'!$C$11:$C$116,'Shift4'!$A$11:$A$116,"&gt;="&amp;$AN31,'Shift4'!$A$11:$A$116,"&lt;="&amp;$AO31)</f>
        <v/>
      </c>
      <c r="W31" s="9">
        <f>U31-V31</f>
        <v/>
      </c>
      <c r="X31" s="9">
        <f>SUMIFS('Shift4'!$E$11:$E$116,'Shift4'!$G$11:$G$116,"&gt;="&amp;$AN31,'Shift4'!$G$11:$G$116,"&lt;="&amp;$AO31)</f>
        <v/>
      </c>
      <c r="Y31" s="9">
        <f>SUMIFS('Shift4'!$E$11:$E$116,'Shift4'!$A$11:$A$116,"&lt;="&amp;$AO31,'Shift4'!$G$11:$G$116,"&gt;"&amp;$AO31)</f>
        <v/>
      </c>
      <c r="Z31" s="9">
        <f>SUMIFS('Paysafe'!$B$11:$B$44,'Paysafe'!$A$11:$A$44,"&gt;="&amp;$AN31,'Paysafe'!$A$11:$A$44,"&lt;="&amp;$AO31)</f>
        <v/>
      </c>
      <c r="AA31" s="9">
        <f>SUMIFS('Paysafe'!$C$11:$C$44,'Paysafe'!$A$11:$A$44,"&gt;="&amp;$AN31,'Paysafe'!$A$11:$A$44,"&lt;="&amp;$AO31)</f>
        <v/>
      </c>
      <c r="AB31" s="9">
        <f>Z31-AA31</f>
        <v/>
      </c>
      <c r="AC31" s="9">
        <f>SUMIFS('Paysafe'!$E$11:$E$44,'Paysafe'!$G$11:$G$44,"&gt;="&amp;$AN31,'Paysafe'!$G$11:$G$44,"&lt;="&amp;$AO31)</f>
        <v/>
      </c>
      <c r="AD31" s="9">
        <f>SUMIFS('Paysafe'!$E$11:$E$44,'Paysafe'!$A$11:$A$44,"&lt;="&amp;$AO31,'Paysafe'!$G$11:$G$44,"&gt;"&amp;$AO31)</f>
        <v/>
      </c>
      <c r="AE31" s="10">
        <f>K31+P31+U31+Z31</f>
        <v/>
      </c>
      <c r="AF31" s="10">
        <f>L31+Q31+V31+AA31</f>
        <v/>
      </c>
      <c r="AG31" s="10">
        <f>M31+R31+W31+AB31</f>
        <v/>
      </c>
      <c r="AH31" s="10">
        <f>N31+S31+X31+AC31</f>
        <v/>
      </c>
      <c r="AI31" s="10">
        <f>O31+T31+Y31+AD31</f>
        <v/>
      </c>
      <c r="AN31" s="8" t="n">
        <v>46090</v>
      </c>
      <c r="AO31" s="8" t="n">
        <v>46096</v>
      </c>
    </row>
    <row r="32">
      <c r="A32" s="8" t="n">
        <v>45952</v>
      </c>
      <c r="B32" s="9">
        <f>SUMIFS('Adyen'!$E$11:$E$207,'Adyen'!$G$11:$G$207,$A32)</f>
        <v/>
      </c>
      <c r="C32" s="9">
        <f>SUMIFS('Nuvei'!$E$11:$E$296,'Nuvei'!$G$11:$G$296,$A32)</f>
        <v/>
      </c>
      <c r="D32" s="9">
        <f>SUMIFS('Shift4'!$E$11:$E$116,'Shift4'!$G$11:$G$116,$A32)</f>
        <v/>
      </c>
      <c r="E32" s="9">
        <f>SUMIFS('Paysafe'!$E$11:$E$44,'Paysafe'!$G$11:$G$44,$A32)</f>
        <v/>
      </c>
      <c r="F32" s="10">
        <f>SUM(B32:E32)</f>
        <v/>
      </c>
      <c r="H32" t="n">
        <v>2026</v>
      </c>
      <c r="I32" t="inlineStr">
        <is>
          <t>W12</t>
        </is>
      </c>
      <c r="J32" t="inlineStr">
        <is>
          <t>16/03 - 22/03/2026</t>
        </is>
      </c>
      <c r="K32" s="9">
        <f>SUMIFS('Adyen'!$B$11:$B$207,'Adyen'!$A$11:$A$207,"&gt;="&amp;$AN32,'Adyen'!$A$11:$A$207,"&lt;="&amp;$AO32)</f>
        <v/>
      </c>
      <c r="L32" s="9">
        <f>SUMIFS('Adyen'!$C$11:$C$207,'Adyen'!$A$11:$A$207,"&gt;="&amp;$AN32,'Adyen'!$A$11:$A$207,"&lt;="&amp;$AO32)</f>
        <v/>
      </c>
      <c r="M32" s="9">
        <f>K32-L32</f>
        <v/>
      </c>
      <c r="N32" s="9">
        <f>SUMIFS('Adyen'!$E$11:$E$207,'Adyen'!$G$11:$G$207,"&gt;="&amp;$AN32,'Adyen'!$G$11:$G$207,"&lt;="&amp;$AO32)</f>
        <v/>
      </c>
      <c r="O32" s="9">
        <f>SUMIFS('Adyen'!$E$11:$E$207,'Adyen'!$A$11:$A$207,"&lt;="&amp;$AO32,'Adyen'!$G$11:$G$207,"&gt;"&amp;$AO32)</f>
        <v/>
      </c>
      <c r="P32" s="9">
        <f>SUMIFS('Nuvei'!$B$11:$B$296,'Nuvei'!$A$11:$A$296,"&gt;="&amp;$AN32,'Nuvei'!$A$11:$A$296,"&lt;="&amp;$AO32)</f>
        <v/>
      </c>
      <c r="Q32" s="9">
        <f>SUMIFS('Nuvei'!$C$11:$C$296,'Nuvei'!$A$11:$A$296,"&gt;="&amp;$AN32,'Nuvei'!$A$11:$A$296,"&lt;="&amp;$AO32)</f>
        <v/>
      </c>
      <c r="R32" s="9">
        <f>P32-Q32</f>
        <v/>
      </c>
      <c r="S32" s="9">
        <f>SUMIFS('Nuvei'!$E$11:$E$296,'Nuvei'!$G$11:$G$296,"&gt;="&amp;$AN32,'Nuvei'!$G$11:$G$296,"&lt;="&amp;$AO32)</f>
        <v/>
      </c>
      <c r="T32" s="9">
        <f>SUMIFS('Nuvei'!$E$11:$E$296,'Nuvei'!$A$11:$A$296,"&lt;="&amp;$AO32,'Nuvei'!$G$11:$G$296,"&gt;"&amp;$AO32)</f>
        <v/>
      </c>
      <c r="U32" s="9">
        <f>SUMIFS('Shift4'!$B$11:$B$116,'Shift4'!$A$11:$A$116,"&gt;="&amp;$AN32,'Shift4'!$A$11:$A$116,"&lt;="&amp;$AO32)</f>
        <v/>
      </c>
      <c r="V32" s="9">
        <f>SUMIFS('Shift4'!$C$11:$C$116,'Shift4'!$A$11:$A$116,"&gt;="&amp;$AN32,'Shift4'!$A$11:$A$116,"&lt;="&amp;$AO32)</f>
        <v/>
      </c>
      <c r="W32" s="9">
        <f>U32-V32</f>
        <v/>
      </c>
      <c r="X32" s="9">
        <f>SUMIFS('Shift4'!$E$11:$E$116,'Shift4'!$G$11:$G$116,"&gt;="&amp;$AN32,'Shift4'!$G$11:$G$116,"&lt;="&amp;$AO32)</f>
        <v/>
      </c>
      <c r="Y32" s="9">
        <f>SUMIFS('Shift4'!$E$11:$E$116,'Shift4'!$A$11:$A$116,"&lt;="&amp;$AO32,'Shift4'!$G$11:$G$116,"&gt;"&amp;$AO32)</f>
        <v/>
      </c>
      <c r="Z32" s="9">
        <f>SUMIFS('Paysafe'!$B$11:$B$44,'Paysafe'!$A$11:$A$44,"&gt;="&amp;$AN32,'Paysafe'!$A$11:$A$44,"&lt;="&amp;$AO32)</f>
        <v/>
      </c>
      <c r="AA32" s="9">
        <f>SUMIFS('Paysafe'!$C$11:$C$44,'Paysafe'!$A$11:$A$44,"&gt;="&amp;$AN32,'Paysafe'!$A$11:$A$44,"&lt;="&amp;$AO32)</f>
        <v/>
      </c>
      <c r="AB32" s="9">
        <f>Z32-AA32</f>
        <v/>
      </c>
      <c r="AC32" s="9">
        <f>SUMIFS('Paysafe'!$E$11:$E$44,'Paysafe'!$G$11:$G$44,"&gt;="&amp;$AN32,'Paysafe'!$G$11:$G$44,"&lt;="&amp;$AO32)</f>
        <v/>
      </c>
      <c r="AD32" s="9">
        <f>SUMIFS('Paysafe'!$E$11:$E$44,'Paysafe'!$A$11:$A$44,"&lt;="&amp;$AO32,'Paysafe'!$G$11:$G$44,"&gt;"&amp;$AO32)</f>
        <v/>
      </c>
      <c r="AE32" s="10">
        <f>K32+P32+U32+Z32</f>
        <v/>
      </c>
      <c r="AF32" s="10">
        <f>L32+Q32+V32+AA32</f>
        <v/>
      </c>
      <c r="AG32" s="10">
        <f>M32+R32+W32+AB32</f>
        <v/>
      </c>
      <c r="AH32" s="10">
        <f>N32+S32+X32+AC32</f>
        <v/>
      </c>
      <c r="AI32" s="10">
        <f>O32+T32+Y32+AD32</f>
        <v/>
      </c>
      <c r="AN32" s="8" t="n">
        <v>46097</v>
      </c>
      <c r="AO32" s="8" t="n">
        <v>46103</v>
      </c>
    </row>
    <row r="33">
      <c r="A33" s="8" t="n">
        <v>45953</v>
      </c>
      <c r="B33" s="9">
        <f>SUMIFS('Adyen'!$E$11:$E$207,'Adyen'!$G$11:$G$207,$A33)</f>
        <v/>
      </c>
      <c r="C33" s="9">
        <f>SUMIFS('Nuvei'!$E$11:$E$296,'Nuvei'!$G$11:$G$296,$A33)</f>
        <v/>
      </c>
      <c r="D33" s="9">
        <f>SUMIFS('Shift4'!$E$11:$E$116,'Shift4'!$G$11:$G$116,$A33)</f>
        <v/>
      </c>
      <c r="E33" s="9">
        <f>SUMIFS('Paysafe'!$E$11:$E$44,'Paysafe'!$G$11:$G$44,$A33)</f>
        <v/>
      </c>
      <c r="F33" s="10">
        <f>SUM(B33:E33)</f>
        <v/>
      </c>
      <c r="H33" t="n">
        <v>2026</v>
      </c>
      <c r="I33" t="inlineStr">
        <is>
          <t>W13</t>
        </is>
      </c>
      <c r="J33" t="inlineStr">
        <is>
          <t>23/03 - 29/03/2026</t>
        </is>
      </c>
      <c r="K33" s="9">
        <f>SUMIFS('Adyen'!$B$11:$B$207,'Adyen'!$A$11:$A$207,"&gt;="&amp;$AN33,'Adyen'!$A$11:$A$207,"&lt;="&amp;$AO33)</f>
        <v/>
      </c>
      <c r="L33" s="9">
        <f>SUMIFS('Adyen'!$C$11:$C$207,'Adyen'!$A$11:$A$207,"&gt;="&amp;$AN33,'Adyen'!$A$11:$A$207,"&lt;="&amp;$AO33)</f>
        <v/>
      </c>
      <c r="M33" s="9">
        <f>K33-L33</f>
        <v/>
      </c>
      <c r="N33" s="9">
        <f>SUMIFS('Adyen'!$E$11:$E$207,'Adyen'!$G$11:$G$207,"&gt;="&amp;$AN33,'Adyen'!$G$11:$G$207,"&lt;="&amp;$AO33)</f>
        <v/>
      </c>
      <c r="O33" s="9">
        <f>SUMIFS('Adyen'!$E$11:$E$207,'Adyen'!$A$11:$A$207,"&lt;="&amp;$AO33,'Adyen'!$G$11:$G$207,"&gt;"&amp;$AO33)</f>
        <v/>
      </c>
      <c r="P33" s="9">
        <f>SUMIFS('Nuvei'!$B$11:$B$296,'Nuvei'!$A$11:$A$296,"&gt;="&amp;$AN33,'Nuvei'!$A$11:$A$296,"&lt;="&amp;$AO33)</f>
        <v/>
      </c>
      <c r="Q33" s="9">
        <f>SUMIFS('Nuvei'!$C$11:$C$296,'Nuvei'!$A$11:$A$296,"&gt;="&amp;$AN33,'Nuvei'!$A$11:$A$296,"&lt;="&amp;$AO33)</f>
        <v/>
      </c>
      <c r="R33" s="9">
        <f>P33-Q33</f>
        <v/>
      </c>
      <c r="S33" s="9">
        <f>SUMIFS('Nuvei'!$E$11:$E$296,'Nuvei'!$G$11:$G$296,"&gt;="&amp;$AN33,'Nuvei'!$G$11:$G$296,"&lt;="&amp;$AO33)</f>
        <v/>
      </c>
      <c r="T33" s="9">
        <f>SUMIFS('Nuvei'!$E$11:$E$296,'Nuvei'!$A$11:$A$296,"&lt;="&amp;$AO33,'Nuvei'!$G$11:$G$296,"&gt;"&amp;$AO33)</f>
        <v/>
      </c>
      <c r="U33" s="9">
        <f>SUMIFS('Shift4'!$B$11:$B$116,'Shift4'!$A$11:$A$116,"&gt;="&amp;$AN33,'Shift4'!$A$11:$A$116,"&lt;="&amp;$AO33)</f>
        <v/>
      </c>
      <c r="V33" s="9">
        <f>SUMIFS('Shift4'!$C$11:$C$116,'Shift4'!$A$11:$A$116,"&gt;="&amp;$AN33,'Shift4'!$A$11:$A$116,"&lt;="&amp;$AO33)</f>
        <v/>
      </c>
      <c r="W33" s="9">
        <f>U33-V33</f>
        <v/>
      </c>
      <c r="X33" s="9">
        <f>SUMIFS('Shift4'!$E$11:$E$116,'Shift4'!$G$11:$G$116,"&gt;="&amp;$AN33,'Shift4'!$G$11:$G$116,"&lt;="&amp;$AO33)</f>
        <v/>
      </c>
      <c r="Y33" s="9">
        <f>SUMIFS('Shift4'!$E$11:$E$116,'Shift4'!$A$11:$A$116,"&lt;="&amp;$AO33,'Shift4'!$G$11:$G$116,"&gt;"&amp;$AO33)</f>
        <v/>
      </c>
      <c r="Z33" s="9">
        <f>SUMIFS('Paysafe'!$B$11:$B$44,'Paysafe'!$A$11:$A$44,"&gt;="&amp;$AN33,'Paysafe'!$A$11:$A$44,"&lt;="&amp;$AO33)</f>
        <v/>
      </c>
      <c r="AA33" s="9">
        <f>SUMIFS('Paysafe'!$C$11:$C$44,'Paysafe'!$A$11:$A$44,"&gt;="&amp;$AN33,'Paysafe'!$A$11:$A$44,"&lt;="&amp;$AO33)</f>
        <v/>
      </c>
      <c r="AB33" s="9">
        <f>Z33-AA33</f>
        <v/>
      </c>
      <c r="AC33" s="9">
        <f>SUMIFS('Paysafe'!$E$11:$E$44,'Paysafe'!$G$11:$G$44,"&gt;="&amp;$AN33,'Paysafe'!$G$11:$G$44,"&lt;="&amp;$AO33)</f>
        <v/>
      </c>
      <c r="AD33" s="9">
        <f>SUMIFS('Paysafe'!$E$11:$E$44,'Paysafe'!$A$11:$A$44,"&lt;="&amp;$AO33,'Paysafe'!$G$11:$G$44,"&gt;"&amp;$AO33)</f>
        <v/>
      </c>
      <c r="AE33" s="10">
        <f>K33+P33+U33+Z33</f>
        <v/>
      </c>
      <c r="AF33" s="10">
        <f>L33+Q33+V33+AA33</f>
        <v/>
      </c>
      <c r="AG33" s="10">
        <f>M33+R33+W33+AB33</f>
        <v/>
      </c>
      <c r="AH33" s="10">
        <f>N33+S33+X33+AC33</f>
        <v/>
      </c>
      <c r="AI33" s="10">
        <f>O33+T33+Y33+AD33</f>
        <v/>
      </c>
      <c r="AN33" s="8" t="n">
        <v>46104</v>
      </c>
      <c r="AO33" s="8" t="n">
        <v>46110</v>
      </c>
    </row>
    <row r="34">
      <c r="A34" s="8" t="n">
        <v>45954</v>
      </c>
      <c r="B34" s="9">
        <f>SUMIFS('Adyen'!$E$11:$E$207,'Adyen'!$G$11:$G$207,$A34)</f>
        <v/>
      </c>
      <c r="C34" s="9">
        <f>SUMIFS('Nuvei'!$E$11:$E$296,'Nuvei'!$G$11:$G$296,$A34)</f>
        <v/>
      </c>
      <c r="D34" s="9">
        <f>SUMIFS('Shift4'!$E$11:$E$116,'Shift4'!$G$11:$G$116,$A34)</f>
        <v/>
      </c>
      <c r="E34" s="9">
        <f>SUMIFS('Paysafe'!$E$11:$E$44,'Paysafe'!$G$11:$G$44,$A34)</f>
        <v/>
      </c>
      <c r="F34" s="10">
        <f>SUM(B34:E34)</f>
        <v/>
      </c>
      <c r="H34" t="n">
        <v>2026</v>
      </c>
      <c r="I34" t="inlineStr">
        <is>
          <t>W14</t>
        </is>
      </c>
      <c r="J34" t="inlineStr">
        <is>
          <t>30/03 - 05/04/2026</t>
        </is>
      </c>
      <c r="K34" s="9">
        <f>SUMIFS('Adyen'!$B$11:$B$207,'Adyen'!$A$11:$A$207,"&gt;="&amp;$AN34,'Adyen'!$A$11:$A$207,"&lt;="&amp;$AO34)</f>
        <v/>
      </c>
      <c r="L34" s="9">
        <f>SUMIFS('Adyen'!$C$11:$C$207,'Adyen'!$A$11:$A$207,"&gt;="&amp;$AN34,'Adyen'!$A$11:$A$207,"&lt;="&amp;$AO34)</f>
        <v/>
      </c>
      <c r="M34" s="9">
        <f>K34-L34</f>
        <v/>
      </c>
      <c r="N34" s="9">
        <f>SUMIFS('Adyen'!$E$11:$E$207,'Adyen'!$G$11:$G$207,"&gt;="&amp;$AN34,'Adyen'!$G$11:$G$207,"&lt;="&amp;$AO34)</f>
        <v/>
      </c>
      <c r="O34" s="9">
        <f>SUMIFS('Adyen'!$E$11:$E$207,'Adyen'!$A$11:$A$207,"&lt;="&amp;$AO34,'Adyen'!$G$11:$G$207,"&gt;"&amp;$AO34)</f>
        <v/>
      </c>
      <c r="P34" s="9">
        <f>SUMIFS('Nuvei'!$B$11:$B$296,'Nuvei'!$A$11:$A$296,"&gt;="&amp;$AN34,'Nuvei'!$A$11:$A$296,"&lt;="&amp;$AO34)</f>
        <v/>
      </c>
      <c r="Q34" s="9">
        <f>SUMIFS('Nuvei'!$C$11:$C$296,'Nuvei'!$A$11:$A$296,"&gt;="&amp;$AN34,'Nuvei'!$A$11:$A$296,"&lt;="&amp;$AO34)</f>
        <v/>
      </c>
      <c r="R34" s="9">
        <f>P34-Q34</f>
        <v/>
      </c>
      <c r="S34" s="9">
        <f>SUMIFS('Nuvei'!$E$11:$E$296,'Nuvei'!$G$11:$G$296,"&gt;="&amp;$AN34,'Nuvei'!$G$11:$G$296,"&lt;="&amp;$AO34)</f>
        <v/>
      </c>
      <c r="T34" s="9">
        <f>SUMIFS('Nuvei'!$E$11:$E$296,'Nuvei'!$A$11:$A$296,"&lt;="&amp;$AO34,'Nuvei'!$G$11:$G$296,"&gt;"&amp;$AO34)</f>
        <v/>
      </c>
      <c r="U34" s="9">
        <f>SUMIFS('Shift4'!$B$11:$B$116,'Shift4'!$A$11:$A$116,"&gt;="&amp;$AN34,'Shift4'!$A$11:$A$116,"&lt;="&amp;$AO34)</f>
        <v/>
      </c>
      <c r="V34" s="9">
        <f>SUMIFS('Shift4'!$C$11:$C$116,'Shift4'!$A$11:$A$116,"&gt;="&amp;$AN34,'Shift4'!$A$11:$A$116,"&lt;="&amp;$AO34)</f>
        <v/>
      </c>
      <c r="W34" s="9">
        <f>U34-V34</f>
        <v/>
      </c>
      <c r="X34" s="9">
        <f>SUMIFS('Shift4'!$E$11:$E$116,'Shift4'!$G$11:$G$116,"&gt;="&amp;$AN34,'Shift4'!$G$11:$G$116,"&lt;="&amp;$AO34)</f>
        <v/>
      </c>
      <c r="Y34" s="9">
        <f>SUMIFS('Shift4'!$E$11:$E$116,'Shift4'!$A$11:$A$116,"&lt;="&amp;$AO34,'Shift4'!$G$11:$G$116,"&gt;"&amp;$AO34)</f>
        <v/>
      </c>
      <c r="Z34" s="9">
        <f>SUMIFS('Paysafe'!$B$11:$B$44,'Paysafe'!$A$11:$A$44,"&gt;="&amp;$AN34,'Paysafe'!$A$11:$A$44,"&lt;="&amp;$AO34)</f>
        <v/>
      </c>
      <c r="AA34" s="9">
        <f>SUMIFS('Paysafe'!$C$11:$C$44,'Paysafe'!$A$11:$A$44,"&gt;="&amp;$AN34,'Paysafe'!$A$11:$A$44,"&lt;="&amp;$AO34)</f>
        <v/>
      </c>
      <c r="AB34" s="9">
        <f>Z34-AA34</f>
        <v/>
      </c>
      <c r="AC34" s="9">
        <f>SUMIFS('Paysafe'!$E$11:$E$44,'Paysafe'!$G$11:$G$44,"&gt;="&amp;$AN34,'Paysafe'!$G$11:$G$44,"&lt;="&amp;$AO34)</f>
        <v/>
      </c>
      <c r="AD34" s="9">
        <f>SUMIFS('Paysafe'!$E$11:$E$44,'Paysafe'!$A$11:$A$44,"&lt;="&amp;$AO34,'Paysafe'!$G$11:$G$44,"&gt;"&amp;$AO34)</f>
        <v/>
      </c>
      <c r="AE34" s="10">
        <f>K34+P34+U34+Z34</f>
        <v/>
      </c>
      <c r="AF34" s="10">
        <f>L34+Q34+V34+AA34</f>
        <v/>
      </c>
      <c r="AG34" s="10">
        <f>M34+R34+W34+AB34</f>
        <v/>
      </c>
      <c r="AH34" s="10">
        <f>N34+S34+X34+AC34</f>
        <v/>
      </c>
      <c r="AI34" s="10">
        <f>O34+T34+Y34+AD34</f>
        <v/>
      </c>
      <c r="AN34" s="8" t="n">
        <v>46111</v>
      </c>
      <c r="AO34" s="8" t="n">
        <v>46117</v>
      </c>
    </row>
    <row r="35">
      <c r="A35" s="8" t="n">
        <v>45955</v>
      </c>
      <c r="B35" s="9">
        <f>SUMIFS('Adyen'!$E$11:$E$207,'Adyen'!$G$11:$G$207,$A35)</f>
        <v/>
      </c>
      <c r="C35" s="9">
        <f>SUMIFS('Nuvei'!$E$11:$E$296,'Nuvei'!$G$11:$G$296,$A35)</f>
        <v/>
      </c>
      <c r="D35" s="9">
        <f>SUMIFS('Shift4'!$E$11:$E$116,'Shift4'!$G$11:$G$116,$A35)</f>
        <v/>
      </c>
      <c r="E35" s="9">
        <f>SUMIFS('Paysafe'!$E$11:$E$44,'Paysafe'!$G$11:$G$44,$A35)</f>
        <v/>
      </c>
      <c r="F35" s="10">
        <f>SUM(B35:E35)</f>
        <v/>
      </c>
      <c r="H35" t="n">
        <v>2026</v>
      </c>
      <c r="I35" t="inlineStr">
        <is>
          <t>W15</t>
        </is>
      </c>
      <c r="J35" t="inlineStr">
        <is>
          <t>06/04 - 12/04/2026</t>
        </is>
      </c>
      <c r="K35" s="9">
        <f>SUMIFS('Adyen'!$B$11:$B$207,'Adyen'!$A$11:$A$207,"&gt;="&amp;$AN35,'Adyen'!$A$11:$A$207,"&lt;="&amp;$AO35)</f>
        <v/>
      </c>
      <c r="L35" s="9">
        <f>SUMIFS('Adyen'!$C$11:$C$207,'Adyen'!$A$11:$A$207,"&gt;="&amp;$AN35,'Adyen'!$A$11:$A$207,"&lt;="&amp;$AO35)</f>
        <v/>
      </c>
      <c r="M35" s="9">
        <f>K35-L35</f>
        <v/>
      </c>
      <c r="N35" s="9">
        <f>SUMIFS('Adyen'!$E$11:$E$207,'Adyen'!$G$11:$G$207,"&gt;="&amp;$AN35,'Adyen'!$G$11:$G$207,"&lt;="&amp;$AO35)</f>
        <v/>
      </c>
      <c r="O35" s="9">
        <f>SUMIFS('Adyen'!$E$11:$E$207,'Adyen'!$A$11:$A$207,"&lt;="&amp;$AO35,'Adyen'!$G$11:$G$207,"&gt;"&amp;$AO35)</f>
        <v/>
      </c>
      <c r="P35" s="9">
        <f>SUMIFS('Nuvei'!$B$11:$B$296,'Nuvei'!$A$11:$A$296,"&gt;="&amp;$AN35,'Nuvei'!$A$11:$A$296,"&lt;="&amp;$AO35)</f>
        <v/>
      </c>
      <c r="Q35" s="9">
        <f>SUMIFS('Nuvei'!$C$11:$C$296,'Nuvei'!$A$11:$A$296,"&gt;="&amp;$AN35,'Nuvei'!$A$11:$A$296,"&lt;="&amp;$AO35)</f>
        <v/>
      </c>
      <c r="R35" s="9">
        <f>P35-Q35</f>
        <v/>
      </c>
      <c r="S35" s="9">
        <f>SUMIFS('Nuvei'!$E$11:$E$296,'Nuvei'!$G$11:$G$296,"&gt;="&amp;$AN35,'Nuvei'!$G$11:$G$296,"&lt;="&amp;$AO35)</f>
        <v/>
      </c>
      <c r="T35" s="9">
        <f>SUMIFS('Nuvei'!$E$11:$E$296,'Nuvei'!$A$11:$A$296,"&lt;="&amp;$AO35,'Nuvei'!$G$11:$G$296,"&gt;"&amp;$AO35)</f>
        <v/>
      </c>
      <c r="U35" s="9">
        <f>SUMIFS('Shift4'!$B$11:$B$116,'Shift4'!$A$11:$A$116,"&gt;="&amp;$AN35,'Shift4'!$A$11:$A$116,"&lt;="&amp;$AO35)</f>
        <v/>
      </c>
      <c r="V35" s="9">
        <f>SUMIFS('Shift4'!$C$11:$C$116,'Shift4'!$A$11:$A$116,"&gt;="&amp;$AN35,'Shift4'!$A$11:$A$116,"&lt;="&amp;$AO35)</f>
        <v/>
      </c>
      <c r="W35" s="9">
        <f>U35-V35</f>
        <v/>
      </c>
      <c r="X35" s="9">
        <f>SUMIFS('Shift4'!$E$11:$E$116,'Shift4'!$G$11:$G$116,"&gt;="&amp;$AN35,'Shift4'!$G$11:$G$116,"&lt;="&amp;$AO35)</f>
        <v/>
      </c>
      <c r="Y35" s="9">
        <f>SUMIFS('Shift4'!$E$11:$E$116,'Shift4'!$A$11:$A$116,"&lt;="&amp;$AO35,'Shift4'!$G$11:$G$116,"&gt;"&amp;$AO35)</f>
        <v/>
      </c>
      <c r="Z35" s="9">
        <f>SUMIFS('Paysafe'!$B$11:$B$44,'Paysafe'!$A$11:$A$44,"&gt;="&amp;$AN35,'Paysafe'!$A$11:$A$44,"&lt;="&amp;$AO35)</f>
        <v/>
      </c>
      <c r="AA35" s="9">
        <f>SUMIFS('Paysafe'!$C$11:$C$44,'Paysafe'!$A$11:$A$44,"&gt;="&amp;$AN35,'Paysafe'!$A$11:$A$44,"&lt;="&amp;$AO35)</f>
        <v/>
      </c>
      <c r="AB35" s="9">
        <f>Z35-AA35</f>
        <v/>
      </c>
      <c r="AC35" s="9">
        <f>SUMIFS('Paysafe'!$E$11:$E$44,'Paysafe'!$G$11:$G$44,"&gt;="&amp;$AN35,'Paysafe'!$G$11:$G$44,"&lt;="&amp;$AO35)</f>
        <v/>
      </c>
      <c r="AD35" s="9">
        <f>SUMIFS('Paysafe'!$E$11:$E$44,'Paysafe'!$A$11:$A$44,"&lt;="&amp;$AO35,'Paysafe'!$G$11:$G$44,"&gt;"&amp;$AO35)</f>
        <v/>
      </c>
      <c r="AE35" s="10">
        <f>K35+P35+U35+Z35</f>
        <v/>
      </c>
      <c r="AF35" s="10">
        <f>L35+Q35+V35+AA35</f>
        <v/>
      </c>
      <c r="AG35" s="10">
        <f>M35+R35+W35+AB35</f>
        <v/>
      </c>
      <c r="AH35" s="10">
        <f>N35+S35+X35+AC35</f>
        <v/>
      </c>
      <c r="AI35" s="10">
        <f>O35+T35+Y35+AD35</f>
        <v/>
      </c>
      <c r="AN35" s="8" t="n">
        <v>46118</v>
      </c>
      <c r="AO35" s="8" t="n">
        <v>46124</v>
      </c>
    </row>
    <row r="36">
      <c r="A36" s="8" t="n">
        <v>45956</v>
      </c>
      <c r="B36" s="9">
        <f>SUMIFS('Adyen'!$E$11:$E$207,'Adyen'!$G$11:$G$207,$A36)</f>
        <v/>
      </c>
      <c r="C36" s="9">
        <f>SUMIFS('Nuvei'!$E$11:$E$296,'Nuvei'!$G$11:$G$296,$A36)</f>
        <v/>
      </c>
      <c r="D36" s="9">
        <f>SUMIFS('Shift4'!$E$11:$E$116,'Shift4'!$G$11:$G$116,$A36)</f>
        <v/>
      </c>
      <c r="E36" s="9">
        <f>SUMIFS('Paysafe'!$E$11:$E$44,'Paysafe'!$G$11:$G$44,$A36)</f>
        <v/>
      </c>
      <c r="F36" s="10">
        <f>SUM(B36:E36)</f>
        <v/>
      </c>
      <c r="H36" t="n">
        <v>2026</v>
      </c>
      <c r="I36" t="inlineStr">
        <is>
          <t>W16</t>
        </is>
      </c>
      <c r="J36" t="inlineStr">
        <is>
          <t>13/04 - 19/04/2026</t>
        </is>
      </c>
      <c r="K36" s="9">
        <f>SUMIFS('Adyen'!$B$11:$B$207,'Adyen'!$A$11:$A$207,"&gt;="&amp;$AN36,'Adyen'!$A$11:$A$207,"&lt;="&amp;$AO36)</f>
        <v/>
      </c>
      <c r="L36" s="9">
        <f>SUMIFS('Adyen'!$C$11:$C$207,'Adyen'!$A$11:$A$207,"&gt;="&amp;$AN36,'Adyen'!$A$11:$A$207,"&lt;="&amp;$AO36)</f>
        <v/>
      </c>
      <c r="M36" s="9">
        <f>K36-L36</f>
        <v/>
      </c>
      <c r="N36" s="9">
        <f>SUMIFS('Adyen'!$E$11:$E$207,'Adyen'!$G$11:$G$207,"&gt;="&amp;$AN36,'Adyen'!$G$11:$G$207,"&lt;="&amp;$AO36)</f>
        <v/>
      </c>
      <c r="O36" s="9">
        <f>SUMIFS('Adyen'!$E$11:$E$207,'Adyen'!$A$11:$A$207,"&lt;="&amp;$AO36,'Adyen'!$G$11:$G$207,"&gt;"&amp;$AO36)</f>
        <v/>
      </c>
      <c r="P36" s="9">
        <f>SUMIFS('Nuvei'!$B$11:$B$296,'Nuvei'!$A$11:$A$296,"&gt;="&amp;$AN36,'Nuvei'!$A$11:$A$296,"&lt;="&amp;$AO36)</f>
        <v/>
      </c>
      <c r="Q36" s="9">
        <f>SUMIFS('Nuvei'!$C$11:$C$296,'Nuvei'!$A$11:$A$296,"&gt;="&amp;$AN36,'Nuvei'!$A$11:$A$296,"&lt;="&amp;$AO36)</f>
        <v/>
      </c>
      <c r="R36" s="9">
        <f>P36-Q36</f>
        <v/>
      </c>
      <c r="S36" s="9">
        <f>SUMIFS('Nuvei'!$E$11:$E$296,'Nuvei'!$G$11:$G$296,"&gt;="&amp;$AN36,'Nuvei'!$G$11:$G$296,"&lt;="&amp;$AO36)</f>
        <v/>
      </c>
      <c r="T36" s="9">
        <f>SUMIFS('Nuvei'!$E$11:$E$296,'Nuvei'!$A$11:$A$296,"&lt;="&amp;$AO36,'Nuvei'!$G$11:$G$296,"&gt;"&amp;$AO36)</f>
        <v/>
      </c>
      <c r="U36" s="9">
        <f>SUMIFS('Shift4'!$B$11:$B$116,'Shift4'!$A$11:$A$116,"&gt;="&amp;$AN36,'Shift4'!$A$11:$A$116,"&lt;="&amp;$AO36)</f>
        <v/>
      </c>
      <c r="V36" s="9">
        <f>SUMIFS('Shift4'!$C$11:$C$116,'Shift4'!$A$11:$A$116,"&gt;="&amp;$AN36,'Shift4'!$A$11:$A$116,"&lt;="&amp;$AO36)</f>
        <v/>
      </c>
      <c r="W36" s="9">
        <f>U36-V36</f>
        <v/>
      </c>
      <c r="X36" s="9">
        <f>SUMIFS('Shift4'!$E$11:$E$116,'Shift4'!$G$11:$G$116,"&gt;="&amp;$AN36,'Shift4'!$G$11:$G$116,"&lt;="&amp;$AO36)</f>
        <v/>
      </c>
      <c r="Y36" s="9">
        <f>SUMIFS('Shift4'!$E$11:$E$116,'Shift4'!$A$11:$A$116,"&lt;="&amp;$AO36,'Shift4'!$G$11:$G$116,"&gt;"&amp;$AO36)</f>
        <v/>
      </c>
      <c r="Z36" s="9">
        <f>SUMIFS('Paysafe'!$B$11:$B$44,'Paysafe'!$A$11:$A$44,"&gt;="&amp;$AN36,'Paysafe'!$A$11:$A$44,"&lt;="&amp;$AO36)</f>
        <v/>
      </c>
      <c r="AA36" s="9">
        <f>SUMIFS('Paysafe'!$C$11:$C$44,'Paysafe'!$A$11:$A$44,"&gt;="&amp;$AN36,'Paysafe'!$A$11:$A$44,"&lt;="&amp;$AO36)</f>
        <v/>
      </c>
      <c r="AB36" s="9">
        <f>Z36-AA36</f>
        <v/>
      </c>
      <c r="AC36" s="9">
        <f>SUMIFS('Paysafe'!$E$11:$E$44,'Paysafe'!$G$11:$G$44,"&gt;="&amp;$AN36,'Paysafe'!$G$11:$G$44,"&lt;="&amp;$AO36)</f>
        <v/>
      </c>
      <c r="AD36" s="9">
        <f>SUMIFS('Paysafe'!$E$11:$E$44,'Paysafe'!$A$11:$A$44,"&lt;="&amp;$AO36,'Paysafe'!$G$11:$G$44,"&gt;"&amp;$AO36)</f>
        <v/>
      </c>
      <c r="AE36" s="10">
        <f>K36+P36+U36+Z36</f>
        <v/>
      </c>
      <c r="AF36" s="10">
        <f>L36+Q36+V36+AA36</f>
        <v/>
      </c>
      <c r="AG36" s="10">
        <f>M36+R36+W36+AB36</f>
        <v/>
      </c>
      <c r="AH36" s="10">
        <f>N36+S36+X36+AC36</f>
        <v/>
      </c>
      <c r="AI36" s="10">
        <f>O36+T36+Y36+AD36</f>
        <v/>
      </c>
      <c r="AN36" s="8" t="n">
        <v>46125</v>
      </c>
      <c r="AO36" s="8" t="n">
        <v>46131</v>
      </c>
    </row>
    <row r="37">
      <c r="A37" s="8" t="n">
        <v>45957</v>
      </c>
      <c r="B37" s="9">
        <f>SUMIFS('Adyen'!$E$11:$E$207,'Adyen'!$G$11:$G$207,$A37)</f>
        <v/>
      </c>
      <c r="C37" s="9">
        <f>SUMIFS('Nuvei'!$E$11:$E$296,'Nuvei'!$G$11:$G$296,$A37)</f>
        <v/>
      </c>
      <c r="D37" s="9">
        <f>SUMIFS('Shift4'!$E$11:$E$116,'Shift4'!$G$11:$G$116,$A37)</f>
        <v/>
      </c>
      <c r="E37" s="9">
        <f>SUMIFS('Paysafe'!$E$11:$E$44,'Paysafe'!$G$11:$G$44,$A37)</f>
        <v/>
      </c>
      <c r="F37" s="10">
        <f>SUM(B37:E37)</f>
        <v/>
      </c>
      <c r="H37" t="n">
        <v>2026</v>
      </c>
      <c r="I37" t="inlineStr">
        <is>
          <t>W17</t>
        </is>
      </c>
      <c r="J37" t="inlineStr">
        <is>
          <t>20/04 - 26/04/2026</t>
        </is>
      </c>
      <c r="K37" s="9">
        <f>SUMIFS('Adyen'!$B$11:$B$207,'Adyen'!$A$11:$A$207,"&gt;="&amp;$AN37,'Adyen'!$A$11:$A$207,"&lt;="&amp;$AO37)</f>
        <v/>
      </c>
      <c r="L37" s="9">
        <f>SUMIFS('Adyen'!$C$11:$C$207,'Adyen'!$A$11:$A$207,"&gt;="&amp;$AN37,'Adyen'!$A$11:$A$207,"&lt;="&amp;$AO37)</f>
        <v/>
      </c>
      <c r="M37" s="9">
        <f>K37-L37</f>
        <v/>
      </c>
      <c r="N37" s="9">
        <f>SUMIFS('Adyen'!$E$11:$E$207,'Adyen'!$G$11:$G$207,"&gt;="&amp;$AN37,'Adyen'!$G$11:$G$207,"&lt;="&amp;$AO37)</f>
        <v/>
      </c>
      <c r="O37" s="9">
        <f>SUMIFS('Adyen'!$E$11:$E$207,'Adyen'!$A$11:$A$207,"&lt;="&amp;$AO37,'Adyen'!$G$11:$G$207,"&gt;"&amp;$AO37)</f>
        <v/>
      </c>
      <c r="P37" s="9">
        <f>SUMIFS('Nuvei'!$B$11:$B$296,'Nuvei'!$A$11:$A$296,"&gt;="&amp;$AN37,'Nuvei'!$A$11:$A$296,"&lt;="&amp;$AO37)</f>
        <v/>
      </c>
      <c r="Q37" s="9">
        <f>SUMIFS('Nuvei'!$C$11:$C$296,'Nuvei'!$A$11:$A$296,"&gt;="&amp;$AN37,'Nuvei'!$A$11:$A$296,"&lt;="&amp;$AO37)</f>
        <v/>
      </c>
      <c r="R37" s="9">
        <f>P37-Q37</f>
        <v/>
      </c>
      <c r="S37" s="9">
        <f>SUMIFS('Nuvei'!$E$11:$E$296,'Nuvei'!$G$11:$G$296,"&gt;="&amp;$AN37,'Nuvei'!$G$11:$G$296,"&lt;="&amp;$AO37)</f>
        <v/>
      </c>
      <c r="T37" s="9">
        <f>SUMIFS('Nuvei'!$E$11:$E$296,'Nuvei'!$A$11:$A$296,"&lt;="&amp;$AO37,'Nuvei'!$G$11:$G$296,"&gt;"&amp;$AO37)</f>
        <v/>
      </c>
      <c r="U37" s="9">
        <f>SUMIFS('Shift4'!$B$11:$B$116,'Shift4'!$A$11:$A$116,"&gt;="&amp;$AN37,'Shift4'!$A$11:$A$116,"&lt;="&amp;$AO37)</f>
        <v/>
      </c>
      <c r="V37" s="9">
        <f>SUMIFS('Shift4'!$C$11:$C$116,'Shift4'!$A$11:$A$116,"&gt;="&amp;$AN37,'Shift4'!$A$11:$A$116,"&lt;="&amp;$AO37)</f>
        <v/>
      </c>
      <c r="W37" s="9">
        <f>U37-V37</f>
        <v/>
      </c>
      <c r="X37" s="9">
        <f>SUMIFS('Shift4'!$E$11:$E$116,'Shift4'!$G$11:$G$116,"&gt;="&amp;$AN37,'Shift4'!$G$11:$G$116,"&lt;="&amp;$AO37)</f>
        <v/>
      </c>
      <c r="Y37" s="9">
        <f>SUMIFS('Shift4'!$E$11:$E$116,'Shift4'!$A$11:$A$116,"&lt;="&amp;$AO37,'Shift4'!$G$11:$G$116,"&gt;"&amp;$AO37)</f>
        <v/>
      </c>
      <c r="Z37" s="9">
        <f>SUMIFS('Paysafe'!$B$11:$B$44,'Paysafe'!$A$11:$A$44,"&gt;="&amp;$AN37,'Paysafe'!$A$11:$A$44,"&lt;="&amp;$AO37)</f>
        <v/>
      </c>
      <c r="AA37" s="9">
        <f>SUMIFS('Paysafe'!$C$11:$C$44,'Paysafe'!$A$11:$A$44,"&gt;="&amp;$AN37,'Paysafe'!$A$11:$A$44,"&lt;="&amp;$AO37)</f>
        <v/>
      </c>
      <c r="AB37" s="9">
        <f>Z37-AA37</f>
        <v/>
      </c>
      <c r="AC37" s="9">
        <f>SUMIFS('Paysafe'!$E$11:$E$44,'Paysafe'!$G$11:$G$44,"&gt;="&amp;$AN37,'Paysafe'!$G$11:$G$44,"&lt;="&amp;$AO37)</f>
        <v/>
      </c>
      <c r="AD37" s="9">
        <f>SUMIFS('Paysafe'!$E$11:$E$44,'Paysafe'!$A$11:$A$44,"&lt;="&amp;$AO37,'Paysafe'!$G$11:$G$44,"&gt;"&amp;$AO37)</f>
        <v/>
      </c>
      <c r="AE37" s="10">
        <f>K37+P37+U37+Z37</f>
        <v/>
      </c>
      <c r="AF37" s="10">
        <f>L37+Q37+V37+AA37</f>
        <v/>
      </c>
      <c r="AG37" s="10">
        <f>M37+R37+W37+AB37</f>
        <v/>
      </c>
      <c r="AH37" s="10">
        <f>N37+S37+X37+AC37</f>
        <v/>
      </c>
      <c r="AI37" s="10">
        <f>O37+T37+Y37+AD37</f>
        <v/>
      </c>
      <c r="AN37" s="8" t="n">
        <v>46132</v>
      </c>
      <c r="AO37" s="8" t="n">
        <v>46138</v>
      </c>
    </row>
    <row r="38">
      <c r="A38" s="8" t="n">
        <v>45958</v>
      </c>
      <c r="B38" s="9">
        <f>SUMIFS('Adyen'!$E$11:$E$207,'Adyen'!$G$11:$G$207,$A38)</f>
        <v/>
      </c>
      <c r="C38" s="9">
        <f>SUMIFS('Nuvei'!$E$11:$E$296,'Nuvei'!$G$11:$G$296,$A38)</f>
        <v/>
      </c>
      <c r="D38" s="9">
        <f>SUMIFS('Shift4'!$E$11:$E$116,'Shift4'!$G$11:$G$116,$A38)</f>
        <v/>
      </c>
      <c r="E38" s="9">
        <f>SUMIFS('Paysafe'!$E$11:$E$44,'Paysafe'!$G$11:$G$44,$A38)</f>
        <v/>
      </c>
      <c r="F38" s="10">
        <f>SUM(B38:E38)</f>
        <v/>
      </c>
      <c r="H38" t="n">
        <v>2026</v>
      </c>
      <c r="I38" t="inlineStr">
        <is>
          <t>W18</t>
        </is>
      </c>
      <c r="J38" t="inlineStr">
        <is>
          <t>27/04 - 03/05/2026</t>
        </is>
      </c>
      <c r="K38" s="9">
        <f>SUMIFS('Adyen'!$B$11:$B$207,'Adyen'!$A$11:$A$207,"&gt;="&amp;$AN38,'Adyen'!$A$11:$A$207,"&lt;="&amp;$AO38)</f>
        <v/>
      </c>
      <c r="L38" s="9">
        <f>SUMIFS('Adyen'!$C$11:$C$207,'Adyen'!$A$11:$A$207,"&gt;="&amp;$AN38,'Adyen'!$A$11:$A$207,"&lt;="&amp;$AO38)</f>
        <v/>
      </c>
      <c r="M38" s="9">
        <f>K38-L38</f>
        <v/>
      </c>
      <c r="N38" s="9">
        <f>SUMIFS('Adyen'!$E$11:$E$207,'Adyen'!$G$11:$G$207,"&gt;="&amp;$AN38,'Adyen'!$G$11:$G$207,"&lt;="&amp;$AO38)</f>
        <v/>
      </c>
      <c r="O38" s="9">
        <f>SUMIFS('Adyen'!$E$11:$E$207,'Adyen'!$A$11:$A$207,"&lt;="&amp;$AO38,'Adyen'!$G$11:$G$207,"&gt;"&amp;$AO38)</f>
        <v/>
      </c>
      <c r="P38" s="9">
        <f>SUMIFS('Nuvei'!$B$11:$B$296,'Nuvei'!$A$11:$A$296,"&gt;="&amp;$AN38,'Nuvei'!$A$11:$A$296,"&lt;="&amp;$AO38)</f>
        <v/>
      </c>
      <c r="Q38" s="9">
        <f>SUMIFS('Nuvei'!$C$11:$C$296,'Nuvei'!$A$11:$A$296,"&gt;="&amp;$AN38,'Nuvei'!$A$11:$A$296,"&lt;="&amp;$AO38)</f>
        <v/>
      </c>
      <c r="R38" s="9">
        <f>P38-Q38</f>
        <v/>
      </c>
      <c r="S38" s="9">
        <f>SUMIFS('Nuvei'!$E$11:$E$296,'Nuvei'!$G$11:$G$296,"&gt;="&amp;$AN38,'Nuvei'!$G$11:$G$296,"&lt;="&amp;$AO38)</f>
        <v/>
      </c>
      <c r="T38" s="9">
        <f>SUMIFS('Nuvei'!$E$11:$E$296,'Nuvei'!$A$11:$A$296,"&lt;="&amp;$AO38,'Nuvei'!$G$11:$G$296,"&gt;"&amp;$AO38)</f>
        <v/>
      </c>
      <c r="U38" s="9">
        <f>SUMIFS('Shift4'!$B$11:$B$116,'Shift4'!$A$11:$A$116,"&gt;="&amp;$AN38,'Shift4'!$A$11:$A$116,"&lt;="&amp;$AO38)</f>
        <v/>
      </c>
      <c r="V38" s="9">
        <f>SUMIFS('Shift4'!$C$11:$C$116,'Shift4'!$A$11:$A$116,"&gt;="&amp;$AN38,'Shift4'!$A$11:$A$116,"&lt;="&amp;$AO38)</f>
        <v/>
      </c>
      <c r="W38" s="9">
        <f>U38-V38</f>
        <v/>
      </c>
      <c r="X38" s="9">
        <f>SUMIFS('Shift4'!$E$11:$E$116,'Shift4'!$G$11:$G$116,"&gt;="&amp;$AN38,'Shift4'!$G$11:$G$116,"&lt;="&amp;$AO38)</f>
        <v/>
      </c>
      <c r="Y38" s="9">
        <f>SUMIFS('Shift4'!$E$11:$E$116,'Shift4'!$A$11:$A$116,"&lt;="&amp;$AO38,'Shift4'!$G$11:$G$116,"&gt;"&amp;$AO38)</f>
        <v/>
      </c>
      <c r="Z38" s="9">
        <f>SUMIFS('Paysafe'!$B$11:$B$44,'Paysafe'!$A$11:$A$44,"&gt;="&amp;$AN38,'Paysafe'!$A$11:$A$44,"&lt;="&amp;$AO38)</f>
        <v/>
      </c>
      <c r="AA38" s="9">
        <f>SUMIFS('Paysafe'!$C$11:$C$44,'Paysafe'!$A$11:$A$44,"&gt;="&amp;$AN38,'Paysafe'!$A$11:$A$44,"&lt;="&amp;$AO38)</f>
        <v/>
      </c>
      <c r="AB38" s="9">
        <f>Z38-AA38</f>
        <v/>
      </c>
      <c r="AC38" s="9">
        <f>SUMIFS('Paysafe'!$E$11:$E$44,'Paysafe'!$G$11:$G$44,"&gt;="&amp;$AN38,'Paysafe'!$G$11:$G$44,"&lt;="&amp;$AO38)</f>
        <v/>
      </c>
      <c r="AD38" s="9">
        <f>SUMIFS('Paysafe'!$E$11:$E$44,'Paysafe'!$A$11:$A$44,"&lt;="&amp;$AO38,'Paysafe'!$G$11:$G$44,"&gt;"&amp;$AO38)</f>
        <v/>
      </c>
      <c r="AE38" s="10">
        <f>K38+P38+U38+Z38</f>
        <v/>
      </c>
      <c r="AF38" s="10">
        <f>L38+Q38+V38+AA38</f>
        <v/>
      </c>
      <c r="AG38" s="10">
        <f>M38+R38+W38+AB38</f>
        <v/>
      </c>
      <c r="AH38" s="10">
        <f>N38+S38+X38+AC38</f>
        <v/>
      </c>
      <c r="AI38" s="10">
        <f>O38+T38+Y38+AD38</f>
        <v/>
      </c>
      <c r="AN38" s="8" t="n">
        <v>46139</v>
      </c>
      <c r="AO38" s="8" t="n">
        <v>46145</v>
      </c>
    </row>
    <row r="39">
      <c r="A39" s="8" t="n">
        <v>45959</v>
      </c>
      <c r="B39" s="9">
        <f>SUMIFS('Adyen'!$E$11:$E$207,'Adyen'!$G$11:$G$207,$A39)</f>
        <v/>
      </c>
      <c r="C39" s="9">
        <f>SUMIFS('Nuvei'!$E$11:$E$296,'Nuvei'!$G$11:$G$296,$A39)</f>
        <v/>
      </c>
      <c r="D39" s="9">
        <f>SUMIFS('Shift4'!$E$11:$E$116,'Shift4'!$G$11:$G$116,$A39)</f>
        <v/>
      </c>
      <c r="E39" s="9">
        <f>SUMIFS('Paysafe'!$E$11:$E$44,'Paysafe'!$G$11:$G$44,$A39)</f>
        <v/>
      </c>
      <c r="F39" s="10">
        <f>SUM(B39:E39)</f>
        <v/>
      </c>
      <c r="H39" t="n">
        <v>2026</v>
      </c>
      <c r="I39" t="inlineStr">
        <is>
          <t>W19</t>
        </is>
      </c>
      <c r="J39" t="inlineStr">
        <is>
          <t>04/05 - 10/05/2026</t>
        </is>
      </c>
      <c r="K39" s="9">
        <f>SUMIFS('Adyen'!$B$11:$B$207,'Adyen'!$A$11:$A$207,"&gt;="&amp;$AN39,'Adyen'!$A$11:$A$207,"&lt;="&amp;$AO39)</f>
        <v/>
      </c>
      <c r="L39" s="9">
        <f>SUMIFS('Adyen'!$C$11:$C$207,'Adyen'!$A$11:$A$207,"&gt;="&amp;$AN39,'Adyen'!$A$11:$A$207,"&lt;="&amp;$AO39)</f>
        <v/>
      </c>
      <c r="M39" s="9">
        <f>K39-L39</f>
        <v/>
      </c>
      <c r="N39" s="9">
        <f>SUMIFS('Adyen'!$E$11:$E$207,'Adyen'!$G$11:$G$207,"&gt;="&amp;$AN39,'Adyen'!$G$11:$G$207,"&lt;="&amp;$AO39)</f>
        <v/>
      </c>
      <c r="O39" s="9">
        <f>SUMIFS('Adyen'!$E$11:$E$207,'Adyen'!$A$11:$A$207,"&lt;="&amp;$AO39,'Adyen'!$G$11:$G$207,"&gt;"&amp;$AO39)</f>
        <v/>
      </c>
      <c r="P39" s="9">
        <f>SUMIFS('Nuvei'!$B$11:$B$296,'Nuvei'!$A$11:$A$296,"&gt;="&amp;$AN39,'Nuvei'!$A$11:$A$296,"&lt;="&amp;$AO39)</f>
        <v/>
      </c>
      <c r="Q39" s="9">
        <f>SUMIFS('Nuvei'!$C$11:$C$296,'Nuvei'!$A$11:$A$296,"&gt;="&amp;$AN39,'Nuvei'!$A$11:$A$296,"&lt;="&amp;$AO39)</f>
        <v/>
      </c>
      <c r="R39" s="9">
        <f>P39-Q39</f>
        <v/>
      </c>
      <c r="S39" s="9">
        <f>SUMIFS('Nuvei'!$E$11:$E$296,'Nuvei'!$G$11:$G$296,"&gt;="&amp;$AN39,'Nuvei'!$G$11:$G$296,"&lt;="&amp;$AO39)</f>
        <v/>
      </c>
      <c r="T39" s="9">
        <f>SUMIFS('Nuvei'!$E$11:$E$296,'Nuvei'!$A$11:$A$296,"&lt;="&amp;$AO39,'Nuvei'!$G$11:$G$296,"&gt;"&amp;$AO39)</f>
        <v/>
      </c>
      <c r="U39" s="9">
        <f>SUMIFS('Shift4'!$B$11:$B$116,'Shift4'!$A$11:$A$116,"&gt;="&amp;$AN39,'Shift4'!$A$11:$A$116,"&lt;="&amp;$AO39)</f>
        <v/>
      </c>
      <c r="V39" s="9">
        <f>SUMIFS('Shift4'!$C$11:$C$116,'Shift4'!$A$11:$A$116,"&gt;="&amp;$AN39,'Shift4'!$A$11:$A$116,"&lt;="&amp;$AO39)</f>
        <v/>
      </c>
      <c r="W39" s="9">
        <f>U39-V39</f>
        <v/>
      </c>
      <c r="X39" s="9">
        <f>SUMIFS('Shift4'!$E$11:$E$116,'Shift4'!$G$11:$G$116,"&gt;="&amp;$AN39,'Shift4'!$G$11:$G$116,"&lt;="&amp;$AO39)</f>
        <v/>
      </c>
      <c r="Y39" s="9">
        <f>SUMIFS('Shift4'!$E$11:$E$116,'Shift4'!$A$11:$A$116,"&lt;="&amp;$AO39,'Shift4'!$G$11:$G$116,"&gt;"&amp;$AO39)</f>
        <v/>
      </c>
      <c r="Z39" s="9">
        <f>SUMIFS('Paysafe'!$B$11:$B$44,'Paysafe'!$A$11:$A$44,"&gt;="&amp;$AN39,'Paysafe'!$A$11:$A$44,"&lt;="&amp;$AO39)</f>
        <v/>
      </c>
      <c r="AA39" s="9">
        <f>SUMIFS('Paysafe'!$C$11:$C$44,'Paysafe'!$A$11:$A$44,"&gt;="&amp;$AN39,'Paysafe'!$A$11:$A$44,"&lt;="&amp;$AO39)</f>
        <v/>
      </c>
      <c r="AB39" s="9">
        <f>Z39-AA39</f>
        <v/>
      </c>
      <c r="AC39" s="9">
        <f>SUMIFS('Paysafe'!$E$11:$E$44,'Paysafe'!$G$11:$G$44,"&gt;="&amp;$AN39,'Paysafe'!$G$11:$G$44,"&lt;="&amp;$AO39)</f>
        <v/>
      </c>
      <c r="AD39" s="9">
        <f>SUMIFS('Paysafe'!$E$11:$E$44,'Paysafe'!$A$11:$A$44,"&lt;="&amp;$AO39,'Paysafe'!$G$11:$G$44,"&gt;"&amp;$AO39)</f>
        <v/>
      </c>
      <c r="AE39" s="10">
        <f>K39+P39+U39+Z39</f>
        <v/>
      </c>
      <c r="AF39" s="10">
        <f>L39+Q39+V39+AA39</f>
        <v/>
      </c>
      <c r="AG39" s="10">
        <f>M39+R39+W39+AB39</f>
        <v/>
      </c>
      <c r="AH39" s="10">
        <f>N39+S39+X39+AC39</f>
        <v/>
      </c>
      <c r="AI39" s="10">
        <f>O39+T39+Y39+AD39</f>
        <v/>
      </c>
      <c r="AN39" s="8" t="n">
        <v>46146</v>
      </c>
      <c r="AO39" s="8" t="n">
        <v>46152</v>
      </c>
    </row>
    <row r="40">
      <c r="A40" s="8" t="n">
        <v>45960</v>
      </c>
      <c r="B40" s="9">
        <f>SUMIFS('Adyen'!$E$11:$E$207,'Adyen'!$G$11:$G$207,$A40)</f>
        <v/>
      </c>
      <c r="C40" s="9">
        <f>SUMIFS('Nuvei'!$E$11:$E$296,'Nuvei'!$G$11:$G$296,$A40)</f>
        <v/>
      </c>
      <c r="D40" s="9">
        <f>SUMIFS('Shift4'!$E$11:$E$116,'Shift4'!$G$11:$G$116,$A40)</f>
        <v/>
      </c>
      <c r="E40" s="9">
        <f>SUMIFS('Paysafe'!$E$11:$E$44,'Paysafe'!$G$11:$G$44,$A40)</f>
        <v/>
      </c>
      <c r="F40" s="10">
        <f>SUM(B40:E40)</f>
        <v/>
      </c>
      <c r="H40" t="n">
        <v>2026</v>
      </c>
      <c r="I40" t="inlineStr">
        <is>
          <t>W20</t>
        </is>
      </c>
      <c r="J40" t="inlineStr">
        <is>
          <t>11/05 - 17/05/2026</t>
        </is>
      </c>
      <c r="K40" s="9">
        <f>SUMIFS('Adyen'!$B$11:$B$207,'Adyen'!$A$11:$A$207,"&gt;="&amp;$AN40,'Adyen'!$A$11:$A$207,"&lt;="&amp;$AO40)</f>
        <v/>
      </c>
      <c r="L40" s="9">
        <f>SUMIFS('Adyen'!$C$11:$C$207,'Adyen'!$A$11:$A$207,"&gt;="&amp;$AN40,'Adyen'!$A$11:$A$207,"&lt;="&amp;$AO40)</f>
        <v/>
      </c>
      <c r="M40" s="9">
        <f>K40-L40</f>
        <v/>
      </c>
      <c r="N40" s="9">
        <f>SUMIFS('Adyen'!$E$11:$E$207,'Adyen'!$G$11:$G$207,"&gt;="&amp;$AN40,'Adyen'!$G$11:$G$207,"&lt;="&amp;$AO40)</f>
        <v/>
      </c>
      <c r="O40" s="9">
        <f>SUMIFS('Adyen'!$E$11:$E$207,'Adyen'!$A$11:$A$207,"&lt;="&amp;$AO40,'Adyen'!$G$11:$G$207,"&gt;"&amp;$AO40)</f>
        <v/>
      </c>
      <c r="P40" s="9">
        <f>SUMIFS('Nuvei'!$B$11:$B$296,'Nuvei'!$A$11:$A$296,"&gt;="&amp;$AN40,'Nuvei'!$A$11:$A$296,"&lt;="&amp;$AO40)</f>
        <v/>
      </c>
      <c r="Q40" s="9">
        <f>SUMIFS('Nuvei'!$C$11:$C$296,'Nuvei'!$A$11:$A$296,"&gt;="&amp;$AN40,'Nuvei'!$A$11:$A$296,"&lt;="&amp;$AO40)</f>
        <v/>
      </c>
      <c r="R40" s="9">
        <f>P40-Q40</f>
        <v/>
      </c>
      <c r="S40" s="9">
        <f>SUMIFS('Nuvei'!$E$11:$E$296,'Nuvei'!$G$11:$G$296,"&gt;="&amp;$AN40,'Nuvei'!$G$11:$G$296,"&lt;="&amp;$AO40)</f>
        <v/>
      </c>
      <c r="T40" s="9">
        <f>SUMIFS('Nuvei'!$E$11:$E$296,'Nuvei'!$A$11:$A$296,"&lt;="&amp;$AO40,'Nuvei'!$G$11:$G$296,"&gt;"&amp;$AO40)</f>
        <v/>
      </c>
      <c r="U40" s="9">
        <f>SUMIFS('Shift4'!$B$11:$B$116,'Shift4'!$A$11:$A$116,"&gt;="&amp;$AN40,'Shift4'!$A$11:$A$116,"&lt;="&amp;$AO40)</f>
        <v/>
      </c>
      <c r="V40" s="9">
        <f>SUMIFS('Shift4'!$C$11:$C$116,'Shift4'!$A$11:$A$116,"&gt;="&amp;$AN40,'Shift4'!$A$11:$A$116,"&lt;="&amp;$AO40)</f>
        <v/>
      </c>
      <c r="W40" s="9">
        <f>U40-V40</f>
        <v/>
      </c>
      <c r="X40" s="9">
        <f>SUMIFS('Shift4'!$E$11:$E$116,'Shift4'!$G$11:$G$116,"&gt;="&amp;$AN40,'Shift4'!$G$11:$G$116,"&lt;="&amp;$AO40)</f>
        <v/>
      </c>
      <c r="Y40" s="9">
        <f>SUMIFS('Shift4'!$E$11:$E$116,'Shift4'!$A$11:$A$116,"&lt;="&amp;$AO40,'Shift4'!$G$11:$G$116,"&gt;"&amp;$AO40)</f>
        <v/>
      </c>
      <c r="Z40" s="9">
        <f>SUMIFS('Paysafe'!$B$11:$B$44,'Paysafe'!$A$11:$A$44,"&gt;="&amp;$AN40,'Paysafe'!$A$11:$A$44,"&lt;="&amp;$AO40)</f>
        <v/>
      </c>
      <c r="AA40" s="9">
        <f>SUMIFS('Paysafe'!$C$11:$C$44,'Paysafe'!$A$11:$A$44,"&gt;="&amp;$AN40,'Paysafe'!$A$11:$A$44,"&lt;="&amp;$AO40)</f>
        <v/>
      </c>
      <c r="AB40" s="9">
        <f>Z40-AA40</f>
        <v/>
      </c>
      <c r="AC40" s="9">
        <f>SUMIFS('Paysafe'!$E$11:$E$44,'Paysafe'!$G$11:$G$44,"&gt;="&amp;$AN40,'Paysafe'!$G$11:$G$44,"&lt;="&amp;$AO40)</f>
        <v/>
      </c>
      <c r="AD40" s="9">
        <f>SUMIFS('Paysafe'!$E$11:$E$44,'Paysafe'!$A$11:$A$44,"&lt;="&amp;$AO40,'Paysafe'!$G$11:$G$44,"&gt;"&amp;$AO40)</f>
        <v/>
      </c>
      <c r="AE40" s="10">
        <f>K40+P40+U40+Z40</f>
        <v/>
      </c>
      <c r="AF40" s="10">
        <f>L40+Q40+V40+AA40</f>
        <v/>
      </c>
      <c r="AG40" s="10">
        <f>M40+R40+W40+AB40</f>
        <v/>
      </c>
      <c r="AH40" s="10">
        <f>N40+S40+X40+AC40</f>
        <v/>
      </c>
      <c r="AI40" s="10">
        <f>O40+T40+Y40+AD40</f>
        <v/>
      </c>
      <c r="AN40" s="8" t="n">
        <v>46153</v>
      </c>
      <c r="AO40" s="8" t="n">
        <v>46159</v>
      </c>
    </row>
    <row r="41">
      <c r="A41" s="8" t="n">
        <v>45961</v>
      </c>
      <c r="B41" s="9">
        <f>SUMIFS('Adyen'!$E$11:$E$207,'Adyen'!$G$11:$G$207,$A41)</f>
        <v/>
      </c>
      <c r="C41" s="9">
        <f>SUMIFS('Nuvei'!$E$11:$E$296,'Nuvei'!$G$11:$G$296,$A41)</f>
        <v/>
      </c>
      <c r="D41" s="9">
        <f>SUMIFS('Shift4'!$E$11:$E$116,'Shift4'!$G$11:$G$116,$A41)</f>
        <v/>
      </c>
      <c r="E41" s="9">
        <f>SUMIFS('Paysafe'!$E$11:$E$44,'Paysafe'!$G$11:$G$44,$A41)</f>
        <v/>
      </c>
      <c r="F41" s="10">
        <f>SUM(B41:E41)</f>
        <v/>
      </c>
      <c r="H41" t="n">
        <v>2026</v>
      </c>
      <c r="I41" t="inlineStr">
        <is>
          <t>W21</t>
        </is>
      </c>
      <c r="J41" t="inlineStr">
        <is>
          <t>18/05 - 24/05/2026</t>
        </is>
      </c>
      <c r="K41" s="9">
        <f>SUMIFS('Adyen'!$B$11:$B$207,'Adyen'!$A$11:$A$207,"&gt;="&amp;$AN41,'Adyen'!$A$11:$A$207,"&lt;="&amp;$AO41)</f>
        <v/>
      </c>
      <c r="L41" s="9">
        <f>SUMIFS('Adyen'!$C$11:$C$207,'Adyen'!$A$11:$A$207,"&gt;="&amp;$AN41,'Adyen'!$A$11:$A$207,"&lt;="&amp;$AO41)</f>
        <v/>
      </c>
      <c r="M41" s="9">
        <f>K41-L41</f>
        <v/>
      </c>
      <c r="N41" s="9">
        <f>SUMIFS('Adyen'!$E$11:$E$207,'Adyen'!$G$11:$G$207,"&gt;="&amp;$AN41,'Adyen'!$G$11:$G$207,"&lt;="&amp;$AO41)</f>
        <v/>
      </c>
      <c r="O41" s="9">
        <f>SUMIFS('Adyen'!$E$11:$E$207,'Adyen'!$A$11:$A$207,"&lt;="&amp;$AO41,'Adyen'!$G$11:$G$207,"&gt;"&amp;$AO41)</f>
        <v/>
      </c>
      <c r="P41" s="9">
        <f>SUMIFS('Nuvei'!$B$11:$B$296,'Nuvei'!$A$11:$A$296,"&gt;="&amp;$AN41,'Nuvei'!$A$11:$A$296,"&lt;="&amp;$AO41)</f>
        <v/>
      </c>
      <c r="Q41" s="9">
        <f>SUMIFS('Nuvei'!$C$11:$C$296,'Nuvei'!$A$11:$A$296,"&gt;="&amp;$AN41,'Nuvei'!$A$11:$A$296,"&lt;="&amp;$AO41)</f>
        <v/>
      </c>
      <c r="R41" s="9">
        <f>P41-Q41</f>
        <v/>
      </c>
      <c r="S41" s="9">
        <f>SUMIFS('Nuvei'!$E$11:$E$296,'Nuvei'!$G$11:$G$296,"&gt;="&amp;$AN41,'Nuvei'!$G$11:$G$296,"&lt;="&amp;$AO41)</f>
        <v/>
      </c>
      <c r="T41" s="9">
        <f>SUMIFS('Nuvei'!$E$11:$E$296,'Nuvei'!$A$11:$A$296,"&lt;="&amp;$AO41,'Nuvei'!$G$11:$G$296,"&gt;"&amp;$AO41)</f>
        <v/>
      </c>
      <c r="U41" s="9">
        <f>SUMIFS('Shift4'!$B$11:$B$116,'Shift4'!$A$11:$A$116,"&gt;="&amp;$AN41,'Shift4'!$A$11:$A$116,"&lt;="&amp;$AO41)</f>
        <v/>
      </c>
      <c r="V41" s="9">
        <f>SUMIFS('Shift4'!$C$11:$C$116,'Shift4'!$A$11:$A$116,"&gt;="&amp;$AN41,'Shift4'!$A$11:$A$116,"&lt;="&amp;$AO41)</f>
        <v/>
      </c>
      <c r="W41" s="9">
        <f>U41-V41</f>
        <v/>
      </c>
      <c r="X41" s="9">
        <f>SUMIFS('Shift4'!$E$11:$E$116,'Shift4'!$G$11:$G$116,"&gt;="&amp;$AN41,'Shift4'!$G$11:$G$116,"&lt;="&amp;$AO41)</f>
        <v/>
      </c>
      <c r="Y41" s="9">
        <f>SUMIFS('Shift4'!$E$11:$E$116,'Shift4'!$A$11:$A$116,"&lt;="&amp;$AO41,'Shift4'!$G$11:$G$116,"&gt;"&amp;$AO41)</f>
        <v/>
      </c>
      <c r="Z41" s="9">
        <f>SUMIFS('Paysafe'!$B$11:$B$44,'Paysafe'!$A$11:$A$44,"&gt;="&amp;$AN41,'Paysafe'!$A$11:$A$44,"&lt;="&amp;$AO41)</f>
        <v/>
      </c>
      <c r="AA41" s="9">
        <f>SUMIFS('Paysafe'!$C$11:$C$44,'Paysafe'!$A$11:$A$44,"&gt;="&amp;$AN41,'Paysafe'!$A$11:$A$44,"&lt;="&amp;$AO41)</f>
        <v/>
      </c>
      <c r="AB41" s="9">
        <f>Z41-AA41</f>
        <v/>
      </c>
      <c r="AC41" s="9">
        <f>SUMIFS('Paysafe'!$E$11:$E$44,'Paysafe'!$G$11:$G$44,"&gt;="&amp;$AN41,'Paysafe'!$G$11:$G$44,"&lt;="&amp;$AO41)</f>
        <v/>
      </c>
      <c r="AD41" s="9">
        <f>SUMIFS('Paysafe'!$E$11:$E$44,'Paysafe'!$A$11:$A$44,"&lt;="&amp;$AO41,'Paysafe'!$G$11:$G$44,"&gt;"&amp;$AO41)</f>
        <v/>
      </c>
      <c r="AE41" s="10">
        <f>K41+P41+U41+Z41</f>
        <v/>
      </c>
      <c r="AF41" s="10">
        <f>L41+Q41+V41+AA41</f>
        <v/>
      </c>
      <c r="AG41" s="10">
        <f>M41+R41+W41+AB41</f>
        <v/>
      </c>
      <c r="AH41" s="10">
        <f>N41+S41+X41+AC41</f>
        <v/>
      </c>
      <c r="AI41" s="10">
        <f>O41+T41+Y41+AD41</f>
        <v/>
      </c>
      <c r="AN41" s="8" t="n">
        <v>46160</v>
      </c>
      <c r="AO41" s="8" t="n">
        <v>46166</v>
      </c>
    </row>
    <row r="42">
      <c r="A42" s="8" t="n">
        <v>45962</v>
      </c>
      <c r="B42" s="9">
        <f>SUMIFS('Adyen'!$E$11:$E$207,'Adyen'!$G$11:$G$207,$A42)</f>
        <v/>
      </c>
      <c r="C42" s="9">
        <f>SUMIFS('Nuvei'!$E$11:$E$296,'Nuvei'!$G$11:$G$296,$A42)</f>
        <v/>
      </c>
      <c r="D42" s="9">
        <f>SUMIFS('Shift4'!$E$11:$E$116,'Shift4'!$G$11:$G$116,$A42)</f>
        <v/>
      </c>
      <c r="E42" s="9">
        <f>SUMIFS('Paysafe'!$E$11:$E$44,'Paysafe'!$G$11:$G$44,$A42)</f>
        <v/>
      </c>
      <c r="F42" s="10">
        <f>SUM(B42:E42)</f>
        <v/>
      </c>
      <c r="H42" t="n">
        <v>2026</v>
      </c>
      <c r="I42" t="inlineStr">
        <is>
          <t>W22</t>
        </is>
      </c>
      <c r="J42" t="inlineStr">
        <is>
          <t>25/05 - 31/05/2026</t>
        </is>
      </c>
      <c r="K42" s="9">
        <f>SUMIFS('Adyen'!$B$11:$B$207,'Adyen'!$A$11:$A$207,"&gt;="&amp;$AN42,'Adyen'!$A$11:$A$207,"&lt;="&amp;$AO42)</f>
        <v/>
      </c>
      <c r="L42" s="9">
        <f>SUMIFS('Adyen'!$C$11:$C$207,'Adyen'!$A$11:$A$207,"&gt;="&amp;$AN42,'Adyen'!$A$11:$A$207,"&lt;="&amp;$AO42)</f>
        <v/>
      </c>
      <c r="M42" s="9">
        <f>K42-L42</f>
        <v/>
      </c>
      <c r="N42" s="9">
        <f>SUMIFS('Adyen'!$E$11:$E$207,'Adyen'!$G$11:$G$207,"&gt;="&amp;$AN42,'Adyen'!$G$11:$G$207,"&lt;="&amp;$AO42)</f>
        <v/>
      </c>
      <c r="O42" s="9">
        <f>SUMIFS('Adyen'!$E$11:$E$207,'Adyen'!$A$11:$A$207,"&lt;="&amp;$AO42,'Adyen'!$G$11:$G$207,"&gt;"&amp;$AO42)</f>
        <v/>
      </c>
      <c r="P42" s="9">
        <f>SUMIFS('Nuvei'!$B$11:$B$296,'Nuvei'!$A$11:$A$296,"&gt;="&amp;$AN42,'Nuvei'!$A$11:$A$296,"&lt;="&amp;$AO42)</f>
        <v/>
      </c>
      <c r="Q42" s="9">
        <f>SUMIFS('Nuvei'!$C$11:$C$296,'Nuvei'!$A$11:$A$296,"&gt;="&amp;$AN42,'Nuvei'!$A$11:$A$296,"&lt;="&amp;$AO42)</f>
        <v/>
      </c>
      <c r="R42" s="9">
        <f>P42-Q42</f>
        <v/>
      </c>
      <c r="S42" s="9">
        <f>SUMIFS('Nuvei'!$E$11:$E$296,'Nuvei'!$G$11:$G$296,"&gt;="&amp;$AN42,'Nuvei'!$G$11:$G$296,"&lt;="&amp;$AO42)</f>
        <v/>
      </c>
      <c r="T42" s="9">
        <f>SUMIFS('Nuvei'!$E$11:$E$296,'Nuvei'!$A$11:$A$296,"&lt;="&amp;$AO42,'Nuvei'!$G$11:$G$296,"&gt;"&amp;$AO42)</f>
        <v/>
      </c>
      <c r="U42" s="9">
        <f>SUMIFS('Shift4'!$B$11:$B$116,'Shift4'!$A$11:$A$116,"&gt;="&amp;$AN42,'Shift4'!$A$11:$A$116,"&lt;="&amp;$AO42)</f>
        <v/>
      </c>
      <c r="V42" s="9">
        <f>SUMIFS('Shift4'!$C$11:$C$116,'Shift4'!$A$11:$A$116,"&gt;="&amp;$AN42,'Shift4'!$A$11:$A$116,"&lt;="&amp;$AO42)</f>
        <v/>
      </c>
      <c r="W42" s="9">
        <f>U42-V42</f>
        <v/>
      </c>
      <c r="X42" s="9">
        <f>SUMIFS('Shift4'!$E$11:$E$116,'Shift4'!$G$11:$G$116,"&gt;="&amp;$AN42,'Shift4'!$G$11:$G$116,"&lt;="&amp;$AO42)</f>
        <v/>
      </c>
      <c r="Y42" s="9">
        <f>SUMIFS('Shift4'!$E$11:$E$116,'Shift4'!$A$11:$A$116,"&lt;="&amp;$AO42,'Shift4'!$G$11:$G$116,"&gt;"&amp;$AO42)</f>
        <v/>
      </c>
      <c r="Z42" s="9">
        <f>SUMIFS('Paysafe'!$B$11:$B$44,'Paysafe'!$A$11:$A$44,"&gt;="&amp;$AN42,'Paysafe'!$A$11:$A$44,"&lt;="&amp;$AO42)</f>
        <v/>
      </c>
      <c r="AA42" s="9">
        <f>SUMIFS('Paysafe'!$C$11:$C$44,'Paysafe'!$A$11:$A$44,"&gt;="&amp;$AN42,'Paysafe'!$A$11:$A$44,"&lt;="&amp;$AO42)</f>
        <v/>
      </c>
      <c r="AB42" s="9">
        <f>Z42-AA42</f>
        <v/>
      </c>
      <c r="AC42" s="9">
        <f>SUMIFS('Paysafe'!$E$11:$E$44,'Paysafe'!$G$11:$G$44,"&gt;="&amp;$AN42,'Paysafe'!$G$11:$G$44,"&lt;="&amp;$AO42)</f>
        <v/>
      </c>
      <c r="AD42" s="9">
        <f>SUMIFS('Paysafe'!$E$11:$E$44,'Paysafe'!$A$11:$A$44,"&lt;="&amp;$AO42,'Paysafe'!$G$11:$G$44,"&gt;"&amp;$AO42)</f>
        <v/>
      </c>
      <c r="AE42" s="10">
        <f>K42+P42+U42+Z42</f>
        <v/>
      </c>
      <c r="AF42" s="10">
        <f>L42+Q42+V42+AA42</f>
        <v/>
      </c>
      <c r="AG42" s="10">
        <f>M42+R42+W42+AB42</f>
        <v/>
      </c>
      <c r="AH42" s="10">
        <f>N42+S42+X42+AC42</f>
        <v/>
      </c>
      <c r="AI42" s="10">
        <f>O42+T42+Y42+AD42</f>
        <v/>
      </c>
      <c r="AN42" s="8" t="n">
        <v>46167</v>
      </c>
      <c r="AO42" s="8" t="n">
        <v>46173</v>
      </c>
    </row>
    <row r="43">
      <c r="A43" s="8" t="n">
        <v>45963</v>
      </c>
      <c r="B43" s="9">
        <f>SUMIFS('Adyen'!$E$11:$E$207,'Adyen'!$G$11:$G$207,$A43)</f>
        <v/>
      </c>
      <c r="C43" s="9">
        <f>SUMIFS('Nuvei'!$E$11:$E$296,'Nuvei'!$G$11:$G$296,$A43)</f>
        <v/>
      </c>
      <c r="D43" s="9">
        <f>SUMIFS('Shift4'!$E$11:$E$116,'Shift4'!$G$11:$G$116,$A43)</f>
        <v/>
      </c>
      <c r="E43" s="9">
        <f>SUMIFS('Paysafe'!$E$11:$E$44,'Paysafe'!$G$11:$G$44,$A43)</f>
        <v/>
      </c>
      <c r="F43" s="10">
        <f>SUM(B43:E43)</f>
        <v/>
      </c>
      <c r="H43" t="n">
        <v>2026</v>
      </c>
      <c r="I43" t="inlineStr">
        <is>
          <t>W23</t>
        </is>
      </c>
      <c r="J43" t="inlineStr">
        <is>
          <t>01/06 - 07/06/2026</t>
        </is>
      </c>
      <c r="K43" s="9">
        <f>SUMIFS('Adyen'!$B$11:$B$207,'Adyen'!$A$11:$A$207,"&gt;="&amp;$AN43,'Adyen'!$A$11:$A$207,"&lt;="&amp;$AO43)</f>
        <v/>
      </c>
      <c r="L43" s="9">
        <f>SUMIFS('Adyen'!$C$11:$C$207,'Adyen'!$A$11:$A$207,"&gt;="&amp;$AN43,'Adyen'!$A$11:$A$207,"&lt;="&amp;$AO43)</f>
        <v/>
      </c>
      <c r="M43" s="9">
        <f>K43-L43</f>
        <v/>
      </c>
      <c r="N43" s="9">
        <f>SUMIFS('Adyen'!$E$11:$E$207,'Adyen'!$G$11:$G$207,"&gt;="&amp;$AN43,'Adyen'!$G$11:$G$207,"&lt;="&amp;$AO43)</f>
        <v/>
      </c>
      <c r="O43" s="9">
        <f>SUMIFS('Adyen'!$E$11:$E$207,'Adyen'!$A$11:$A$207,"&lt;="&amp;$AO43,'Adyen'!$G$11:$G$207,"&gt;"&amp;$AO43)</f>
        <v/>
      </c>
      <c r="P43" s="9">
        <f>SUMIFS('Nuvei'!$B$11:$B$296,'Nuvei'!$A$11:$A$296,"&gt;="&amp;$AN43,'Nuvei'!$A$11:$A$296,"&lt;="&amp;$AO43)</f>
        <v/>
      </c>
      <c r="Q43" s="9">
        <f>SUMIFS('Nuvei'!$C$11:$C$296,'Nuvei'!$A$11:$A$296,"&gt;="&amp;$AN43,'Nuvei'!$A$11:$A$296,"&lt;="&amp;$AO43)</f>
        <v/>
      </c>
      <c r="R43" s="9">
        <f>P43-Q43</f>
        <v/>
      </c>
      <c r="S43" s="9">
        <f>SUMIFS('Nuvei'!$E$11:$E$296,'Nuvei'!$G$11:$G$296,"&gt;="&amp;$AN43,'Nuvei'!$G$11:$G$296,"&lt;="&amp;$AO43)</f>
        <v/>
      </c>
      <c r="T43" s="9">
        <f>SUMIFS('Nuvei'!$E$11:$E$296,'Nuvei'!$A$11:$A$296,"&lt;="&amp;$AO43,'Nuvei'!$G$11:$G$296,"&gt;"&amp;$AO43)</f>
        <v/>
      </c>
      <c r="U43" s="9">
        <f>SUMIFS('Shift4'!$B$11:$B$116,'Shift4'!$A$11:$A$116,"&gt;="&amp;$AN43,'Shift4'!$A$11:$A$116,"&lt;="&amp;$AO43)</f>
        <v/>
      </c>
      <c r="V43" s="9">
        <f>SUMIFS('Shift4'!$C$11:$C$116,'Shift4'!$A$11:$A$116,"&gt;="&amp;$AN43,'Shift4'!$A$11:$A$116,"&lt;="&amp;$AO43)</f>
        <v/>
      </c>
      <c r="W43" s="9">
        <f>U43-V43</f>
        <v/>
      </c>
      <c r="X43" s="9">
        <f>SUMIFS('Shift4'!$E$11:$E$116,'Shift4'!$G$11:$G$116,"&gt;="&amp;$AN43,'Shift4'!$G$11:$G$116,"&lt;="&amp;$AO43)</f>
        <v/>
      </c>
      <c r="Y43" s="9">
        <f>SUMIFS('Shift4'!$E$11:$E$116,'Shift4'!$A$11:$A$116,"&lt;="&amp;$AO43,'Shift4'!$G$11:$G$116,"&gt;"&amp;$AO43)</f>
        <v/>
      </c>
      <c r="Z43" s="9">
        <f>SUMIFS('Paysafe'!$B$11:$B$44,'Paysafe'!$A$11:$A$44,"&gt;="&amp;$AN43,'Paysafe'!$A$11:$A$44,"&lt;="&amp;$AO43)</f>
        <v/>
      </c>
      <c r="AA43" s="9">
        <f>SUMIFS('Paysafe'!$C$11:$C$44,'Paysafe'!$A$11:$A$44,"&gt;="&amp;$AN43,'Paysafe'!$A$11:$A$44,"&lt;="&amp;$AO43)</f>
        <v/>
      </c>
      <c r="AB43" s="9">
        <f>Z43-AA43</f>
        <v/>
      </c>
      <c r="AC43" s="9">
        <f>SUMIFS('Paysafe'!$E$11:$E$44,'Paysafe'!$G$11:$G$44,"&gt;="&amp;$AN43,'Paysafe'!$G$11:$G$44,"&lt;="&amp;$AO43)</f>
        <v/>
      </c>
      <c r="AD43" s="9">
        <f>SUMIFS('Paysafe'!$E$11:$E$44,'Paysafe'!$A$11:$A$44,"&lt;="&amp;$AO43,'Paysafe'!$G$11:$G$44,"&gt;"&amp;$AO43)</f>
        <v/>
      </c>
      <c r="AE43" s="10">
        <f>K43+P43+U43+Z43</f>
        <v/>
      </c>
      <c r="AF43" s="10">
        <f>L43+Q43+V43+AA43</f>
        <v/>
      </c>
      <c r="AG43" s="10">
        <f>M43+R43+W43+AB43</f>
        <v/>
      </c>
      <c r="AH43" s="10">
        <f>N43+S43+X43+AC43</f>
        <v/>
      </c>
      <c r="AI43" s="10">
        <f>O43+T43+Y43+AD43</f>
        <v/>
      </c>
      <c r="AN43" s="8" t="n">
        <v>46174</v>
      </c>
      <c r="AO43" s="8" t="n">
        <v>46180</v>
      </c>
    </row>
    <row r="44">
      <c r="A44" s="8" t="n">
        <v>45964</v>
      </c>
      <c r="B44" s="9">
        <f>SUMIFS('Adyen'!$E$11:$E$207,'Adyen'!$G$11:$G$207,$A44)</f>
        <v/>
      </c>
      <c r="C44" s="9">
        <f>SUMIFS('Nuvei'!$E$11:$E$296,'Nuvei'!$G$11:$G$296,$A44)</f>
        <v/>
      </c>
      <c r="D44" s="9">
        <f>SUMIFS('Shift4'!$E$11:$E$116,'Shift4'!$G$11:$G$116,$A44)</f>
        <v/>
      </c>
      <c r="E44" s="9">
        <f>SUMIFS('Paysafe'!$E$11:$E$44,'Paysafe'!$G$11:$G$44,$A44)</f>
        <v/>
      </c>
      <c r="F44" s="10">
        <f>SUM(B44:E44)</f>
        <v/>
      </c>
      <c r="H44" t="n">
        <v>2026</v>
      </c>
      <c r="I44" t="inlineStr">
        <is>
          <t>W24</t>
        </is>
      </c>
      <c r="J44" t="inlineStr">
        <is>
          <t>08/06 - 14/06/2026</t>
        </is>
      </c>
      <c r="K44" s="9">
        <f>SUMIFS('Adyen'!$B$11:$B$207,'Adyen'!$A$11:$A$207,"&gt;="&amp;$AN44,'Adyen'!$A$11:$A$207,"&lt;="&amp;$AO44)</f>
        <v/>
      </c>
      <c r="L44" s="9">
        <f>SUMIFS('Adyen'!$C$11:$C$207,'Adyen'!$A$11:$A$207,"&gt;="&amp;$AN44,'Adyen'!$A$11:$A$207,"&lt;="&amp;$AO44)</f>
        <v/>
      </c>
      <c r="M44" s="9">
        <f>K44-L44</f>
        <v/>
      </c>
      <c r="N44" s="9">
        <f>SUMIFS('Adyen'!$E$11:$E$207,'Adyen'!$G$11:$G$207,"&gt;="&amp;$AN44,'Adyen'!$G$11:$G$207,"&lt;="&amp;$AO44)</f>
        <v/>
      </c>
      <c r="O44" s="9">
        <f>SUMIFS('Adyen'!$E$11:$E$207,'Adyen'!$A$11:$A$207,"&lt;="&amp;$AO44,'Adyen'!$G$11:$G$207,"&gt;"&amp;$AO44)</f>
        <v/>
      </c>
      <c r="P44" s="9">
        <f>SUMIFS('Nuvei'!$B$11:$B$296,'Nuvei'!$A$11:$A$296,"&gt;="&amp;$AN44,'Nuvei'!$A$11:$A$296,"&lt;="&amp;$AO44)</f>
        <v/>
      </c>
      <c r="Q44" s="9">
        <f>SUMIFS('Nuvei'!$C$11:$C$296,'Nuvei'!$A$11:$A$296,"&gt;="&amp;$AN44,'Nuvei'!$A$11:$A$296,"&lt;="&amp;$AO44)</f>
        <v/>
      </c>
      <c r="R44" s="9">
        <f>P44-Q44</f>
        <v/>
      </c>
      <c r="S44" s="9">
        <f>SUMIFS('Nuvei'!$E$11:$E$296,'Nuvei'!$G$11:$G$296,"&gt;="&amp;$AN44,'Nuvei'!$G$11:$G$296,"&lt;="&amp;$AO44)</f>
        <v/>
      </c>
      <c r="T44" s="9">
        <f>SUMIFS('Nuvei'!$E$11:$E$296,'Nuvei'!$A$11:$A$296,"&lt;="&amp;$AO44,'Nuvei'!$G$11:$G$296,"&gt;"&amp;$AO44)</f>
        <v/>
      </c>
      <c r="U44" s="9">
        <f>SUMIFS('Shift4'!$B$11:$B$116,'Shift4'!$A$11:$A$116,"&gt;="&amp;$AN44,'Shift4'!$A$11:$A$116,"&lt;="&amp;$AO44)</f>
        <v/>
      </c>
      <c r="V44" s="9">
        <f>SUMIFS('Shift4'!$C$11:$C$116,'Shift4'!$A$11:$A$116,"&gt;="&amp;$AN44,'Shift4'!$A$11:$A$116,"&lt;="&amp;$AO44)</f>
        <v/>
      </c>
      <c r="W44" s="9">
        <f>U44-V44</f>
        <v/>
      </c>
      <c r="X44" s="9">
        <f>SUMIFS('Shift4'!$E$11:$E$116,'Shift4'!$G$11:$G$116,"&gt;="&amp;$AN44,'Shift4'!$G$11:$G$116,"&lt;="&amp;$AO44)</f>
        <v/>
      </c>
      <c r="Y44" s="9">
        <f>SUMIFS('Shift4'!$E$11:$E$116,'Shift4'!$A$11:$A$116,"&lt;="&amp;$AO44,'Shift4'!$G$11:$G$116,"&gt;"&amp;$AO44)</f>
        <v/>
      </c>
      <c r="Z44" s="9">
        <f>SUMIFS('Paysafe'!$B$11:$B$44,'Paysafe'!$A$11:$A$44,"&gt;="&amp;$AN44,'Paysafe'!$A$11:$A$44,"&lt;="&amp;$AO44)</f>
        <v/>
      </c>
      <c r="AA44" s="9">
        <f>SUMIFS('Paysafe'!$C$11:$C$44,'Paysafe'!$A$11:$A$44,"&gt;="&amp;$AN44,'Paysafe'!$A$11:$A$44,"&lt;="&amp;$AO44)</f>
        <v/>
      </c>
      <c r="AB44" s="9">
        <f>Z44-AA44</f>
        <v/>
      </c>
      <c r="AC44" s="9">
        <f>SUMIFS('Paysafe'!$E$11:$E$44,'Paysafe'!$G$11:$G$44,"&gt;="&amp;$AN44,'Paysafe'!$G$11:$G$44,"&lt;="&amp;$AO44)</f>
        <v/>
      </c>
      <c r="AD44" s="9">
        <f>SUMIFS('Paysafe'!$E$11:$E$44,'Paysafe'!$A$11:$A$44,"&lt;="&amp;$AO44,'Paysafe'!$G$11:$G$44,"&gt;"&amp;$AO44)</f>
        <v/>
      </c>
      <c r="AE44" s="10">
        <f>K44+P44+U44+Z44</f>
        <v/>
      </c>
      <c r="AF44" s="10">
        <f>L44+Q44+V44+AA44</f>
        <v/>
      </c>
      <c r="AG44" s="10">
        <f>M44+R44+W44+AB44</f>
        <v/>
      </c>
      <c r="AH44" s="10">
        <f>N44+S44+X44+AC44</f>
        <v/>
      </c>
      <c r="AI44" s="10">
        <f>O44+T44+Y44+AD44</f>
        <v/>
      </c>
      <c r="AN44" s="8" t="n">
        <v>46181</v>
      </c>
      <c r="AO44" s="8" t="n">
        <v>46187</v>
      </c>
    </row>
    <row r="45">
      <c r="A45" s="8" t="n">
        <v>45965</v>
      </c>
      <c r="B45" s="9">
        <f>SUMIFS('Adyen'!$E$11:$E$207,'Adyen'!$G$11:$G$207,$A45)</f>
        <v/>
      </c>
      <c r="C45" s="9">
        <f>SUMIFS('Nuvei'!$E$11:$E$296,'Nuvei'!$G$11:$G$296,$A45)</f>
        <v/>
      </c>
      <c r="D45" s="9">
        <f>SUMIFS('Shift4'!$E$11:$E$116,'Shift4'!$G$11:$G$116,$A45)</f>
        <v/>
      </c>
      <c r="E45" s="9">
        <f>SUMIFS('Paysafe'!$E$11:$E$44,'Paysafe'!$G$11:$G$44,$A45)</f>
        <v/>
      </c>
      <c r="F45" s="10">
        <f>SUM(B45:E45)</f>
        <v/>
      </c>
      <c r="H45" t="n">
        <v>2026</v>
      </c>
      <c r="I45" t="inlineStr">
        <is>
          <t>W25</t>
        </is>
      </c>
      <c r="J45" t="inlineStr">
        <is>
          <t>15/06 - 21/06/2026</t>
        </is>
      </c>
      <c r="K45" s="9">
        <f>SUMIFS('Adyen'!$B$11:$B$207,'Adyen'!$A$11:$A$207,"&gt;="&amp;$AN45,'Adyen'!$A$11:$A$207,"&lt;="&amp;$AO45)</f>
        <v/>
      </c>
      <c r="L45" s="9">
        <f>SUMIFS('Adyen'!$C$11:$C$207,'Adyen'!$A$11:$A$207,"&gt;="&amp;$AN45,'Adyen'!$A$11:$A$207,"&lt;="&amp;$AO45)</f>
        <v/>
      </c>
      <c r="M45" s="9">
        <f>K45-L45</f>
        <v/>
      </c>
      <c r="N45" s="9">
        <f>SUMIFS('Adyen'!$E$11:$E$207,'Adyen'!$G$11:$G$207,"&gt;="&amp;$AN45,'Adyen'!$G$11:$G$207,"&lt;="&amp;$AO45)</f>
        <v/>
      </c>
      <c r="O45" s="9">
        <f>SUMIFS('Adyen'!$E$11:$E$207,'Adyen'!$A$11:$A$207,"&lt;="&amp;$AO45,'Adyen'!$G$11:$G$207,"&gt;"&amp;$AO45)</f>
        <v/>
      </c>
      <c r="P45" s="9">
        <f>SUMIFS('Nuvei'!$B$11:$B$296,'Nuvei'!$A$11:$A$296,"&gt;="&amp;$AN45,'Nuvei'!$A$11:$A$296,"&lt;="&amp;$AO45)</f>
        <v/>
      </c>
      <c r="Q45" s="9">
        <f>SUMIFS('Nuvei'!$C$11:$C$296,'Nuvei'!$A$11:$A$296,"&gt;="&amp;$AN45,'Nuvei'!$A$11:$A$296,"&lt;="&amp;$AO45)</f>
        <v/>
      </c>
      <c r="R45" s="9">
        <f>P45-Q45</f>
        <v/>
      </c>
      <c r="S45" s="9">
        <f>SUMIFS('Nuvei'!$E$11:$E$296,'Nuvei'!$G$11:$G$296,"&gt;="&amp;$AN45,'Nuvei'!$G$11:$G$296,"&lt;="&amp;$AO45)</f>
        <v/>
      </c>
      <c r="T45" s="9">
        <f>SUMIFS('Nuvei'!$E$11:$E$296,'Nuvei'!$A$11:$A$296,"&lt;="&amp;$AO45,'Nuvei'!$G$11:$G$296,"&gt;"&amp;$AO45)</f>
        <v/>
      </c>
      <c r="U45" s="9">
        <f>SUMIFS('Shift4'!$B$11:$B$116,'Shift4'!$A$11:$A$116,"&gt;="&amp;$AN45,'Shift4'!$A$11:$A$116,"&lt;="&amp;$AO45)</f>
        <v/>
      </c>
      <c r="V45" s="9">
        <f>SUMIFS('Shift4'!$C$11:$C$116,'Shift4'!$A$11:$A$116,"&gt;="&amp;$AN45,'Shift4'!$A$11:$A$116,"&lt;="&amp;$AO45)</f>
        <v/>
      </c>
      <c r="W45" s="9">
        <f>U45-V45</f>
        <v/>
      </c>
      <c r="X45" s="9">
        <f>SUMIFS('Shift4'!$E$11:$E$116,'Shift4'!$G$11:$G$116,"&gt;="&amp;$AN45,'Shift4'!$G$11:$G$116,"&lt;="&amp;$AO45)</f>
        <v/>
      </c>
      <c r="Y45" s="9">
        <f>SUMIFS('Shift4'!$E$11:$E$116,'Shift4'!$A$11:$A$116,"&lt;="&amp;$AO45,'Shift4'!$G$11:$G$116,"&gt;"&amp;$AO45)</f>
        <v/>
      </c>
      <c r="Z45" s="9">
        <f>SUMIFS('Paysafe'!$B$11:$B$44,'Paysafe'!$A$11:$A$44,"&gt;="&amp;$AN45,'Paysafe'!$A$11:$A$44,"&lt;="&amp;$AO45)</f>
        <v/>
      </c>
      <c r="AA45" s="9">
        <f>SUMIFS('Paysafe'!$C$11:$C$44,'Paysafe'!$A$11:$A$44,"&gt;="&amp;$AN45,'Paysafe'!$A$11:$A$44,"&lt;="&amp;$AO45)</f>
        <v/>
      </c>
      <c r="AB45" s="9">
        <f>Z45-AA45</f>
        <v/>
      </c>
      <c r="AC45" s="9">
        <f>SUMIFS('Paysafe'!$E$11:$E$44,'Paysafe'!$G$11:$G$44,"&gt;="&amp;$AN45,'Paysafe'!$G$11:$G$44,"&lt;="&amp;$AO45)</f>
        <v/>
      </c>
      <c r="AD45" s="9">
        <f>SUMIFS('Paysafe'!$E$11:$E$44,'Paysafe'!$A$11:$A$44,"&lt;="&amp;$AO45,'Paysafe'!$G$11:$G$44,"&gt;"&amp;$AO45)</f>
        <v/>
      </c>
      <c r="AE45" s="10">
        <f>K45+P45+U45+Z45</f>
        <v/>
      </c>
      <c r="AF45" s="10">
        <f>L45+Q45+V45+AA45</f>
        <v/>
      </c>
      <c r="AG45" s="10">
        <f>M45+R45+W45+AB45</f>
        <v/>
      </c>
      <c r="AH45" s="10">
        <f>N45+S45+X45+AC45</f>
        <v/>
      </c>
      <c r="AI45" s="10">
        <f>O45+T45+Y45+AD45</f>
        <v/>
      </c>
      <c r="AN45" s="8" t="n">
        <v>46188</v>
      </c>
      <c r="AO45" s="8" t="n">
        <v>46194</v>
      </c>
    </row>
    <row r="46">
      <c r="A46" s="8" t="n">
        <v>45966</v>
      </c>
      <c r="B46" s="9">
        <f>SUMIFS('Adyen'!$E$11:$E$207,'Adyen'!$G$11:$G$207,$A46)</f>
        <v/>
      </c>
      <c r="C46" s="9">
        <f>SUMIFS('Nuvei'!$E$11:$E$296,'Nuvei'!$G$11:$G$296,$A46)</f>
        <v/>
      </c>
      <c r="D46" s="9">
        <f>SUMIFS('Shift4'!$E$11:$E$116,'Shift4'!$G$11:$G$116,$A46)</f>
        <v/>
      </c>
      <c r="E46" s="9">
        <f>SUMIFS('Paysafe'!$E$11:$E$44,'Paysafe'!$G$11:$G$44,$A46)</f>
        <v/>
      </c>
      <c r="F46" s="10">
        <f>SUM(B46:E46)</f>
        <v/>
      </c>
      <c r="H46" t="n">
        <v>2026</v>
      </c>
      <c r="I46" t="inlineStr">
        <is>
          <t>W26</t>
        </is>
      </c>
      <c r="J46" t="inlineStr">
        <is>
          <t>22/06 - 28/06/2026</t>
        </is>
      </c>
      <c r="K46" s="9">
        <f>SUMIFS('Adyen'!$B$11:$B$207,'Adyen'!$A$11:$A$207,"&gt;="&amp;$AN46,'Adyen'!$A$11:$A$207,"&lt;="&amp;$AO46)</f>
        <v/>
      </c>
      <c r="L46" s="9">
        <f>SUMIFS('Adyen'!$C$11:$C$207,'Adyen'!$A$11:$A$207,"&gt;="&amp;$AN46,'Adyen'!$A$11:$A$207,"&lt;="&amp;$AO46)</f>
        <v/>
      </c>
      <c r="M46" s="9">
        <f>K46-L46</f>
        <v/>
      </c>
      <c r="N46" s="9">
        <f>SUMIFS('Adyen'!$E$11:$E$207,'Adyen'!$G$11:$G$207,"&gt;="&amp;$AN46,'Adyen'!$G$11:$G$207,"&lt;="&amp;$AO46)</f>
        <v/>
      </c>
      <c r="O46" s="9">
        <f>SUMIFS('Adyen'!$E$11:$E$207,'Adyen'!$A$11:$A$207,"&lt;="&amp;$AO46,'Adyen'!$G$11:$G$207,"&gt;"&amp;$AO46)</f>
        <v/>
      </c>
      <c r="P46" s="9">
        <f>SUMIFS('Nuvei'!$B$11:$B$296,'Nuvei'!$A$11:$A$296,"&gt;="&amp;$AN46,'Nuvei'!$A$11:$A$296,"&lt;="&amp;$AO46)</f>
        <v/>
      </c>
      <c r="Q46" s="9">
        <f>SUMIFS('Nuvei'!$C$11:$C$296,'Nuvei'!$A$11:$A$296,"&gt;="&amp;$AN46,'Nuvei'!$A$11:$A$296,"&lt;="&amp;$AO46)</f>
        <v/>
      </c>
      <c r="R46" s="9">
        <f>P46-Q46</f>
        <v/>
      </c>
      <c r="S46" s="9">
        <f>SUMIFS('Nuvei'!$E$11:$E$296,'Nuvei'!$G$11:$G$296,"&gt;="&amp;$AN46,'Nuvei'!$G$11:$G$296,"&lt;="&amp;$AO46)</f>
        <v/>
      </c>
      <c r="T46" s="9">
        <f>SUMIFS('Nuvei'!$E$11:$E$296,'Nuvei'!$A$11:$A$296,"&lt;="&amp;$AO46,'Nuvei'!$G$11:$G$296,"&gt;"&amp;$AO46)</f>
        <v/>
      </c>
      <c r="U46" s="9">
        <f>SUMIFS('Shift4'!$B$11:$B$116,'Shift4'!$A$11:$A$116,"&gt;="&amp;$AN46,'Shift4'!$A$11:$A$116,"&lt;="&amp;$AO46)</f>
        <v/>
      </c>
      <c r="V46" s="9">
        <f>SUMIFS('Shift4'!$C$11:$C$116,'Shift4'!$A$11:$A$116,"&gt;="&amp;$AN46,'Shift4'!$A$11:$A$116,"&lt;="&amp;$AO46)</f>
        <v/>
      </c>
      <c r="W46" s="9">
        <f>U46-V46</f>
        <v/>
      </c>
      <c r="X46" s="9">
        <f>SUMIFS('Shift4'!$E$11:$E$116,'Shift4'!$G$11:$G$116,"&gt;="&amp;$AN46,'Shift4'!$G$11:$G$116,"&lt;="&amp;$AO46)</f>
        <v/>
      </c>
      <c r="Y46" s="9">
        <f>SUMIFS('Shift4'!$E$11:$E$116,'Shift4'!$A$11:$A$116,"&lt;="&amp;$AO46,'Shift4'!$G$11:$G$116,"&gt;"&amp;$AO46)</f>
        <v/>
      </c>
      <c r="Z46" s="9">
        <f>SUMIFS('Paysafe'!$B$11:$B$44,'Paysafe'!$A$11:$A$44,"&gt;="&amp;$AN46,'Paysafe'!$A$11:$A$44,"&lt;="&amp;$AO46)</f>
        <v/>
      </c>
      <c r="AA46" s="9">
        <f>SUMIFS('Paysafe'!$C$11:$C$44,'Paysafe'!$A$11:$A$44,"&gt;="&amp;$AN46,'Paysafe'!$A$11:$A$44,"&lt;="&amp;$AO46)</f>
        <v/>
      </c>
      <c r="AB46" s="9">
        <f>Z46-AA46</f>
        <v/>
      </c>
      <c r="AC46" s="9">
        <f>SUMIFS('Paysafe'!$E$11:$E$44,'Paysafe'!$G$11:$G$44,"&gt;="&amp;$AN46,'Paysafe'!$G$11:$G$44,"&lt;="&amp;$AO46)</f>
        <v/>
      </c>
      <c r="AD46" s="9">
        <f>SUMIFS('Paysafe'!$E$11:$E$44,'Paysafe'!$A$11:$A$44,"&lt;="&amp;$AO46,'Paysafe'!$G$11:$G$44,"&gt;"&amp;$AO46)</f>
        <v/>
      </c>
      <c r="AE46" s="10">
        <f>K46+P46+U46+Z46</f>
        <v/>
      </c>
      <c r="AF46" s="10">
        <f>L46+Q46+V46+AA46</f>
        <v/>
      </c>
      <c r="AG46" s="10">
        <f>M46+R46+W46+AB46</f>
        <v/>
      </c>
      <c r="AH46" s="10">
        <f>N46+S46+X46+AC46</f>
        <v/>
      </c>
      <c r="AI46" s="10">
        <f>O46+T46+Y46+AD46</f>
        <v/>
      </c>
      <c r="AN46" s="8" t="n">
        <v>46195</v>
      </c>
      <c r="AO46" s="8" t="n">
        <v>46201</v>
      </c>
    </row>
    <row r="47">
      <c r="A47" s="8" t="n">
        <v>45967</v>
      </c>
      <c r="B47" s="9">
        <f>SUMIFS('Adyen'!$E$11:$E$207,'Adyen'!$G$11:$G$207,$A47)</f>
        <v/>
      </c>
      <c r="C47" s="9">
        <f>SUMIFS('Nuvei'!$E$11:$E$296,'Nuvei'!$G$11:$G$296,$A47)</f>
        <v/>
      </c>
      <c r="D47" s="9">
        <f>SUMIFS('Shift4'!$E$11:$E$116,'Shift4'!$G$11:$G$116,$A47)</f>
        <v/>
      </c>
      <c r="E47" s="9">
        <f>SUMIFS('Paysafe'!$E$11:$E$44,'Paysafe'!$G$11:$G$44,$A47)</f>
        <v/>
      </c>
      <c r="F47" s="10">
        <f>SUM(B47:E47)</f>
        <v/>
      </c>
      <c r="H47" t="n">
        <v>2026</v>
      </c>
      <c r="I47" t="inlineStr">
        <is>
          <t>W27</t>
        </is>
      </c>
      <c r="J47" t="inlineStr">
        <is>
          <t>29/06 - 05/07/2026</t>
        </is>
      </c>
      <c r="K47" s="9">
        <f>SUMIFS('Adyen'!$B$11:$B$207,'Adyen'!$A$11:$A$207,"&gt;="&amp;$AN47,'Adyen'!$A$11:$A$207,"&lt;="&amp;$AO47)</f>
        <v/>
      </c>
      <c r="L47" s="9">
        <f>SUMIFS('Adyen'!$C$11:$C$207,'Adyen'!$A$11:$A$207,"&gt;="&amp;$AN47,'Adyen'!$A$11:$A$207,"&lt;="&amp;$AO47)</f>
        <v/>
      </c>
      <c r="M47" s="9">
        <f>K47-L47</f>
        <v/>
      </c>
      <c r="N47" s="9">
        <f>SUMIFS('Adyen'!$E$11:$E$207,'Adyen'!$G$11:$G$207,"&gt;="&amp;$AN47,'Adyen'!$G$11:$G$207,"&lt;="&amp;$AO47)</f>
        <v/>
      </c>
      <c r="O47" s="9">
        <f>SUMIFS('Adyen'!$E$11:$E$207,'Adyen'!$A$11:$A$207,"&lt;="&amp;$AO47,'Adyen'!$G$11:$G$207,"&gt;"&amp;$AO47)</f>
        <v/>
      </c>
      <c r="P47" s="9">
        <f>SUMIFS('Nuvei'!$B$11:$B$296,'Nuvei'!$A$11:$A$296,"&gt;="&amp;$AN47,'Nuvei'!$A$11:$A$296,"&lt;="&amp;$AO47)</f>
        <v/>
      </c>
      <c r="Q47" s="9">
        <f>SUMIFS('Nuvei'!$C$11:$C$296,'Nuvei'!$A$11:$A$296,"&gt;="&amp;$AN47,'Nuvei'!$A$11:$A$296,"&lt;="&amp;$AO47)</f>
        <v/>
      </c>
      <c r="R47" s="9">
        <f>P47-Q47</f>
        <v/>
      </c>
      <c r="S47" s="9">
        <f>SUMIFS('Nuvei'!$E$11:$E$296,'Nuvei'!$G$11:$G$296,"&gt;="&amp;$AN47,'Nuvei'!$G$11:$G$296,"&lt;="&amp;$AO47)</f>
        <v/>
      </c>
      <c r="T47" s="9">
        <f>SUMIFS('Nuvei'!$E$11:$E$296,'Nuvei'!$A$11:$A$296,"&lt;="&amp;$AO47,'Nuvei'!$G$11:$G$296,"&gt;"&amp;$AO47)</f>
        <v/>
      </c>
      <c r="U47" s="9">
        <f>SUMIFS('Shift4'!$B$11:$B$116,'Shift4'!$A$11:$A$116,"&gt;="&amp;$AN47,'Shift4'!$A$11:$A$116,"&lt;="&amp;$AO47)</f>
        <v/>
      </c>
      <c r="V47" s="9">
        <f>SUMIFS('Shift4'!$C$11:$C$116,'Shift4'!$A$11:$A$116,"&gt;="&amp;$AN47,'Shift4'!$A$11:$A$116,"&lt;="&amp;$AO47)</f>
        <v/>
      </c>
      <c r="W47" s="9">
        <f>U47-V47</f>
        <v/>
      </c>
      <c r="X47" s="9">
        <f>SUMIFS('Shift4'!$E$11:$E$116,'Shift4'!$G$11:$G$116,"&gt;="&amp;$AN47,'Shift4'!$G$11:$G$116,"&lt;="&amp;$AO47)</f>
        <v/>
      </c>
      <c r="Y47" s="9">
        <f>SUMIFS('Shift4'!$E$11:$E$116,'Shift4'!$A$11:$A$116,"&lt;="&amp;$AO47,'Shift4'!$G$11:$G$116,"&gt;"&amp;$AO47)</f>
        <v/>
      </c>
      <c r="Z47" s="9">
        <f>SUMIFS('Paysafe'!$B$11:$B$44,'Paysafe'!$A$11:$A$44,"&gt;="&amp;$AN47,'Paysafe'!$A$11:$A$44,"&lt;="&amp;$AO47)</f>
        <v/>
      </c>
      <c r="AA47" s="9">
        <f>SUMIFS('Paysafe'!$C$11:$C$44,'Paysafe'!$A$11:$A$44,"&gt;="&amp;$AN47,'Paysafe'!$A$11:$A$44,"&lt;="&amp;$AO47)</f>
        <v/>
      </c>
      <c r="AB47" s="9">
        <f>Z47-AA47</f>
        <v/>
      </c>
      <c r="AC47" s="9">
        <f>SUMIFS('Paysafe'!$E$11:$E$44,'Paysafe'!$G$11:$G$44,"&gt;="&amp;$AN47,'Paysafe'!$G$11:$G$44,"&lt;="&amp;$AO47)</f>
        <v/>
      </c>
      <c r="AD47" s="9">
        <f>SUMIFS('Paysafe'!$E$11:$E$44,'Paysafe'!$A$11:$A$44,"&lt;="&amp;$AO47,'Paysafe'!$G$11:$G$44,"&gt;"&amp;$AO47)</f>
        <v/>
      </c>
      <c r="AE47" s="10">
        <f>K47+P47+U47+Z47</f>
        <v/>
      </c>
      <c r="AF47" s="10">
        <f>L47+Q47+V47+AA47</f>
        <v/>
      </c>
      <c r="AG47" s="10">
        <f>M47+R47+W47+AB47</f>
        <v/>
      </c>
      <c r="AH47" s="10">
        <f>N47+S47+X47+AC47</f>
        <v/>
      </c>
      <c r="AI47" s="10">
        <f>O47+T47+Y47+AD47</f>
        <v/>
      </c>
      <c r="AN47" s="8" t="n">
        <v>46202</v>
      </c>
      <c r="AO47" s="8" t="n">
        <v>46208</v>
      </c>
    </row>
    <row r="48">
      <c r="A48" s="8" t="n">
        <v>45968</v>
      </c>
      <c r="B48" s="9">
        <f>SUMIFS('Adyen'!$E$11:$E$207,'Adyen'!$G$11:$G$207,$A48)</f>
        <v/>
      </c>
      <c r="C48" s="9">
        <f>SUMIFS('Nuvei'!$E$11:$E$296,'Nuvei'!$G$11:$G$296,$A48)</f>
        <v/>
      </c>
      <c r="D48" s="9">
        <f>SUMIFS('Shift4'!$E$11:$E$116,'Shift4'!$G$11:$G$116,$A48)</f>
        <v/>
      </c>
      <c r="E48" s="9">
        <f>SUMIFS('Paysafe'!$E$11:$E$44,'Paysafe'!$G$11:$G$44,$A48)</f>
        <v/>
      </c>
      <c r="F48" s="10">
        <f>SUM(B48:E48)</f>
        <v/>
      </c>
      <c r="H48" t="n">
        <v>2026</v>
      </c>
      <c r="I48" t="inlineStr">
        <is>
          <t>W28</t>
        </is>
      </c>
      <c r="J48" t="inlineStr">
        <is>
          <t>06/07 - 12/07/2026</t>
        </is>
      </c>
      <c r="K48" s="9">
        <f>SUMIFS('Adyen'!$B$11:$B$207,'Adyen'!$A$11:$A$207,"&gt;="&amp;$AN48,'Adyen'!$A$11:$A$207,"&lt;="&amp;$AO48)</f>
        <v/>
      </c>
      <c r="L48" s="9">
        <f>SUMIFS('Adyen'!$C$11:$C$207,'Adyen'!$A$11:$A$207,"&gt;="&amp;$AN48,'Adyen'!$A$11:$A$207,"&lt;="&amp;$AO48)</f>
        <v/>
      </c>
      <c r="M48" s="9">
        <f>K48-L48</f>
        <v/>
      </c>
      <c r="N48" s="9">
        <f>SUMIFS('Adyen'!$E$11:$E$207,'Adyen'!$G$11:$G$207,"&gt;="&amp;$AN48,'Adyen'!$G$11:$G$207,"&lt;="&amp;$AO48)</f>
        <v/>
      </c>
      <c r="O48" s="9">
        <f>SUMIFS('Adyen'!$E$11:$E$207,'Adyen'!$A$11:$A$207,"&lt;="&amp;$AO48,'Adyen'!$G$11:$G$207,"&gt;"&amp;$AO48)</f>
        <v/>
      </c>
      <c r="P48" s="9">
        <f>SUMIFS('Nuvei'!$B$11:$B$296,'Nuvei'!$A$11:$A$296,"&gt;="&amp;$AN48,'Nuvei'!$A$11:$A$296,"&lt;="&amp;$AO48)</f>
        <v/>
      </c>
      <c r="Q48" s="9">
        <f>SUMIFS('Nuvei'!$C$11:$C$296,'Nuvei'!$A$11:$A$296,"&gt;="&amp;$AN48,'Nuvei'!$A$11:$A$296,"&lt;="&amp;$AO48)</f>
        <v/>
      </c>
      <c r="R48" s="9">
        <f>P48-Q48</f>
        <v/>
      </c>
      <c r="S48" s="9">
        <f>SUMIFS('Nuvei'!$E$11:$E$296,'Nuvei'!$G$11:$G$296,"&gt;="&amp;$AN48,'Nuvei'!$G$11:$G$296,"&lt;="&amp;$AO48)</f>
        <v/>
      </c>
      <c r="T48" s="9">
        <f>SUMIFS('Nuvei'!$E$11:$E$296,'Nuvei'!$A$11:$A$296,"&lt;="&amp;$AO48,'Nuvei'!$G$11:$G$296,"&gt;"&amp;$AO48)</f>
        <v/>
      </c>
      <c r="U48" s="9">
        <f>SUMIFS('Shift4'!$B$11:$B$116,'Shift4'!$A$11:$A$116,"&gt;="&amp;$AN48,'Shift4'!$A$11:$A$116,"&lt;="&amp;$AO48)</f>
        <v/>
      </c>
      <c r="V48" s="9">
        <f>SUMIFS('Shift4'!$C$11:$C$116,'Shift4'!$A$11:$A$116,"&gt;="&amp;$AN48,'Shift4'!$A$11:$A$116,"&lt;="&amp;$AO48)</f>
        <v/>
      </c>
      <c r="W48" s="9">
        <f>U48-V48</f>
        <v/>
      </c>
      <c r="X48" s="9">
        <f>SUMIFS('Shift4'!$E$11:$E$116,'Shift4'!$G$11:$G$116,"&gt;="&amp;$AN48,'Shift4'!$G$11:$G$116,"&lt;="&amp;$AO48)</f>
        <v/>
      </c>
      <c r="Y48" s="9">
        <f>SUMIFS('Shift4'!$E$11:$E$116,'Shift4'!$A$11:$A$116,"&lt;="&amp;$AO48,'Shift4'!$G$11:$G$116,"&gt;"&amp;$AO48)</f>
        <v/>
      </c>
      <c r="Z48" s="9">
        <f>SUMIFS('Paysafe'!$B$11:$B$44,'Paysafe'!$A$11:$A$44,"&gt;="&amp;$AN48,'Paysafe'!$A$11:$A$44,"&lt;="&amp;$AO48)</f>
        <v/>
      </c>
      <c r="AA48" s="9">
        <f>SUMIFS('Paysafe'!$C$11:$C$44,'Paysafe'!$A$11:$A$44,"&gt;="&amp;$AN48,'Paysafe'!$A$11:$A$44,"&lt;="&amp;$AO48)</f>
        <v/>
      </c>
      <c r="AB48" s="9">
        <f>Z48-AA48</f>
        <v/>
      </c>
      <c r="AC48" s="9">
        <f>SUMIFS('Paysafe'!$E$11:$E$44,'Paysafe'!$G$11:$G$44,"&gt;="&amp;$AN48,'Paysafe'!$G$11:$G$44,"&lt;="&amp;$AO48)</f>
        <v/>
      </c>
      <c r="AD48" s="9">
        <f>SUMIFS('Paysafe'!$E$11:$E$44,'Paysafe'!$A$11:$A$44,"&lt;="&amp;$AO48,'Paysafe'!$G$11:$G$44,"&gt;"&amp;$AO48)</f>
        <v/>
      </c>
      <c r="AE48" s="10">
        <f>K48+P48+U48+Z48</f>
        <v/>
      </c>
      <c r="AF48" s="10">
        <f>L48+Q48+V48+AA48</f>
        <v/>
      </c>
      <c r="AG48" s="10">
        <f>M48+R48+W48+AB48</f>
        <v/>
      </c>
      <c r="AH48" s="10">
        <f>N48+S48+X48+AC48</f>
        <v/>
      </c>
      <c r="AI48" s="10">
        <f>O48+T48+Y48+AD48</f>
        <v/>
      </c>
      <c r="AN48" s="8" t="n">
        <v>46209</v>
      </c>
      <c r="AO48" s="8" t="n">
        <v>46215</v>
      </c>
    </row>
    <row r="49">
      <c r="A49" s="8" t="n">
        <v>45969</v>
      </c>
      <c r="B49" s="9">
        <f>SUMIFS('Adyen'!$E$11:$E$207,'Adyen'!$G$11:$G$207,$A49)</f>
        <v/>
      </c>
      <c r="C49" s="9">
        <f>SUMIFS('Nuvei'!$E$11:$E$296,'Nuvei'!$G$11:$G$296,$A49)</f>
        <v/>
      </c>
      <c r="D49" s="9">
        <f>SUMIFS('Shift4'!$E$11:$E$116,'Shift4'!$G$11:$G$116,$A49)</f>
        <v/>
      </c>
      <c r="E49" s="9">
        <f>SUMIFS('Paysafe'!$E$11:$E$44,'Paysafe'!$G$11:$G$44,$A49)</f>
        <v/>
      </c>
      <c r="F49" s="10">
        <f>SUM(B49:E49)</f>
        <v/>
      </c>
      <c r="H49" t="n">
        <v>2026</v>
      </c>
      <c r="I49" t="inlineStr">
        <is>
          <t>W29</t>
        </is>
      </c>
      <c r="J49" t="inlineStr">
        <is>
          <t>13/07 - 19/07/2026</t>
        </is>
      </c>
      <c r="K49" s="9">
        <f>SUMIFS('Adyen'!$B$11:$B$207,'Adyen'!$A$11:$A$207,"&gt;="&amp;$AN49,'Adyen'!$A$11:$A$207,"&lt;="&amp;$AO49)</f>
        <v/>
      </c>
      <c r="L49" s="9">
        <f>SUMIFS('Adyen'!$C$11:$C$207,'Adyen'!$A$11:$A$207,"&gt;="&amp;$AN49,'Adyen'!$A$11:$A$207,"&lt;="&amp;$AO49)</f>
        <v/>
      </c>
      <c r="M49" s="9">
        <f>K49-L49</f>
        <v/>
      </c>
      <c r="N49" s="9">
        <f>SUMIFS('Adyen'!$E$11:$E$207,'Adyen'!$G$11:$G$207,"&gt;="&amp;$AN49,'Adyen'!$G$11:$G$207,"&lt;="&amp;$AO49)</f>
        <v/>
      </c>
      <c r="O49" s="9">
        <f>SUMIFS('Adyen'!$E$11:$E$207,'Adyen'!$A$11:$A$207,"&lt;="&amp;$AO49,'Adyen'!$G$11:$G$207,"&gt;"&amp;$AO49)</f>
        <v/>
      </c>
      <c r="P49" s="9">
        <f>SUMIFS('Nuvei'!$B$11:$B$296,'Nuvei'!$A$11:$A$296,"&gt;="&amp;$AN49,'Nuvei'!$A$11:$A$296,"&lt;="&amp;$AO49)</f>
        <v/>
      </c>
      <c r="Q49" s="9">
        <f>SUMIFS('Nuvei'!$C$11:$C$296,'Nuvei'!$A$11:$A$296,"&gt;="&amp;$AN49,'Nuvei'!$A$11:$A$296,"&lt;="&amp;$AO49)</f>
        <v/>
      </c>
      <c r="R49" s="9">
        <f>P49-Q49</f>
        <v/>
      </c>
      <c r="S49" s="9">
        <f>SUMIFS('Nuvei'!$E$11:$E$296,'Nuvei'!$G$11:$G$296,"&gt;="&amp;$AN49,'Nuvei'!$G$11:$G$296,"&lt;="&amp;$AO49)</f>
        <v/>
      </c>
      <c r="T49" s="9">
        <f>SUMIFS('Nuvei'!$E$11:$E$296,'Nuvei'!$A$11:$A$296,"&lt;="&amp;$AO49,'Nuvei'!$G$11:$G$296,"&gt;"&amp;$AO49)</f>
        <v/>
      </c>
      <c r="U49" s="9">
        <f>SUMIFS('Shift4'!$B$11:$B$116,'Shift4'!$A$11:$A$116,"&gt;="&amp;$AN49,'Shift4'!$A$11:$A$116,"&lt;="&amp;$AO49)</f>
        <v/>
      </c>
      <c r="V49" s="9">
        <f>SUMIFS('Shift4'!$C$11:$C$116,'Shift4'!$A$11:$A$116,"&gt;="&amp;$AN49,'Shift4'!$A$11:$A$116,"&lt;="&amp;$AO49)</f>
        <v/>
      </c>
      <c r="W49" s="9">
        <f>U49-V49</f>
        <v/>
      </c>
      <c r="X49" s="9">
        <f>SUMIFS('Shift4'!$E$11:$E$116,'Shift4'!$G$11:$G$116,"&gt;="&amp;$AN49,'Shift4'!$G$11:$G$116,"&lt;="&amp;$AO49)</f>
        <v/>
      </c>
      <c r="Y49" s="9">
        <f>SUMIFS('Shift4'!$E$11:$E$116,'Shift4'!$A$11:$A$116,"&lt;="&amp;$AO49,'Shift4'!$G$11:$G$116,"&gt;"&amp;$AO49)</f>
        <v/>
      </c>
      <c r="Z49" s="9">
        <f>SUMIFS('Paysafe'!$B$11:$B$44,'Paysafe'!$A$11:$A$44,"&gt;="&amp;$AN49,'Paysafe'!$A$11:$A$44,"&lt;="&amp;$AO49)</f>
        <v/>
      </c>
      <c r="AA49" s="9">
        <f>SUMIFS('Paysafe'!$C$11:$C$44,'Paysafe'!$A$11:$A$44,"&gt;="&amp;$AN49,'Paysafe'!$A$11:$A$44,"&lt;="&amp;$AO49)</f>
        <v/>
      </c>
      <c r="AB49" s="9">
        <f>Z49-AA49</f>
        <v/>
      </c>
      <c r="AC49" s="9">
        <f>SUMIFS('Paysafe'!$E$11:$E$44,'Paysafe'!$G$11:$G$44,"&gt;="&amp;$AN49,'Paysafe'!$G$11:$G$44,"&lt;="&amp;$AO49)</f>
        <v/>
      </c>
      <c r="AD49" s="9">
        <f>SUMIFS('Paysafe'!$E$11:$E$44,'Paysafe'!$A$11:$A$44,"&lt;="&amp;$AO49,'Paysafe'!$G$11:$G$44,"&gt;"&amp;$AO49)</f>
        <v/>
      </c>
      <c r="AE49" s="10">
        <f>K49+P49+U49+Z49</f>
        <v/>
      </c>
      <c r="AF49" s="10">
        <f>L49+Q49+V49+AA49</f>
        <v/>
      </c>
      <c r="AG49" s="10">
        <f>M49+R49+W49+AB49</f>
        <v/>
      </c>
      <c r="AH49" s="10">
        <f>N49+S49+X49+AC49</f>
        <v/>
      </c>
      <c r="AI49" s="10">
        <f>O49+T49+Y49+AD49</f>
        <v/>
      </c>
      <c r="AN49" s="8" t="n">
        <v>46216</v>
      </c>
      <c r="AO49" s="8" t="n">
        <v>46222</v>
      </c>
    </row>
    <row r="50">
      <c r="A50" s="8" t="n">
        <v>45970</v>
      </c>
      <c r="B50" s="9">
        <f>SUMIFS('Adyen'!$E$11:$E$207,'Adyen'!$G$11:$G$207,$A50)</f>
        <v/>
      </c>
      <c r="C50" s="9">
        <f>SUMIFS('Nuvei'!$E$11:$E$296,'Nuvei'!$G$11:$G$296,$A50)</f>
        <v/>
      </c>
      <c r="D50" s="9">
        <f>SUMIFS('Shift4'!$E$11:$E$116,'Shift4'!$G$11:$G$116,$A50)</f>
        <v/>
      </c>
      <c r="E50" s="9">
        <f>SUMIFS('Paysafe'!$E$11:$E$44,'Paysafe'!$G$11:$G$44,$A50)</f>
        <v/>
      </c>
      <c r="F50" s="10">
        <f>SUM(B50:E50)</f>
        <v/>
      </c>
      <c r="H50" t="n">
        <v>2026</v>
      </c>
      <c r="I50" t="inlineStr">
        <is>
          <t>W30</t>
        </is>
      </c>
      <c r="J50" t="inlineStr">
        <is>
          <t>20/07 - 26/07/2026</t>
        </is>
      </c>
      <c r="K50" s="9">
        <f>SUMIFS('Adyen'!$B$11:$B$207,'Adyen'!$A$11:$A$207,"&gt;="&amp;$AN50,'Adyen'!$A$11:$A$207,"&lt;="&amp;$AO50)</f>
        <v/>
      </c>
      <c r="L50" s="9">
        <f>SUMIFS('Adyen'!$C$11:$C$207,'Adyen'!$A$11:$A$207,"&gt;="&amp;$AN50,'Adyen'!$A$11:$A$207,"&lt;="&amp;$AO50)</f>
        <v/>
      </c>
      <c r="M50" s="9">
        <f>K50-L50</f>
        <v/>
      </c>
      <c r="N50" s="9">
        <f>SUMIFS('Adyen'!$E$11:$E$207,'Adyen'!$G$11:$G$207,"&gt;="&amp;$AN50,'Adyen'!$G$11:$G$207,"&lt;="&amp;$AO50)</f>
        <v/>
      </c>
      <c r="O50" s="9">
        <f>SUMIFS('Adyen'!$E$11:$E$207,'Adyen'!$A$11:$A$207,"&lt;="&amp;$AO50,'Adyen'!$G$11:$G$207,"&gt;"&amp;$AO50)</f>
        <v/>
      </c>
      <c r="P50" s="9">
        <f>SUMIFS('Nuvei'!$B$11:$B$296,'Nuvei'!$A$11:$A$296,"&gt;="&amp;$AN50,'Nuvei'!$A$11:$A$296,"&lt;="&amp;$AO50)</f>
        <v/>
      </c>
      <c r="Q50" s="9">
        <f>SUMIFS('Nuvei'!$C$11:$C$296,'Nuvei'!$A$11:$A$296,"&gt;="&amp;$AN50,'Nuvei'!$A$11:$A$296,"&lt;="&amp;$AO50)</f>
        <v/>
      </c>
      <c r="R50" s="9">
        <f>P50-Q50</f>
        <v/>
      </c>
      <c r="S50" s="9">
        <f>SUMIFS('Nuvei'!$E$11:$E$296,'Nuvei'!$G$11:$G$296,"&gt;="&amp;$AN50,'Nuvei'!$G$11:$G$296,"&lt;="&amp;$AO50)</f>
        <v/>
      </c>
      <c r="T50" s="9">
        <f>SUMIFS('Nuvei'!$E$11:$E$296,'Nuvei'!$A$11:$A$296,"&lt;="&amp;$AO50,'Nuvei'!$G$11:$G$296,"&gt;"&amp;$AO50)</f>
        <v/>
      </c>
      <c r="U50" s="9">
        <f>SUMIFS('Shift4'!$B$11:$B$116,'Shift4'!$A$11:$A$116,"&gt;="&amp;$AN50,'Shift4'!$A$11:$A$116,"&lt;="&amp;$AO50)</f>
        <v/>
      </c>
      <c r="V50" s="9">
        <f>SUMIFS('Shift4'!$C$11:$C$116,'Shift4'!$A$11:$A$116,"&gt;="&amp;$AN50,'Shift4'!$A$11:$A$116,"&lt;="&amp;$AO50)</f>
        <v/>
      </c>
      <c r="W50" s="9">
        <f>U50-V50</f>
        <v/>
      </c>
      <c r="X50" s="9">
        <f>SUMIFS('Shift4'!$E$11:$E$116,'Shift4'!$G$11:$G$116,"&gt;="&amp;$AN50,'Shift4'!$G$11:$G$116,"&lt;="&amp;$AO50)</f>
        <v/>
      </c>
      <c r="Y50" s="9">
        <f>SUMIFS('Shift4'!$E$11:$E$116,'Shift4'!$A$11:$A$116,"&lt;="&amp;$AO50,'Shift4'!$G$11:$G$116,"&gt;"&amp;$AO50)</f>
        <v/>
      </c>
      <c r="Z50" s="9">
        <f>SUMIFS('Paysafe'!$B$11:$B$44,'Paysafe'!$A$11:$A$44,"&gt;="&amp;$AN50,'Paysafe'!$A$11:$A$44,"&lt;="&amp;$AO50)</f>
        <v/>
      </c>
      <c r="AA50" s="9">
        <f>SUMIFS('Paysafe'!$C$11:$C$44,'Paysafe'!$A$11:$A$44,"&gt;="&amp;$AN50,'Paysafe'!$A$11:$A$44,"&lt;="&amp;$AO50)</f>
        <v/>
      </c>
      <c r="AB50" s="9">
        <f>Z50-AA50</f>
        <v/>
      </c>
      <c r="AC50" s="9">
        <f>SUMIFS('Paysafe'!$E$11:$E$44,'Paysafe'!$G$11:$G$44,"&gt;="&amp;$AN50,'Paysafe'!$G$11:$G$44,"&lt;="&amp;$AO50)</f>
        <v/>
      </c>
      <c r="AD50" s="9">
        <f>SUMIFS('Paysafe'!$E$11:$E$44,'Paysafe'!$A$11:$A$44,"&lt;="&amp;$AO50,'Paysafe'!$G$11:$G$44,"&gt;"&amp;$AO50)</f>
        <v/>
      </c>
      <c r="AE50" s="10">
        <f>K50+P50+U50+Z50</f>
        <v/>
      </c>
      <c r="AF50" s="10">
        <f>L50+Q50+V50+AA50</f>
        <v/>
      </c>
      <c r="AG50" s="10">
        <f>M50+R50+W50+AB50</f>
        <v/>
      </c>
      <c r="AH50" s="10">
        <f>N50+S50+X50+AC50</f>
        <v/>
      </c>
      <c r="AI50" s="10">
        <f>O50+T50+Y50+AD50</f>
        <v/>
      </c>
      <c r="AN50" s="8" t="n">
        <v>46223</v>
      </c>
      <c r="AO50" s="8" t="n">
        <v>46229</v>
      </c>
    </row>
    <row r="51">
      <c r="A51" s="8" t="n">
        <v>45971</v>
      </c>
      <c r="B51" s="9">
        <f>SUMIFS('Adyen'!$E$11:$E$207,'Adyen'!$G$11:$G$207,$A51)</f>
        <v/>
      </c>
      <c r="C51" s="9">
        <f>SUMIFS('Nuvei'!$E$11:$E$296,'Nuvei'!$G$11:$G$296,$A51)</f>
        <v/>
      </c>
      <c r="D51" s="9">
        <f>SUMIFS('Shift4'!$E$11:$E$116,'Shift4'!$G$11:$G$116,$A51)</f>
        <v/>
      </c>
      <c r="E51" s="9">
        <f>SUMIFS('Paysafe'!$E$11:$E$44,'Paysafe'!$G$11:$G$44,$A51)</f>
        <v/>
      </c>
      <c r="F51" s="10">
        <f>SUM(B51:E51)</f>
        <v/>
      </c>
      <c r="H51" t="n">
        <v>2026</v>
      </c>
      <c r="I51" t="inlineStr">
        <is>
          <t>W31</t>
        </is>
      </c>
      <c r="J51" t="inlineStr">
        <is>
          <t>27/07 - 02/08/2026</t>
        </is>
      </c>
      <c r="K51" s="9">
        <f>SUMIFS('Adyen'!$B$11:$B$207,'Adyen'!$A$11:$A$207,"&gt;="&amp;$AN51,'Adyen'!$A$11:$A$207,"&lt;="&amp;$AO51)</f>
        <v/>
      </c>
      <c r="L51" s="9">
        <f>SUMIFS('Adyen'!$C$11:$C$207,'Adyen'!$A$11:$A$207,"&gt;="&amp;$AN51,'Adyen'!$A$11:$A$207,"&lt;="&amp;$AO51)</f>
        <v/>
      </c>
      <c r="M51" s="9">
        <f>K51-L51</f>
        <v/>
      </c>
      <c r="N51" s="9">
        <f>SUMIFS('Adyen'!$E$11:$E$207,'Adyen'!$G$11:$G$207,"&gt;="&amp;$AN51,'Adyen'!$G$11:$G$207,"&lt;="&amp;$AO51)</f>
        <v/>
      </c>
      <c r="O51" s="9">
        <f>SUMIFS('Adyen'!$E$11:$E$207,'Adyen'!$A$11:$A$207,"&lt;="&amp;$AO51,'Adyen'!$G$11:$G$207,"&gt;"&amp;$AO51)</f>
        <v/>
      </c>
      <c r="P51" s="9">
        <f>SUMIFS('Nuvei'!$B$11:$B$296,'Nuvei'!$A$11:$A$296,"&gt;="&amp;$AN51,'Nuvei'!$A$11:$A$296,"&lt;="&amp;$AO51)</f>
        <v/>
      </c>
      <c r="Q51" s="9">
        <f>SUMIFS('Nuvei'!$C$11:$C$296,'Nuvei'!$A$11:$A$296,"&gt;="&amp;$AN51,'Nuvei'!$A$11:$A$296,"&lt;="&amp;$AO51)</f>
        <v/>
      </c>
      <c r="R51" s="9">
        <f>P51-Q51</f>
        <v/>
      </c>
      <c r="S51" s="9">
        <f>SUMIFS('Nuvei'!$E$11:$E$296,'Nuvei'!$G$11:$G$296,"&gt;="&amp;$AN51,'Nuvei'!$G$11:$G$296,"&lt;="&amp;$AO51)</f>
        <v/>
      </c>
      <c r="T51" s="9">
        <f>SUMIFS('Nuvei'!$E$11:$E$296,'Nuvei'!$A$11:$A$296,"&lt;="&amp;$AO51,'Nuvei'!$G$11:$G$296,"&gt;"&amp;$AO51)</f>
        <v/>
      </c>
      <c r="U51" s="9">
        <f>SUMIFS('Shift4'!$B$11:$B$116,'Shift4'!$A$11:$A$116,"&gt;="&amp;$AN51,'Shift4'!$A$11:$A$116,"&lt;="&amp;$AO51)</f>
        <v/>
      </c>
      <c r="V51" s="9">
        <f>SUMIFS('Shift4'!$C$11:$C$116,'Shift4'!$A$11:$A$116,"&gt;="&amp;$AN51,'Shift4'!$A$11:$A$116,"&lt;="&amp;$AO51)</f>
        <v/>
      </c>
      <c r="W51" s="9">
        <f>U51-V51</f>
        <v/>
      </c>
      <c r="X51" s="9">
        <f>SUMIFS('Shift4'!$E$11:$E$116,'Shift4'!$G$11:$G$116,"&gt;="&amp;$AN51,'Shift4'!$G$11:$G$116,"&lt;="&amp;$AO51)</f>
        <v/>
      </c>
      <c r="Y51" s="9">
        <f>SUMIFS('Shift4'!$E$11:$E$116,'Shift4'!$A$11:$A$116,"&lt;="&amp;$AO51,'Shift4'!$G$11:$G$116,"&gt;"&amp;$AO51)</f>
        <v/>
      </c>
      <c r="Z51" s="9">
        <f>SUMIFS('Paysafe'!$B$11:$B$44,'Paysafe'!$A$11:$A$44,"&gt;="&amp;$AN51,'Paysafe'!$A$11:$A$44,"&lt;="&amp;$AO51)</f>
        <v/>
      </c>
      <c r="AA51" s="9">
        <f>SUMIFS('Paysafe'!$C$11:$C$44,'Paysafe'!$A$11:$A$44,"&gt;="&amp;$AN51,'Paysafe'!$A$11:$A$44,"&lt;="&amp;$AO51)</f>
        <v/>
      </c>
      <c r="AB51" s="9">
        <f>Z51-AA51</f>
        <v/>
      </c>
      <c r="AC51" s="9">
        <f>SUMIFS('Paysafe'!$E$11:$E$44,'Paysafe'!$G$11:$G$44,"&gt;="&amp;$AN51,'Paysafe'!$G$11:$G$44,"&lt;="&amp;$AO51)</f>
        <v/>
      </c>
      <c r="AD51" s="9">
        <f>SUMIFS('Paysafe'!$E$11:$E$44,'Paysafe'!$A$11:$A$44,"&lt;="&amp;$AO51,'Paysafe'!$G$11:$G$44,"&gt;"&amp;$AO51)</f>
        <v/>
      </c>
      <c r="AE51" s="10">
        <f>K51+P51+U51+Z51</f>
        <v/>
      </c>
      <c r="AF51" s="10">
        <f>L51+Q51+V51+AA51</f>
        <v/>
      </c>
      <c r="AG51" s="10">
        <f>M51+R51+W51+AB51</f>
        <v/>
      </c>
      <c r="AH51" s="10">
        <f>N51+S51+X51+AC51</f>
        <v/>
      </c>
      <c r="AI51" s="10">
        <f>O51+T51+Y51+AD51</f>
        <v/>
      </c>
      <c r="AN51" s="8" t="n">
        <v>46230</v>
      </c>
      <c r="AO51" s="8" t="n">
        <v>46236</v>
      </c>
    </row>
    <row r="52">
      <c r="A52" s="8" t="n">
        <v>45972</v>
      </c>
      <c r="B52" s="9">
        <f>SUMIFS('Adyen'!$E$11:$E$207,'Adyen'!$G$11:$G$207,$A52)</f>
        <v/>
      </c>
      <c r="C52" s="9">
        <f>SUMIFS('Nuvei'!$E$11:$E$296,'Nuvei'!$G$11:$G$296,$A52)</f>
        <v/>
      </c>
      <c r="D52" s="9">
        <f>SUMIFS('Shift4'!$E$11:$E$116,'Shift4'!$G$11:$G$116,$A52)</f>
        <v/>
      </c>
      <c r="E52" s="9">
        <f>SUMIFS('Paysafe'!$E$11:$E$44,'Paysafe'!$G$11:$G$44,$A52)</f>
        <v/>
      </c>
      <c r="F52" s="10">
        <f>SUM(B52:E52)</f>
        <v/>
      </c>
      <c r="H52" t="n">
        <v>2026</v>
      </c>
      <c r="I52" t="inlineStr">
        <is>
          <t>W32</t>
        </is>
      </c>
      <c r="J52" t="inlineStr">
        <is>
          <t>03/08 - 09/08/2026</t>
        </is>
      </c>
      <c r="K52" s="9">
        <f>SUMIFS('Adyen'!$B$11:$B$207,'Adyen'!$A$11:$A$207,"&gt;="&amp;$AN52,'Adyen'!$A$11:$A$207,"&lt;="&amp;$AO52)</f>
        <v/>
      </c>
      <c r="L52" s="9">
        <f>SUMIFS('Adyen'!$C$11:$C$207,'Adyen'!$A$11:$A$207,"&gt;="&amp;$AN52,'Adyen'!$A$11:$A$207,"&lt;="&amp;$AO52)</f>
        <v/>
      </c>
      <c r="M52" s="9">
        <f>K52-L52</f>
        <v/>
      </c>
      <c r="N52" s="9">
        <f>SUMIFS('Adyen'!$E$11:$E$207,'Adyen'!$G$11:$G$207,"&gt;="&amp;$AN52,'Adyen'!$G$11:$G$207,"&lt;="&amp;$AO52)</f>
        <v/>
      </c>
      <c r="O52" s="9">
        <f>SUMIFS('Adyen'!$E$11:$E$207,'Adyen'!$A$11:$A$207,"&lt;="&amp;$AO52,'Adyen'!$G$11:$G$207,"&gt;"&amp;$AO52)</f>
        <v/>
      </c>
      <c r="P52" s="9">
        <f>SUMIFS('Nuvei'!$B$11:$B$296,'Nuvei'!$A$11:$A$296,"&gt;="&amp;$AN52,'Nuvei'!$A$11:$A$296,"&lt;="&amp;$AO52)</f>
        <v/>
      </c>
      <c r="Q52" s="9">
        <f>SUMIFS('Nuvei'!$C$11:$C$296,'Nuvei'!$A$11:$A$296,"&gt;="&amp;$AN52,'Nuvei'!$A$11:$A$296,"&lt;="&amp;$AO52)</f>
        <v/>
      </c>
      <c r="R52" s="9">
        <f>P52-Q52</f>
        <v/>
      </c>
      <c r="S52" s="9">
        <f>SUMIFS('Nuvei'!$E$11:$E$296,'Nuvei'!$G$11:$G$296,"&gt;="&amp;$AN52,'Nuvei'!$G$11:$G$296,"&lt;="&amp;$AO52)</f>
        <v/>
      </c>
      <c r="T52" s="9">
        <f>SUMIFS('Nuvei'!$E$11:$E$296,'Nuvei'!$A$11:$A$296,"&lt;="&amp;$AO52,'Nuvei'!$G$11:$G$296,"&gt;"&amp;$AO52)</f>
        <v/>
      </c>
      <c r="U52" s="9">
        <f>SUMIFS('Shift4'!$B$11:$B$116,'Shift4'!$A$11:$A$116,"&gt;="&amp;$AN52,'Shift4'!$A$11:$A$116,"&lt;="&amp;$AO52)</f>
        <v/>
      </c>
      <c r="V52" s="9">
        <f>SUMIFS('Shift4'!$C$11:$C$116,'Shift4'!$A$11:$A$116,"&gt;="&amp;$AN52,'Shift4'!$A$11:$A$116,"&lt;="&amp;$AO52)</f>
        <v/>
      </c>
      <c r="W52" s="9">
        <f>U52-V52</f>
        <v/>
      </c>
      <c r="X52" s="9">
        <f>SUMIFS('Shift4'!$E$11:$E$116,'Shift4'!$G$11:$G$116,"&gt;="&amp;$AN52,'Shift4'!$G$11:$G$116,"&lt;="&amp;$AO52)</f>
        <v/>
      </c>
      <c r="Y52" s="9">
        <f>SUMIFS('Shift4'!$E$11:$E$116,'Shift4'!$A$11:$A$116,"&lt;="&amp;$AO52,'Shift4'!$G$11:$G$116,"&gt;"&amp;$AO52)</f>
        <v/>
      </c>
      <c r="Z52" s="9">
        <f>SUMIFS('Paysafe'!$B$11:$B$44,'Paysafe'!$A$11:$A$44,"&gt;="&amp;$AN52,'Paysafe'!$A$11:$A$44,"&lt;="&amp;$AO52)</f>
        <v/>
      </c>
      <c r="AA52" s="9">
        <f>SUMIFS('Paysafe'!$C$11:$C$44,'Paysafe'!$A$11:$A$44,"&gt;="&amp;$AN52,'Paysafe'!$A$11:$A$44,"&lt;="&amp;$AO52)</f>
        <v/>
      </c>
      <c r="AB52" s="9">
        <f>Z52-AA52</f>
        <v/>
      </c>
      <c r="AC52" s="9">
        <f>SUMIFS('Paysafe'!$E$11:$E$44,'Paysafe'!$G$11:$G$44,"&gt;="&amp;$AN52,'Paysafe'!$G$11:$G$44,"&lt;="&amp;$AO52)</f>
        <v/>
      </c>
      <c r="AD52" s="9">
        <f>SUMIFS('Paysafe'!$E$11:$E$44,'Paysafe'!$A$11:$A$44,"&lt;="&amp;$AO52,'Paysafe'!$G$11:$G$44,"&gt;"&amp;$AO52)</f>
        <v/>
      </c>
      <c r="AE52" s="10">
        <f>K52+P52+U52+Z52</f>
        <v/>
      </c>
      <c r="AF52" s="10">
        <f>L52+Q52+V52+AA52</f>
        <v/>
      </c>
      <c r="AG52" s="10">
        <f>M52+R52+W52+AB52</f>
        <v/>
      </c>
      <c r="AH52" s="10">
        <f>N52+S52+X52+AC52</f>
        <v/>
      </c>
      <c r="AI52" s="10">
        <f>O52+T52+Y52+AD52</f>
        <v/>
      </c>
      <c r="AN52" s="8" t="n">
        <v>46237</v>
      </c>
      <c r="AO52" s="8" t="n">
        <v>46243</v>
      </c>
    </row>
    <row r="53">
      <c r="A53" s="8" t="n">
        <v>45973</v>
      </c>
      <c r="B53" s="9">
        <f>SUMIFS('Adyen'!$E$11:$E$207,'Adyen'!$G$11:$G$207,$A53)</f>
        <v/>
      </c>
      <c r="C53" s="9">
        <f>SUMIFS('Nuvei'!$E$11:$E$296,'Nuvei'!$G$11:$G$296,$A53)</f>
        <v/>
      </c>
      <c r="D53" s="9">
        <f>SUMIFS('Shift4'!$E$11:$E$116,'Shift4'!$G$11:$G$116,$A53)</f>
        <v/>
      </c>
      <c r="E53" s="9">
        <f>SUMIFS('Paysafe'!$E$11:$E$44,'Paysafe'!$G$11:$G$44,$A53)</f>
        <v/>
      </c>
      <c r="F53" s="10">
        <f>SUM(B53:E53)</f>
        <v/>
      </c>
    </row>
    <row r="54">
      <c r="A54" s="8" t="n">
        <v>45974</v>
      </c>
      <c r="B54" s="9">
        <f>SUMIFS('Adyen'!$E$11:$E$207,'Adyen'!$G$11:$G$207,$A54)</f>
        <v/>
      </c>
      <c r="C54" s="9">
        <f>SUMIFS('Nuvei'!$E$11:$E$296,'Nuvei'!$G$11:$G$296,$A54)</f>
        <v/>
      </c>
      <c r="D54" s="9">
        <f>SUMIFS('Shift4'!$E$11:$E$116,'Shift4'!$G$11:$G$116,$A54)</f>
        <v/>
      </c>
      <c r="E54" s="9">
        <f>SUMIFS('Paysafe'!$E$11:$E$44,'Paysafe'!$G$11:$G$44,$A54)</f>
        <v/>
      </c>
      <c r="F54" s="10">
        <f>SUM(B54:E54)</f>
        <v/>
      </c>
      <c r="H54" s="12" t="inlineStr">
        <is>
          <t>→ Ventas = bruto vendido · Fees = comisiones · Venta Neta = Ventas−Fees · Collected = neto liquidado esa semana · Retenido = neto vendido hasta el domingo sin liquidar. (importes en €)</t>
        </is>
      </c>
    </row>
    <row r="55">
      <c r="A55" s="8" t="n">
        <v>45975</v>
      </c>
      <c r="B55" s="9">
        <f>SUMIFS('Adyen'!$E$11:$E$207,'Adyen'!$G$11:$G$207,$A55)</f>
        <v/>
      </c>
      <c r="C55" s="9">
        <f>SUMIFS('Nuvei'!$E$11:$E$296,'Nuvei'!$G$11:$G$296,$A55)</f>
        <v/>
      </c>
      <c r="D55" s="9">
        <f>SUMIFS('Shift4'!$E$11:$E$116,'Shift4'!$G$11:$G$116,$A55)</f>
        <v/>
      </c>
      <c r="E55" s="9">
        <f>SUMIFS('Paysafe'!$E$11:$E$44,'Paysafe'!$G$11:$G$44,$A55)</f>
        <v/>
      </c>
      <c r="F55" s="10">
        <f>SUM(B55:E55)</f>
        <v/>
      </c>
    </row>
    <row r="56">
      <c r="A56" s="8" t="n">
        <v>45976</v>
      </c>
      <c r="B56" s="9">
        <f>SUMIFS('Adyen'!$E$11:$E$207,'Adyen'!$G$11:$G$207,$A56)</f>
        <v/>
      </c>
      <c r="C56" s="9">
        <f>SUMIFS('Nuvei'!$E$11:$E$296,'Nuvei'!$G$11:$G$296,$A56)</f>
        <v/>
      </c>
      <c r="D56" s="9">
        <f>SUMIFS('Shift4'!$E$11:$E$116,'Shift4'!$G$11:$G$116,$A56)</f>
        <v/>
      </c>
      <c r="E56" s="9">
        <f>SUMIFS('Paysafe'!$E$11:$E$44,'Paysafe'!$G$11:$G$44,$A56)</f>
        <v/>
      </c>
      <c r="F56" s="10">
        <f>SUM(B56:E56)</f>
        <v/>
      </c>
    </row>
    <row r="57">
      <c r="A57" s="8" t="n">
        <v>45977</v>
      </c>
      <c r="B57" s="9">
        <f>SUMIFS('Adyen'!$E$11:$E$207,'Adyen'!$G$11:$G$207,$A57)</f>
        <v/>
      </c>
      <c r="C57" s="9">
        <f>SUMIFS('Nuvei'!$E$11:$E$296,'Nuvei'!$G$11:$G$296,$A57)</f>
        <v/>
      </c>
      <c r="D57" s="9">
        <f>SUMIFS('Shift4'!$E$11:$E$116,'Shift4'!$G$11:$G$116,$A57)</f>
        <v/>
      </c>
      <c r="E57" s="9">
        <f>SUMIFS('Paysafe'!$E$11:$E$44,'Paysafe'!$G$11:$G$44,$A57)</f>
        <v/>
      </c>
      <c r="F57" s="10">
        <f>SUM(B57:E57)</f>
        <v/>
      </c>
    </row>
    <row r="58">
      <c r="A58" s="8" t="n">
        <v>45978</v>
      </c>
      <c r="B58" s="9">
        <f>SUMIFS('Adyen'!$E$11:$E$207,'Adyen'!$G$11:$G$207,$A58)</f>
        <v/>
      </c>
      <c r="C58" s="9">
        <f>SUMIFS('Nuvei'!$E$11:$E$296,'Nuvei'!$G$11:$G$296,$A58)</f>
        <v/>
      </c>
      <c r="D58" s="9">
        <f>SUMIFS('Shift4'!$E$11:$E$116,'Shift4'!$G$11:$G$116,$A58)</f>
        <v/>
      </c>
      <c r="E58" s="9">
        <f>SUMIFS('Paysafe'!$E$11:$E$44,'Paysafe'!$G$11:$G$44,$A58)</f>
        <v/>
      </c>
      <c r="F58" s="10">
        <f>SUM(B58:E58)</f>
        <v/>
      </c>
    </row>
    <row r="59">
      <c r="A59" s="8" t="n">
        <v>45979</v>
      </c>
      <c r="B59" s="9">
        <f>SUMIFS('Adyen'!$E$11:$E$207,'Adyen'!$G$11:$G$207,$A59)</f>
        <v/>
      </c>
      <c r="C59" s="9">
        <f>SUMIFS('Nuvei'!$E$11:$E$296,'Nuvei'!$G$11:$G$296,$A59)</f>
        <v/>
      </c>
      <c r="D59" s="9">
        <f>SUMIFS('Shift4'!$E$11:$E$116,'Shift4'!$G$11:$G$116,$A59)</f>
        <v/>
      </c>
      <c r="E59" s="9">
        <f>SUMIFS('Paysafe'!$E$11:$E$44,'Paysafe'!$G$11:$G$44,$A59)</f>
        <v/>
      </c>
      <c r="F59" s="10">
        <f>SUM(B59:E59)</f>
        <v/>
      </c>
    </row>
    <row r="60">
      <c r="A60" s="8" t="n">
        <v>45980</v>
      </c>
      <c r="B60" s="9">
        <f>SUMIFS('Adyen'!$E$11:$E$207,'Adyen'!$G$11:$G$207,$A60)</f>
        <v/>
      </c>
      <c r="C60" s="9">
        <f>SUMIFS('Nuvei'!$E$11:$E$296,'Nuvei'!$G$11:$G$296,$A60)</f>
        <v/>
      </c>
      <c r="D60" s="9">
        <f>SUMIFS('Shift4'!$E$11:$E$116,'Shift4'!$G$11:$G$116,$A60)</f>
        <v/>
      </c>
      <c r="E60" s="9">
        <f>SUMIFS('Paysafe'!$E$11:$E$44,'Paysafe'!$G$11:$G$44,$A60)</f>
        <v/>
      </c>
      <c r="F60" s="10">
        <f>SUM(B60:E60)</f>
        <v/>
      </c>
    </row>
    <row r="61">
      <c r="A61" s="8" t="n">
        <v>45981</v>
      </c>
      <c r="B61" s="9">
        <f>SUMIFS('Adyen'!$E$11:$E$207,'Adyen'!$G$11:$G$207,$A61)</f>
        <v/>
      </c>
      <c r="C61" s="9">
        <f>SUMIFS('Nuvei'!$E$11:$E$296,'Nuvei'!$G$11:$G$296,$A61)</f>
        <v/>
      </c>
      <c r="D61" s="9">
        <f>SUMIFS('Shift4'!$E$11:$E$116,'Shift4'!$G$11:$G$116,$A61)</f>
        <v/>
      </c>
      <c r="E61" s="9">
        <f>SUMIFS('Paysafe'!$E$11:$E$44,'Paysafe'!$G$11:$G$44,$A61)</f>
        <v/>
      </c>
      <c r="F61" s="10">
        <f>SUM(B61:E61)</f>
        <v/>
      </c>
    </row>
    <row r="62">
      <c r="A62" s="8" t="n">
        <v>45982</v>
      </c>
      <c r="B62" s="9">
        <f>SUMIFS('Adyen'!$E$11:$E$207,'Adyen'!$G$11:$G$207,$A62)</f>
        <v/>
      </c>
      <c r="C62" s="9">
        <f>SUMIFS('Nuvei'!$E$11:$E$296,'Nuvei'!$G$11:$G$296,$A62)</f>
        <v/>
      </c>
      <c r="D62" s="9">
        <f>SUMIFS('Shift4'!$E$11:$E$116,'Shift4'!$G$11:$G$116,$A62)</f>
        <v/>
      </c>
      <c r="E62" s="9">
        <f>SUMIFS('Paysafe'!$E$11:$E$44,'Paysafe'!$G$11:$G$44,$A62)</f>
        <v/>
      </c>
      <c r="F62" s="10">
        <f>SUM(B62:E62)</f>
        <v/>
      </c>
    </row>
    <row r="63">
      <c r="A63" s="8" t="n">
        <v>45983</v>
      </c>
      <c r="B63" s="9">
        <f>SUMIFS('Adyen'!$E$11:$E$207,'Adyen'!$G$11:$G$207,$A63)</f>
        <v/>
      </c>
      <c r="C63" s="9">
        <f>SUMIFS('Nuvei'!$E$11:$E$296,'Nuvei'!$G$11:$G$296,$A63)</f>
        <v/>
      </c>
      <c r="D63" s="9">
        <f>SUMIFS('Shift4'!$E$11:$E$116,'Shift4'!$G$11:$G$116,$A63)</f>
        <v/>
      </c>
      <c r="E63" s="9">
        <f>SUMIFS('Paysafe'!$E$11:$E$44,'Paysafe'!$G$11:$G$44,$A63)</f>
        <v/>
      </c>
      <c r="F63" s="10">
        <f>SUM(B63:E63)</f>
        <v/>
      </c>
    </row>
    <row r="64">
      <c r="A64" s="8" t="n">
        <v>45984</v>
      </c>
      <c r="B64" s="9">
        <f>SUMIFS('Adyen'!$E$11:$E$207,'Adyen'!$G$11:$G$207,$A64)</f>
        <v/>
      </c>
      <c r="C64" s="9">
        <f>SUMIFS('Nuvei'!$E$11:$E$296,'Nuvei'!$G$11:$G$296,$A64)</f>
        <v/>
      </c>
      <c r="D64" s="9">
        <f>SUMIFS('Shift4'!$E$11:$E$116,'Shift4'!$G$11:$G$116,$A64)</f>
        <v/>
      </c>
      <c r="E64" s="9">
        <f>SUMIFS('Paysafe'!$E$11:$E$44,'Paysafe'!$G$11:$G$44,$A64)</f>
        <v/>
      </c>
      <c r="F64" s="10">
        <f>SUM(B64:E64)</f>
        <v/>
      </c>
    </row>
    <row r="65">
      <c r="A65" s="8" t="n">
        <v>45985</v>
      </c>
      <c r="B65" s="9">
        <f>SUMIFS('Adyen'!$E$11:$E$207,'Adyen'!$G$11:$G$207,$A65)</f>
        <v/>
      </c>
      <c r="C65" s="9">
        <f>SUMIFS('Nuvei'!$E$11:$E$296,'Nuvei'!$G$11:$G$296,$A65)</f>
        <v/>
      </c>
      <c r="D65" s="9">
        <f>SUMIFS('Shift4'!$E$11:$E$116,'Shift4'!$G$11:$G$116,$A65)</f>
        <v/>
      </c>
      <c r="E65" s="9">
        <f>SUMIFS('Paysafe'!$E$11:$E$44,'Paysafe'!$G$11:$G$44,$A65)</f>
        <v/>
      </c>
      <c r="F65" s="10">
        <f>SUM(B65:E65)</f>
        <v/>
      </c>
    </row>
    <row r="66">
      <c r="A66" s="8" t="n">
        <v>45986</v>
      </c>
      <c r="B66" s="9">
        <f>SUMIFS('Adyen'!$E$11:$E$207,'Adyen'!$G$11:$G$207,$A66)</f>
        <v/>
      </c>
      <c r="C66" s="9">
        <f>SUMIFS('Nuvei'!$E$11:$E$296,'Nuvei'!$G$11:$G$296,$A66)</f>
        <v/>
      </c>
      <c r="D66" s="9">
        <f>SUMIFS('Shift4'!$E$11:$E$116,'Shift4'!$G$11:$G$116,$A66)</f>
        <v/>
      </c>
      <c r="E66" s="9">
        <f>SUMIFS('Paysafe'!$E$11:$E$44,'Paysafe'!$G$11:$G$44,$A66)</f>
        <v/>
      </c>
      <c r="F66" s="10">
        <f>SUM(B66:E66)</f>
        <v/>
      </c>
    </row>
    <row r="67">
      <c r="A67" s="8" t="n">
        <v>45987</v>
      </c>
      <c r="B67" s="9">
        <f>SUMIFS('Adyen'!$E$11:$E$207,'Adyen'!$G$11:$G$207,$A67)</f>
        <v/>
      </c>
      <c r="C67" s="9">
        <f>SUMIFS('Nuvei'!$E$11:$E$296,'Nuvei'!$G$11:$G$296,$A67)</f>
        <v/>
      </c>
      <c r="D67" s="9">
        <f>SUMIFS('Shift4'!$E$11:$E$116,'Shift4'!$G$11:$G$116,$A67)</f>
        <v/>
      </c>
      <c r="E67" s="9">
        <f>SUMIFS('Paysafe'!$E$11:$E$44,'Paysafe'!$G$11:$G$44,$A67)</f>
        <v/>
      </c>
      <c r="F67" s="10">
        <f>SUM(B67:E67)</f>
        <v/>
      </c>
    </row>
    <row r="68">
      <c r="A68" s="8" t="n">
        <v>45988</v>
      </c>
      <c r="B68" s="9">
        <f>SUMIFS('Adyen'!$E$11:$E$207,'Adyen'!$G$11:$G$207,$A68)</f>
        <v/>
      </c>
      <c r="C68" s="9">
        <f>SUMIFS('Nuvei'!$E$11:$E$296,'Nuvei'!$G$11:$G$296,$A68)</f>
        <v/>
      </c>
      <c r="D68" s="9">
        <f>SUMIFS('Shift4'!$E$11:$E$116,'Shift4'!$G$11:$G$116,$A68)</f>
        <v/>
      </c>
      <c r="E68" s="9">
        <f>SUMIFS('Paysafe'!$E$11:$E$44,'Paysafe'!$G$11:$G$44,$A68)</f>
        <v/>
      </c>
      <c r="F68" s="10">
        <f>SUM(B68:E68)</f>
        <v/>
      </c>
    </row>
    <row r="69">
      <c r="A69" s="8" t="n">
        <v>45989</v>
      </c>
      <c r="B69" s="9">
        <f>SUMIFS('Adyen'!$E$11:$E$207,'Adyen'!$G$11:$G$207,$A69)</f>
        <v/>
      </c>
      <c r="C69" s="9">
        <f>SUMIFS('Nuvei'!$E$11:$E$296,'Nuvei'!$G$11:$G$296,$A69)</f>
        <v/>
      </c>
      <c r="D69" s="9">
        <f>SUMIFS('Shift4'!$E$11:$E$116,'Shift4'!$G$11:$G$116,$A69)</f>
        <v/>
      </c>
      <c r="E69" s="9">
        <f>SUMIFS('Paysafe'!$E$11:$E$44,'Paysafe'!$G$11:$G$44,$A69)</f>
        <v/>
      </c>
      <c r="F69" s="10">
        <f>SUM(B69:E69)</f>
        <v/>
      </c>
    </row>
    <row r="70">
      <c r="A70" s="8" t="n">
        <v>45990</v>
      </c>
      <c r="B70" s="9">
        <f>SUMIFS('Adyen'!$E$11:$E$207,'Adyen'!$G$11:$G$207,$A70)</f>
        <v/>
      </c>
      <c r="C70" s="9">
        <f>SUMIFS('Nuvei'!$E$11:$E$296,'Nuvei'!$G$11:$G$296,$A70)</f>
        <v/>
      </c>
      <c r="D70" s="9">
        <f>SUMIFS('Shift4'!$E$11:$E$116,'Shift4'!$G$11:$G$116,$A70)</f>
        <v/>
      </c>
      <c r="E70" s="9">
        <f>SUMIFS('Paysafe'!$E$11:$E$44,'Paysafe'!$G$11:$G$44,$A70)</f>
        <v/>
      </c>
      <c r="F70" s="10">
        <f>SUM(B70:E70)</f>
        <v/>
      </c>
    </row>
    <row r="71">
      <c r="A71" s="8" t="n">
        <v>45991</v>
      </c>
      <c r="B71" s="9">
        <f>SUMIFS('Adyen'!$E$11:$E$207,'Adyen'!$G$11:$G$207,$A71)</f>
        <v/>
      </c>
      <c r="C71" s="9">
        <f>SUMIFS('Nuvei'!$E$11:$E$296,'Nuvei'!$G$11:$G$296,$A71)</f>
        <v/>
      </c>
      <c r="D71" s="9">
        <f>SUMIFS('Shift4'!$E$11:$E$116,'Shift4'!$G$11:$G$116,$A71)</f>
        <v/>
      </c>
      <c r="E71" s="9">
        <f>SUMIFS('Paysafe'!$E$11:$E$44,'Paysafe'!$G$11:$G$44,$A71)</f>
        <v/>
      </c>
      <c r="F71" s="10">
        <f>SUM(B71:E71)</f>
        <v/>
      </c>
    </row>
    <row r="72">
      <c r="A72" s="8" t="n">
        <v>45992</v>
      </c>
      <c r="B72" s="9">
        <f>SUMIFS('Adyen'!$E$11:$E$207,'Adyen'!$G$11:$G$207,$A72)</f>
        <v/>
      </c>
      <c r="C72" s="9">
        <f>SUMIFS('Nuvei'!$E$11:$E$296,'Nuvei'!$G$11:$G$296,$A72)</f>
        <v/>
      </c>
      <c r="D72" s="9">
        <f>SUMIFS('Shift4'!$E$11:$E$116,'Shift4'!$G$11:$G$116,$A72)</f>
        <v/>
      </c>
      <c r="E72" s="9">
        <f>SUMIFS('Paysafe'!$E$11:$E$44,'Paysafe'!$G$11:$G$44,$A72)</f>
        <v/>
      </c>
      <c r="F72" s="10">
        <f>SUM(B72:E72)</f>
        <v/>
      </c>
    </row>
    <row r="73">
      <c r="A73" s="8" t="n">
        <v>45993</v>
      </c>
      <c r="B73" s="9">
        <f>SUMIFS('Adyen'!$E$11:$E$207,'Adyen'!$G$11:$G$207,$A73)</f>
        <v/>
      </c>
      <c r="C73" s="9">
        <f>SUMIFS('Nuvei'!$E$11:$E$296,'Nuvei'!$G$11:$G$296,$A73)</f>
        <v/>
      </c>
      <c r="D73" s="9">
        <f>SUMIFS('Shift4'!$E$11:$E$116,'Shift4'!$G$11:$G$116,$A73)</f>
        <v/>
      </c>
      <c r="E73" s="9">
        <f>SUMIFS('Paysafe'!$E$11:$E$44,'Paysafe'!$G$11:$G$44,$A73)</f>
        <v/>
      </c>
      <c r="F73" s="10">
        <f>SUM(B73:E73)</f>
        <v/>
      </c>
    </row>
    <row r="74">
      <c r="A74" s="8" t="n">
        <v>45994</v>
      </c>
      <c r="B74" s="9">
        <f>SUMIFS('Adyen'!$E$11:$E$207,'Adyen'!$G$11:$G$207,$A74)</f>
        <v/>
      </c>
      <c r="C74" s="9">
        <f>SUMIFS('Nuvei'!$E$11:$E$296,'Nuvei'!$G$11:$G$296,$A74)</f>
        <v/>
      </c>
      <c r="D74" s="9">
        <f>SUMIFS('Shift4'!$E$11:$E$116,'Shift4'!$G$11:$G$116,$A74)</f>
        <v/>
      </c>
      <c r="E74" s="9">
        <f>SUMIFS('Paysafe'!$E$11:$E$44,'Paysafe'!$G$11:$G$44,$A74)</f>
        <v/>
      </c>
      <c r="F74" s="10">
        <f>SUM(B74:E74)</f>
        <v/>
      </c>
    </row>
    <row r="75">
      <c r="A75" s="8" t="n">
        <v>45995</v>
      </c>
      <c r="B75" s="9">
        <f>SUMIFS('Adyen'!$E$11:$E$207,'Adyen'!$G$11:$G$207,$A75)</f>
        <v/>
      </c>
      <c r="C75" s="9">
        <f>SUMIFS('Nuvei'!$E$11:$E$296,'Nuvei'!$G$11:$G$296,$A75)</f>
        <v/>
      </c>
      <c r="D75" s="9">
        <f>SUMIFS('Shift4'!$E$11:$E$116,'Shift4'!$G$11:$G$116,$A75)</f>
        <v/>
      </c>
      <c r="E75" s="9">
        <f>SUMIFS('Paysafe'!$E$11:$E$44,'Paysafe'!$G$11:$G$44,$A75)</f>
        <v/>
      </c>
      <c r="F75" s="10">
        <f>SUM(B75:E75)</f>
        <v/>
      </c>
    </row>
    <row r="76">
      <c r="A76" s="8" t="n">
        <v>45996</v>
      </c>
      <c r="B76" s="9">
        <f>SUMIFS('Adyen'!$E$11:$E$207,'Adyen'!$G$11:$G$207,$A76)</f>
        <v/>
      </c>
      <c r="C76" s="9">
        <f>SUMIFS('Nuvei'!$E$11:$E$296,'Nuvei'!$G$11:$G$296,$A76)</f>
        <v/>
      </c>
      <c r="D76" s="9">
        <f>SUMIFS('Shift4'!$E$11:$E$116,'Shift4'!$G$11:$G$116,$A76)</f>
        <v/>
      </c>
      <c r="E76" s="9">
        <f>SUMIFS('Paysafe'!$E$11:$E$44,'Paysafe'!$G$11:$G$44,$A76)</f>
        <v/>
      </c>
      <c r="F76" s="10">
        <f>SUM(B76:E76)</f>
        <v/>
      </c>
    </row>
    <row r="77">
      <c r="A77" s="8" t="n">
        <v>45997</v>
      </c>
      <c r="B77" s="9">
        <f>SUMIFS('Adyen'!$E$11:$E$207,'Adyen'!$G$11:$G$207,$A77)</f>
        <v/>
      </c>
      <c r="C77" s="9">
        <f>SUMIFS('Nuvei'!$E$11:$E$296,'Nuvei'!$G$11:$G$296,$A77)</f>
        <v/>
      </c>
      <c r="D77" s="9">
        <f>SUMIFS('Shift4'!$E$11:$E$116,'Shift4'!$G$11:$G$116,$A77)</f>
        <v/>
      </c>
      <c r="E77" s="9">
        <f>SUMIFS('Paysafe'!$E$11:$E$44,'Paysafe'!$G$11:$G$44,$A77)</f>
        <v/>
      </c>
      <c r="F77" s="10">
        <f>SUM(B77:E77)</f>
        <v/>
      </c>
    </row>
    <row r="78">
      <c r="A78" s="8" t="n">
        <v>45998</v>
      </c>
      <c r="B78" s="9">
        <f>SUMIFS('Adyen'!$E$11:$E$207,'Adyen'!$G$11:$G$207,$A78)</f>
        <v/>
      </c>
      <c r="C78" s="9">
        <f>SUMIFS('Nuvei'!$E$11:$E$296,'Nuvei'!$G$11:$G$296,$A78)</f>
        <v/>
      </c>
      <c r="D78" s="9">
        <f>SUMIFS('Shift4'!$E$11:$E$116,'Shift4'!$G$11:$G$116,$A78)</f>
        <v/>
      </c>
      <c r="E78" s="9">
        <f>SUMIFS('Paysafe'!$E$11:$E$44,'Paysafe'!$G$11:$G$44,$A78)</f>
        <v/>
      </c>
      <c r="F78" s="10">
        <f>SUM(B78:E78)</f>
        <v/>
      </c>
    </row>
    <row r="79">
      <c r="A79" s="8" t="n">
        <v>45999</v>
      </c>
      <c r="B79" s="9">
        <f>SUMIFS('Adyen'!$E$11:$E$207,'Adyen'!$G$11:$G$207,$A79)</f>
        <v/>
      </c>
      <c r="C79" s="9">
        <f>SUMIFS('Nuvei'!$E$11:$E$296,'Nuvei'!$G$11:$G$296,$A79)</f>
        <v/>
      </c>
      <c r="D79" s="9">
        <f>SUMIFS('Shift4'!$E$11:$E$116,'Shift4'!$G$11:$G$116,$A79)</f>
        <v/>
      </c>
      <c r="E79" s="9">
        <f>SUMIFS('Paysafe'!$E$11:$E$44,'Paysafe'!$G$11:$G$44,$A79)</f>
        <v/>
      </c>
      <c r="F79" s="10">
        <f>SUM(B79:E79)</f>
        <v/>
      </c>
    </row>
    <row r="80">
      <c r="A80" s="8" t="n">
        <v>46000</v>
      </c>
      <c r="B80" s="9">
        <f>SUMIFS('Adyen'!$E$11:$E$207,'Adyen'!$G$11:$G$207,$A80)</f>
        <v/>
      </c>
      <c r="C80" s="9">
        <f>SUMIFS('Nuvei'!$E$11:$E$296,'Nuvei'!$G$11:$G$296,$A80)</f>
        <v/>
      </c>
      <c r="D80" s="9">
        <f>SUMIFS('Shift4'!$E$11:$E$116,'Shift4'!$G$11:$G$116,$A80)</f>
        <v/>
      </c>
      <c r="E80" s="9">
        <f>SUMIFS('Paysafe'!$E$11:$E$44,'Paysafe'!$G$11:$G$44,$A80)</f>
        <v/>
      </c>
      <c r="F80" s="10">
        <f>SUM(B80:E80)</f>
        <v/>
      </c>
    </row>
    <row r="81">
      <c r="A81" s="8" t="n">
        <v>46001</v>
      </c>
      <c r="B81" s="9">
        <f>SUMIFS('Adyen'!$E$11:$E$207,'Adyen'!$G$11:$G$207,$A81)</f>
        <v/>
      </c>
      <c r="C81" s="9">
        <f>SUMIFS('Nuvei'!$E$11:$E$296,'Nuvei'!$G$11:$G$296,$A81)</f>
        <v/>
      </c>
      <c r="D81" s="9">
        <f>SUMIFS('Shift4'!$E$11:$E$116,'Shift4'!$G$11:$G$116,$A81)</f>
        <v/>
      </c>
      <c r="E81" s="9">
        <f>SUMIFS('Paysafe'!$E$11:$E$44,'Paysafe'!$G$11:$G$44,$A81)</f>
        <v/>
      </c>
      <c r="F81" s="10">
        <f>SUM(B81:E81)</f>
        <v/>
      </c>
    </row>
    <row r="82">
      <c r="A82" s="8" t="n">
        <v>46002</v>
      </c>
      <c r="B82" s="9">
        <f>SUMIFS('Adyen'!$E$11:$E$207,'Adyen'!$G$11:$G$207,$A82)</f>
        <v/>
      </c>
      <c r="C82" s="9">
        <f>SUMIFS('Nuvei'!$E$11:$E$296,'Nuvei'!$G$11:$G$296,$A82)</f>
        <v/>
      </c>
      <c r="D82" s="9">
        <f>SUMIFS('Shift4'!$E$11:$E$116,'Shift4'!$G$11:$G$116,$A82)</f>
        <v/>
      </c>
      <c r="E82" s="9">
        <f>SUMIFS('Paysafe'!$E$11:$E$44,'Paysafe'!$G$11:$G$44,$A82)</f>
        <v/>
      </c>
      <c r="F82" s="10">
        <f>SUM(B82:E82)</f>
        <v/>
      </c>
    </row>
    <row r="83">
      <c r="A83" s="8" t="n">
        <v>46003</v>
      </c>
      <c r="B83" s="9">
        <f>SUMIFS('Adyen'!$E$11:$E$207,'Adyen'!$G$11:$G$207,$A83)</f>
        <v/>
      </c>
      <c r="C83" s="9">
        <f>SUMIFS('Nuvei'!$E$11:$E$296,'Nuvei'!$G$11:$G$296,$A83)</f>
        <v/>
      </c>
      <c r="D83" s="9">
        <f>SUMIFS('Shift4'!$E$11:$E$116,'Shift4'!$G$11:$G$116,$A83)</f>
        <v/>
      </c>
      <c r="E83" s="9">
        <f>SUMIFS('Paysafe'!$E$11:$E$44,'Paysafe'!$G$11:$G$44,$A83)</f>
        <v/>
      </c>
      <c r="F83" s="10">
        <f>SUM(B83:E83)</f>
        <v/>
      </c>
    </row>
    <row r="84">
      <c r="A84" s="8" t="n">
        <v>46004</v>
      </c>
      <c r="B84" s="9">
        <f>SUMIFS('Adyen'!$E$11:$E$207,'Adyen'!$G$11:$G$207,$A84)</f>
        <v/>
      </c>
      <c r="C84" s="9">
        <f>SUMIFS('Nuvei'!$E$11:$E$296,'Nuvei'!$G$11:$G$296,$A84)</f>
        <v/>
      </c>
      <c r="D84" s="9">
        <f>SUMIFS('Shift4'!$E$11:$E$116,'Shift4'!$G$11:$G$116,$A84)</f>
        <v/>
      </c>
      <c r="E84" s="9">
        <f>SUMIFS('Paysafe'!$E$11:$E$44,'Paysafe'!$G$11:$G$44,$A84)</f>
        <v/>
      </c>
      <c r="F84" s="10">
        <f>SUM(B84:E84)</f>
        <v/>
      </c>
    </row>
    <row r="85">
      <c r="A85" s="8" t="n">
        <v>46005</v>
      </c>
      <c r="B85" s="9">
        <f>SUMIFS('Adyen'!$E$11:$E$207,'Adyen'!$G$11:$G$207,$A85)</f>
        <v/>
      </c>
      <c r="C85" s="9">
        <f>SUMIFS('Nuvei'!$E$11:$E$296,'Nuvei'!$G$11:$G$296,$A85)</f>
        <v/>
      </c>
      <c r="D85" s="9">
        <f>SUMIFS('Shift4'!$E$11:$E$116,'Shift4'!$G$11:$G$116,$A85)</f>
        <v/>
      </c>
      <c r="E85" s="9">
        <f>SUMIFS('Paysafe'!$E$11:$E$44,'Paysafe'!$G$11:$G$44,$A85)</f>
        <v/>
      </c>
      <c r="F85" s="10">
        <f>SUM(B85:E85)</f>
        <v/>
      </c>
    </row>
    <row r="86">
      <c r="A86" s="8" t="n">
        <v>46006</v>
      </c>
      <c r="B86" s="9">
        <f>SUMIFS('Adyen'!$E$11:$E$207,'Adyen'!$G$11:$G$207,$A86)</f>
        <v/>
      </c>
      <c r="C86" s="9">
        <f>SUMIFS('Nuvei'!$E$11:$E$296,'Nuvei'!$G$11:$G$296,$A86)</f>
        <v/>
      </c>
      <c r="D86" s="9">
        <f>SUMIFS('Shift4'!$E$11:$E$116,'Shift4'!$G$11:$G$116,$A86)</f>
        <v/>
      </c>
      <c r="E86" s="9">
        <f>SUMIFS('Paysafe'!$E$11:$E$44,'Paysafe'!$G$11:$G$44,$A86)</f>
        <v/>
      </c>
      <c r="F86" s="10">
        <f>SUM(B86:E86)</f>
        <v/>
      </c>
    </row>
    <row r="87">
      <c r="A87" s="8" t="n">
        <v>46007</v>
      </c>
      <c r="B87" s="9">
        <f>SUMIFS('Adyen'!$E$11:$E$207,'Adyen'!$G$11:$G$207,$A87)</f>
        <v/>
      </c>
      <c r="C87" s="9">
        <f>SUMIFS('Nuvei'!$E$11:$E$296,'Nuvei'!$G$11:$G$296,$A87)</f>
        <v/>
      </c>
      <c r="D87" s="9">
        <f>SUMIFS('Shift4'!$E$11:$E$116,'Shift4'!$G$11:$G$116,$A87)</f>
        <v/>
      </c>
      <c r="E87" s="9">
        <f>SUMIFS('Paysafe'!$E$11:$E$44,'Paysafe'!$G$11:$G$44,$A87)</f>
        <v/>
      </c>
      <c r="F87" s="10">
        <f>SUM(B87:E87)</f>
        <v/>
      </c>
    </row>
    <row r="88">
      <c r="A88" s="8" t="n">
        <v>46008</v>
      </c>
      <c r="B88" s="9">
        <f>SUMIFS('Adyen'!$E$11:$E$207,'Adyen'!$G$11:$G$207,$A88)</f>
        <v/>
      </c>
      <c r="C88" s="9">
        <f>SUMIFS('Nuvei'!$E$11:$E$296,'Nuvei'!$G$11:$G$296,$A88)</f>
        <v/>
      </c>
      <c r="D88" s="9">
        <f>SUMIFS('Shift4'!$E$11:$E$116,'Shift4'!$G$11:$G$116,$A88)</f>
        <v/>
      </c>
      <c r="E88" s="9">
        <f>SUMIFS('Paysafe'!$E$11:$E$44,'Paysafe'!$G$11:$G$44,$A88)</f>
        <v/>
      </c>
      <c r="F88" s="10">
        <f>SUM(B88:E88)</f>
        <v/>
      </c>
    </row>
    <row r="89">
      <c r="A89" s="8" t="n">
        <v>46009</v>
      </c>
      <c r="B89" s="9">
        <f>SUMIFS('Adyen'!$E$11:$E$207,'Adyen'!$G$11:$G$207,$A89)</f>
        <v/>
      </c>
      <c r="C89" s="9">
        <f>SUMIFS('Nuvei'!$E$11:$E$296,'Nuvei'!$G$11:$G$296,$A89)</f>
        <v/>
      </c>
      <c r="D89" s="9">
        <f>SUMIFS('Shift4'!$E$11:$E$116,'Shift4'!$G$11:$G$116,$A89)</f>
        <v/>
      </c>
      <c r="E89" s="9">
        <f>SUMIFS('Paysafe'!$E$11:$E$44,'Paysafe'!$G$11:$G$44,$A89)</f>
        <v/>
      </c>
      <c r="F89" s="10">
        <f>SUM(B89:E89)</f>
        <v/>
      </c>
    </row>
    <row r="90">
      <c r="A90" s="8" t="n">
        <v>46010</v>
      </c>
      <c r="B90" s="9">
        <f>SUMIFS('Adyen'!$E$11:$E$207,'Adyen'!$G$11:$G$207,$A90)</f>
        <v/>
      </c>
      <c r="C90" s="9">
        <f>SUMIFS('Nuvei'!$E$11:$E$296,'Nuvei'!$G$11:$G$296,$A90)</f>
        <v/>
      </c>
      <c r="D90" s="9">
        <f>SUMIFS('Shift4'!$E$11:$E$116,'Shift4'!$G$11:$G$116,$A90)</f>
        <v/>
      </c>
      <c r="E90" s="9">
        <f>SUMIFS('Paysafe'!$E$11:$E$44,'Paysafe'!$G$11:$G$44,$A90)</f>
        <v/>
      </c>
      <c r="F90" s="10">
        <f>SUM(B90:E90)</f>
        <v/>
      </c>
    </row>
    <row r="91">
      <c r="A91" s="8" t="n">
        <v>46011</v>
      </c>
      <c r="B91" s="9">
        <f>SUMIFS('Adyen'!$E$11:$E$207,'Adyen'!$G$11:$G$207,$A91)</f>
        <v/>
      </c>
      <c r="C91" s="9">
        <f>SUMIFS('Nuvei'!$E$11:$E$296,'Nuvei'!$G$11:$G$296,$A91)</f>
        <v/>
      </c>
      <c r="D91" s="9">
        <f>SUMIFS('Shift4'!$E$11:$E$116,'Shift4'!$G$11:$G$116,$A91)</f>
        <v/>
      </c>
      <c r="E91" s="9">
        <f>SUMIFS('Paysafe'!$E$11:$E$44,'Paysafe'!$G$11:$G$44,$A91)</f>
        <v/>
      </c>
      <c r="F91" s="10">
        <f>SUM(B91:E91)</f>
        <v/>
      </c>
    </row>
    <row r="92">
      <c r="A92" s="8" t="n">
        <v>46012</v>
      </c>
      <c r="B92" s="9">
        <f>SUMIFS('Adyen'!$E$11:$E$207,'Adyen'!$G$11:$G$207,$A92)</f>
        <v/>
      </c>
      <c r="C92" s="9">
        <f>SUMIFS('Nuvei'!$E$11:$E$296,'Nuvei'!$G$11:$G$296,$A92)</f>
        <v/>
      </c>
      <c r="D92" s="9">
        <f>SUMIFS('Shift4'!$E$11:$E$116,'Shift4'!$G$11:$G$116,$A92)</f>
        <v/>
      </c>
      <c r="E92" s="9">
        <f>SUMIFS('Paysafe'!$E$11:$E$44,'Paysafe'!$G$11:$G$44,$A92)</f>
        <v/>
      </c>
      <c r="F92" s="10">
        <f>SUM(B92:E92)</f>
        <v/>
      </c>
    </row>
    <row r="93">
      <c r="A93" s="8" t="n">
        <v>46013</v>
      </c>
      <c r="B93" s="9">
        <f>SUMIFS('Adyen'!$E$11:$E$207,'Adyen'!$G$11:$G$207,$A93)</f>
        <v/>
      </c>
      <c r="C93" s="9">
        <f>SUMIFS('Nuvei'!$E$11:$E$296,'Nuvei'!$G$11:$G$296,$A93)</f>
        <v/>
      </c>
      <c r="D93" s="9">
        <f>SUMIFS('Shift4'!$E$11:$E$116,'Shift4'!$G$11:$G$116,$A93)</f>
        <v/>
      </c>
      <c r="E93" s="9">
        <f>SUMIFS('Paysafe'!$E$11:$E$44,'Paysafe'!$G$11:$G$44,$A93)</f>
        <v/>
      </c>
      <c r="F93" s="10">
        <f>SUM(B93:E93)</f>
        <v/>
      </c>
    </row>
    <row r="94">
      <c r="A94" s="8" t="n">
        <v>46014</v>
      </c>
      <c r="B94" s="9">
        <f>SUMIFS('Adyen'!$E$11:$E$207,'Adyen'!$G$11:$G$207,$A94)</f>
        <v/>
      </c>
      <c r="C94" s="9">
        <f>SUMIFS('Nuvei'!$E$11:$E$296,'Nuvei'!$G$11:$G$296,$A94)</f>
        <v/>
      </c>
      <c r="D94" s="9">
        <f>SUMIFS('Shift4'!$E$11:$E$116,'Shift4'!$G$11:$G$116,$A94)</f>
        <v/>
      </c>
      <c r="E94" s="9">
        <f>SUMIFS('Paysafe'!$E$11:$E$44,'Paysafe'!$G$11:$G$44,$A94)</f>
        <v/>
      </c>
      <c r="F94" s="10">
        <f>SUM(B94:E94)</f>
        <v/>
      </c>
    </row>
    <row r="95">
      <c r="A95" s="8" t="n">
        <v>46015</v>
      </c>
      <c r="B95" s="9">
        <f>SUMIFS('Adyen'!$E$11:$E$207,'Adyen'!$G$11:$G$207,$A95)</f>
        <v/>
      </c>
      <c r="C95" s="9">
        <f>SUMIFS('Nuvei'!$E$11:$E$296,'Nuvei'!$G$11:$G$296,$A95)</f>
        <v/>
      </c>
      <c r="D95" s="9">
        <f>SUMIFS('Shift4'!$E$11:$E$116,'Shift4'!$G$11:$G$116,$A95)</f>
        <v/>
      </c>
      <c r="E95" s="9">
        <f>SUMIFS('Paysafe'!$E$11:$E$44,'Paysafe'!$G$11:$G$44,$A95)</f>
        <v/>
      </c>
      <c r="F95" s="10">
        <f>SUM(B95:E95)</f>
        <v/>
      </c>
    </row>
    <row r="96">
      <c r="A96" s="8" t="n">
        <v>46016</v>
      </c>
      <c r="B96" s="9">
        <f>SUMIFS('Adyen'!$E$11:$E$207,'Adyen'!$G$11:$G$207,$A96)</f>
        <v/>
      </c>
      <c r="C96" s="9">
        <f>SUMIFS('Nuvei'!$E$11:$E$296,'Nuvei'!$G$11:$G$296,$A96)</f>
        <v/>
      </c>
      <c r="D96" s="9">
        <f>SUMIFS('Shift4'!$E$11:$E$116,'Shift4'!$G$11:$G$116,$A96)</f>
        <v/>
      </c>
      <c r="E96" s="9">
        <f>SUMIFS('Paysafe'!$E$11:$E$44,'Paysafe'!$G$11:$G$44,$A96)</f>
        <v/>
      </c>
      <c r="F96" s="10">
        <f>SUM(B96:E96)</f>
        <v/>
      </c>
    </row>
    <row r="97">
      <c r="A97" s="8" t="n">
        <v>46017</v>
      </c>
      <c r="B97" s="9">
        <f>SUMIFS('Adyen'!$E$11:$E$207,'Adyen'!$G$11:$G$207,$A97)</f>
        <v/>
      </c>
      <c r="C97" s="9">
        <f>SUMIFS('Nuvei'!$E$11:$E$296,'Nuvei'!$G$11:$G$296,$A97)</f>
        <v/>
      </c>
      <c r="D97" s="9">
        <f>SUMIFS('Shift4'!$E$11:$E$116,'Shift4'!$G$11:$G$116,$A97)</f>
        <v/>
      </c>
      <c r="E97" s="9">
        <f>SUMIFS('Paysafe'!$E$11:$E$44,'Paysafe'!$G$11:$G$44,$A97)</f>
        <v/>
      </c>
      <c r="F97" s="10">
        <f>SUM(B97:E97)</f>
        <v/>
      </c>
    </row>
    <row r="98">
      <c r="A98" s="8" t="n">
        <v>46018</v>
      </c>
      <c r="B98" s="9">
        <f>SUMIFS('Adyen'!$E$11:$E$207,'Adyen'!$G$11:$G$207,$A98)</f>
        <v/>
      </c>
      <c r="C98" s="9">
        <f>SUMIFS('Nuvei'!$E$11:$E$296,'Nuvei'!$G$11:$G$296,$A98)</f>
        <v/>
      </c>
      <c r="D98" s="9">
        <f>SUMIFS('Shift4'!$E$11:$E$116,'Shift4'!$G$11:$G$116,$A98)</f>
        <v/>
      </c>
      <c r="E98" s="9">
        <f>SUMIFS('Paysafe'!$E$11:$E$44,'Paysafe'!$G$11:$G$44,$A98)</f>
        <v/>
      </c>
      <c r="F98" s="10">
        <f>SUM(B98:E98)</f>
        <v/>
      </c>
    </row>
    <row r="99">
      <c r="A99" s="8" t="n">
        <v>46019</v>
      </c>
      <c r="B99" s="9">
        <f>SUMIFS('Adyen'!$E$11:$E$207,'Adyen'!$G$11:$G$207,$A99)</f>
        <v/>
      </c>
      <c r="C99" s="9">
        <f>SUMIFS('Nuvei'!$E$11:$E$296,'Nuvei'!$G$11:$G$296,$A99)</f>
        <v/>
      </c>
      <c r="D99" s="9">
        <f>SUMIFS('Shift4'!$E$11:$E$116,'Shift4'!$G$11:$G$116,$A99)</f>
        <v/>
      </c>
      <c r="E99" s="9">
        <f>SUMIFS('Paysafe'!$E$11:$E$44,'Paysafe'!$G$11:$G$44,$A99)</f>
        <v/>
      </c>
      <c r="F99" s="10">
        <f>SUM(B99:E99)</f>
        <v/>
      </c>
    </row>
    <row r="100">
      <c r="A100" s="8" t="n">
        <v>46020</v>
      </c>
      <c r="B100" s="9">
        <f>SUMIFS('Adyen'!$E$11:$E$207,'Adyen'!$G$11:$G$207,$A100)</f>
        <v/>
      </c>
      <c r="C100" s="9">
        <f>SUMIFS('Nuvei'!$E$11:$E$296,'Nuvei'!$G$11:$G$296,$A100)</f>
        <v/>
      </c>
      <c r="D100" s="9">
        <f>SUMIFS('Shift4'!$E$11:$E$116,'Shift4'!$G$11:$G$116,$A100)</f>
        <v/>
      </c>
      <c r="E100" s="9">
        <f>SUMIFS('Paysafe'!$E$11:$E$44,'Paysafe'!$G$11:$G$44,$A100)</f>
        <v/>
      </c>
      <c r="F100" s="10">
        <f>SUM(B100:E100)</f>
        <v/>
      </c>
    </row>
    <row r="101">
      <c r="A101" s="8" t="n">
        <v>46021</v>
      </c>
      <c r="B101" s="9">
        <f>SUMIFS('Adyen'!$E$11:$E$207,'Adyen'!$G$11:$G$207,$A101)</f>
        <v/>
      </c>
      <c r="C101" s="9">
        <f>SUMIFS('Nuvei'!$E$11:$E$296,'Nuvei'!$G$11:$G$296,$A101)</f>
        <v/>
      </c>
      <c r="D101" s="9">
        <f>SUMIFS('Shift4'!$E$11:$E$116,'Shift4'!$G$11:$G$116,$A101)</f>
        <v/>
      </c>
      <c r="E101" s="9">
        <f>SUMIFS('Paysafe'!$E$11:$E$44,'Paysafe'!$G$11:$G$44,$A101)</f>
        <v/>
      </c>
      <c r="F101" s="10">
        <f>SUM(B101:E101)</f>
        <v/>
      </c>
    </row>
    <row r="102">
      <c r="A102" s="8" t="n">
        <v>46022</v>
      </c>
      <c r="B102" s="9">
        <f>SUMIFS('Adyen'!$E$11:$E$207,'Adyen'!$G$11:$G$207,$A102)</f>
        <v/>
      </c>
      <c r="C102" s="9">
        <f>SUMIFS('Nuvei'!$E$11:$E$296,'Nuvei'!$G$11:$G$296,$A102)</f>
        <v/>
      </c>
      <c r="D102" s="9">
        <f>SUMIFS('Shift4'!$E$11:$E$116,'Shift4'!$G$11:$G$116,$A102)</f>
        <v/>
      </c>
      <c r="E102" s="9">
        <f>SUMIFS('Paysafe'!$E$11:$E$44,'Paysafe'!$G$11:$G$44,$A102)</f>
        <v/>
      </c>
      <c r="F102" s="10">
        <f>SUM(B102:E102)</f>
        <v/>
      </c>
    </row>
    <row r="103">
      <c r="A103" s="8" t="n">
        <v>46023</v>
      </c>
      <c r="B103" s="9">
        <f>SUMIFS('Adyen'!$E$11:$E$207,'Adyen'!$G$11:$G$207,$A103)</f>
        <v/>
      </c>
      <c r="C103" s="9">
        <f>SUMIFS('Nuvei'!$E$11:$E$296,'Nuvei'!$G$11:$G$296,$A103)</f>
        <v/>
      </c>
      <c r="D103" s="9">
        <f>SUMIFS('Shift4'!$E$11:$E$116,'Shift4'!$G$11:$G$116,$A103)</f>
        <v/>
      </c>
      <c r="E103" s="9">
        <f>SUMIFS('Paysafe'!$E$11:$E$44,'Paysafe'!$G$11:$G$44,$A103)</f>
        <v/>
      </c>
      <c r="F103" s="10">
        <f>SUM(B103:E103)</f>
        <v/>
      </c>
    </row>
    <row r="104">
      <c r="A104" s="8" t="n">
        <v>46024</v>
      </c>
      <c r="B104" s="9">
        <f>SUMIFS('Adyen'!$E$11:$E$207,'Adyen'!$G$11:$G$207,$A104)</f>
        <v/>
      </c>
      <c r="C104" s="9">
        <f>SUMIFS('Nuvei'!$E$11:$E$296,'Nuvei'!$G$11:$G$296,$A104)</f>
        <v/>
      </c>
      <c r="D104" s="9">
        <f>SUMIFS('Shift4'!$E$11:$E$116,'Shift4'!$G$11:$G$116,$A104)</f>
        <v/>
      </c>
      <c r="E104" s="9">
        <f>SUMIFS('Paysafe'!$E$11:$E$44,'Paysafe'!$G$11:$G$44,$A104)</f>
        <v/>
      </c>
      <c r="F104" s="10">
        <f>SUM(B104:E104)</f>
        <v/>
      </c>
    </row>
    <row r="105">
      <c r="A105" s="8" t="n">
        <v>46025</v>
      </c>
      <c r="B105" s="9">
        <f>SUMIFS('Adyen'!$E$11:$E$207,'Adyen'!$G$11:$G$207,$A105)</f>
        <v/>
      </c>
      <c r="C105" s="9">
        <f>SUMIFS('Nuvei'!$E$11:$E$296,'Nuvei'!$G$11:$G$296,$A105)</f>
        <v/>
      </c>
      <c r="D105" s="9">
        <f>SUMIFS('Shift4'!$E$11:$E$116,'Shift4'!$G$11:$G$116,$A105)</f>
        <v/>
      </c>
      <c r="E105" s="9">
        <f>SUMIFS('Paysafe'!$E$11:$E$44,'Paysafe'!$G$11:$G$44,$A105)</f>
        <v/>
      </c>
      <c r="F105" s="10">
        <f>SUM(B105:E105)</f>
        <v/>
      </c>
    </row>
    <row r="106">
      <c r="A106" s="8" t="n">
        <v>46026</v>
      </c>
      <c r="B106" s="9">
        <f>SUMIFS('Adyen'!$E$11:$E$207,'Adyen'!$G$11:$G$207,$A106)</f>
        <v/>
      </c>
      <c r="C106" s="9">
        <f>SUMIFS('Nuvei'!$E$11:$E$296,'Nuvei'!$G$11:$G$296,$A106)</f>
        <v/>
      </c>
      <c r="D106" s="9">
        <f>SUMIFS('Shift4'!$E$11:$E$116,'Shift4'!$G$11:$G$116,$A106)</f>
        <v/>
      </c>
      <c r="E106" s="9">
        <f>SUMIFS('Paysafe'!$E$11:$E$44,'Paysafe'!$G$11:$G$44,$A106)</f>
        <v/>
      </c>
      <c r="F106" s="10">
        <f>SUM(B106:E106)</f>
        <v/>
      </c>
    </row>
    <row r="107">
      <c r="A107" s="8" t="n">
        <v>46027</v>
      </c>
      <c r="B107" s="9">
        <f>SUMIFS('Adyen'!$E$11:$E$207,'Adyen'!$G$11:$G$207,$A107)</f>
        <v/>
      </c>
      <c r="C107" s="9">
        <f>SUMIFS('Nuvei'!$E$11:$E$296,'Nuvei'!$G$11:$G$296,$A107)</f>
        <v/>
      </c>
      <c r="D107" s="9">
        <f>SUMIFS('Shift4'!$E$11:$E$116,'Shift4'!$G$11:$G$116,$A107)</f>
        <v/>
      </c>
      <c r="E107" s="9">
        <f>SUMIFS('Paysafe'!$E$11:$E$44,'Paysafe'!$G$11:$G$44,$A107)</f>
        <v/>
      </c>
      <c r="F107" s="10">
        <f>SUM(B107:E107)</f>
        <v/>
      </c>
    </row>
    <row r="108">
      <c r="A108" s="8" t="n">
        <v>46028</v>
      </c>
      <c r="B108" s="9">
        <f>SUMIFS('Adyen'!$E$11:$E$207,'Adyen'!$G$11:$G$207,$A108)</f>
        <v/>
      </c>
      <c r="C108" s="9">
        <f>SUMIFS('Nuvei'!$E$11:$E$296,'Nuvei'!$G$11:$G$296,$A108)</f>
        <v/>
      </c>
      <c r="D108" s="9">
        <f>SUMIFS('Shift4'!$E$11:$E$116,'Shift4'!$G$11:$G$116,$A108)</f>
        <v/>
      </c>
      <c r="E108" s="9">
        <f>SUMIFS('Paysafe'!$E$11:$E$44,'Paysafe'!$G$11:$G$44,$A108)</f>
        <v/>
      </c>
      <c r="F108" s="10">
        <f>SUM(B108:E108)</f>
        <v/>
      </c>
    </row>
    <row r="109">
      <c r="A109" s="8" t="n">
        <v>46029</v>
      </c>
      <c r="B109" s="9">
        <f>SUMIFS('Adyen'!$E$11:$E$207,'Adyen'!$G$11:$G$207,$A109)</f>
        <v/>
      </c>
      <c r="C109" s="9">
        <f>SUMIFS('Nuvei'!$E$11:$E$296,'Nuvei'!$G$11:$G$296,$A109)</f>
        <v/>
      </c>
      <c r="D109" s="9">
        <f>SUMIFS('Shift4'!$E$11:$E$116,'Shift4'!$G$11:$G$116,$A109)</f>
        <v/>
      </c>
      <c r="E109" s="9">
        <f>SUMIFS('Paysafe'!$E$11:$E$44,'Paysafe'!$G$11:$G$44,$A109)</f>
        <v/>
      </c>
      <c r="F109" s="10">
        <f>SUM(B109:E109)</f>
        <v/>
      </c>
    </row>
    <row r="110">
      <c r="A110" s="8" t="n">
        <v>46030</v>
      </c>
      <c r="B110" s="9">
        <f>SUMIFS('Adyen'!$E$11:$E$207,'Adyen'!$G$11:$G$207,$A110)</f>
        <v/>
      </c>
      <c r="C110" s="9">
        <f>SUMIFS('Nuvei'!$E$11:$E$296,'Nuvei'!$G$11:$G$296,$A110)</f>
        <v/>
      </c>
      <c r="D110" s="9">
        <f>SUMIFS('Shift4'!$E$11:$E$116,'Shift4'!$G$11:$G$116,$A110)</f>
        <v/>
      </c>
      <c r="E110" s="9">
        <f>SUMIFS('Paysafe'!$E$11:$E$44,'Paysafe'!$G$11:$G$44,$A110)</f>
        <v/>
      </c>
      <c r="F110" s="10">
        <f>SUM(B110:E110)</f>
        <v/>
      </c>
    </row>
    <row r="111">
      <c r="A111" s="8" t="n">
        <v>46031</v>
      </c>
      <c r="B111" s="9">
        <f>SUMIFS('Adyen'!$E$11:$E$207,'Adyen'!$G$11:$G$207,$A111)</f>
        <v/>
      </c>
      <c r="C111" s="9">
        <f>SUMIFS('Nuvei'!$E$11:$E$296,'Nuvei'!$G$11:$G$296,$A111)</f>
        <v/>
      </c>
      <c r="D111" s="9">
        <f>SUMIFS('Shift4'!$E$11:$E$116,'Shift4'!$G$11:$G$116,$A111)</f>
        <v/>
      </c>
      <c r="E111" s="9">
        <f>SUMIFS('Paysafe'!$E$11:$E$44,'Paysafe'!$G$11:$G$44,$A111)</f>
        <v/>
      </c>
      <c r="F111" s="10">
        <f>SUM(B111:E111)</f>
        <v/>
      </c>
    </row>
    <row r="112">
      <c r="A112" s="8" t="n">
        <v>46032</v>
      </c>
      <c r="B112" s="9">
        <f>SUMIFS('Adyen'!$E$11:$E$207,'Adyen'!$G$11:$G$207,$A112)</f>
        <v/>
      </c>
      <c r="C112" s="9">
        <f>SUMIFS('Nuvei'!$E$11:$E$296,'Nuvei'!$G$11:$G$296,$A112)</f>
        <v/>
      </c>
      <c r="D112" s="9">
        <f>SUMIFS('Shift4'!$E$11:$E$116,'Shift4'!$G$11:$G$116,$A112)</f>
        <v/>
      </c>
      <c r="E112" s="9">
        <f>SUMIFS('Paysafe'!$E$11:$E$44,'Paysafe'!$G$11:$G$44,$A112)</f>
        <v/>
      </c>
      <c r="F112" s="10">
        <f>SUM(B112:E112)</f>
        <v/>
      </c>
    </row>
    <row r="113">
      <c r="A113" s="8" t="n">
        <v>46033</v>
      </c>
      <c r="B113" s="9">
        <f>SUMIFS('Adyen'!$E$11:$E$207,'Adyen'!$G$11:$G$207,$A113)</f>
        <v/>
      </c>
      <c r="C113" s="9">
        <f>SUMIFS('Nuvei'!$E$11:$E$296,'Nuvei'!$G$11:$G$296,$A113)</f>
        <v/>
      </c>
      <c r="D113" s="9">
        <f>SUMIFS('Shift4'!$E$11:$E$116,'Shift4'!$G$11:$G$116,$A113)</f>
        <v/>
      </c>
      <c r="E113" s="9">
        <f>SUMIFS('Paysafe'!$E$11:$E$44,'Paysafe'!$G$11:$G$44,$A113)</f>
        <v/>
      </c>
      <c r="F113" s="10">
        <f>SUM(B113:E113)</f>
        <v/>
      </c>
    </row>
    <row r="114">
      <c r="A114" s="8" t="n">
        <v>46034</v>
      </c>
      <c r="B114" s="9">
        <f>SUMIFS('Adyen'!$E$11:$E$207,'Adyen'!$G$11:$G$207,$A114)</f>
        <v/>
      </c>
      <c r="C114" s="9">
        <f>SUMIFS('Nuvei'!$E$11:$E$296,'Nuvei'!$G$11:$G$296,$A114)</f>
        <v/>
      </c>
      <c r="D114" s="9">
        <f>SUMIFS('Shift4'!$E$11:$E$116,'Shift4'!$G$11:$G$116,$A114)</f>
        <v/>
      </c>
      <c r="E114" s="9">
        <f>SUMIFS('Paysafe'!$E$11:$E$44,'Paysafe'!$G$11:$G$44,$A114)</f>
        <v/>
      </c>
      <c r="F114" s="10">
        <f>SUM(B114:E114)</f>
        <v/>
      </c>
    </row>
    <row r="115">
      <c r="A115" s="8" t="n">
        <v>46035</v>
      </c>
      <c r="B115" s="9">
        <f>SUMIFS('Adyen'!$E$11:$E$207,'Adyen'!$G$11:$G$207,$A115)</f>
        <v/>
      </c>
      <c r="C115" s="9">
        <f>SUMIFS('Nuvei'!$E$11:$E$296,'Nuvei'!$G$11:$G$296,$A115)</f>
        <v/>
      </c>
      <c r="D115" s="9">
        <f>SUMIFS('Shift4'!$E$11:$E$116,'Shift4'!$G$11:$G$116,$A115)</f>
        <v/>
      </c>
      <c r="E115" s="9">
        <f>SUMIFS('Paysafe'!$E$11:$E$44,'Paysafe'!$G$11:$G$44,$A115)</f>
        <v/>
      </c>
      <c r="F115" s="10">
        <f>SUM(B115:E115)</f>
        <v/>
      </c>
    </row>
    <row r="116">
      <c r="A116" s="8" t="n">
        <v>46036</v>
      </c>
      <c r="B116" s="9">
        <f>SUMIFS('Adyen'!$E$11:$E$207,'Adyen'!$G$11:$G$207,$A116)</f>
        <v/>
      </c>
      <c r="C116" s="9">
        <f>SUMIFS('Nuvei'!$E$11:$E$296,'Nuvei'!$G$11:$G$296,$A116)</f>
        <v/>
      </c>
      <c r="D116" s="9">
        <f>SUMIFS('Shift4'!$E$11:$E$116,'Shift4'!$G$11:$G$116,$A116)</f>
        <v/>
      </c>
      <c r="E116" s="9">
        <f>SUMIFS('Paysafe'!$E$11:$E$44,'Paysafe'!$G$11:$G$44,$A116)</f>
        <v/>
      </c>
      <c r="F116" s="10">
        <f>SUM(B116:E116)</f>
        <v/>
      </c>
    </row>
    <row r="117">
      <c r="A117" s="8" t="n">
        <v>46037</v>
      </c>
      <c r="B117" s="9">
        <f>SUMIFS('Adyen'!$E$11:$E$207,'Adyen'!$G$11:$G$207,$A117)</f>
        <v/>
      </c>
      <c r="C117" s="9">
        <f>SUMIFS('Nuvei'!$E$11:$E$296,'Nuvei'!$G$11:$G$296,$A117)</f>
        <v/>
      </c>
      <c r="D117" s="9">
        <f>SUMIFS('Shift4'!$E$11:$E$116,'Shift4'!$G$11:$G$116,$A117)</f>
        <v/>
      </c>
      <c r="E117" s="9">
        <f>SUMIFS('Paysafe'!$E$11:$E$44,'Paysafe'!$G$11:$G$44,$A117)</f>
        <v/>
      </c>
      <c r="F117" s="10">
        <f>SUM(B117:E117)</f>
        <v/>
      </c>
    </row>
    <row r="118">
      <c r="A118" s="8" t="n">
        <v>46038</v>
      </c>
      <c r="B118" s="9">
        <f>SUMIFS('Adyen'!$E$11:$E$207,'Adyen'!$G$11:$G$207,$A118)</f>
        <v/>
      </c>
      <c r="C118" s="9">
        <f>SUMIFS('Nuvei'!$E$11:$E$296,'Nuvei'!$G$11:$G$296,$A118)</f>
        <v/>
      </c>
      <c r="D118" s="9">
        <f>SUMIFS('Shift4'!$E$11:$E$116,'Shift4'!$G$11:$G$116,$A118)</f>
        <v/>
      </c>
      <c r="E118" s="9">
        <f>SUMIFS('Paysafe'!$E$11:$E$44,'Paysafe'!$G$11:$G$44,$A118)</f>
        <v/>
      </c>
      <c r="F118" s="10">
        <f>SUM(B118:E118)</f>
        <v/>
      </c>
    </row>
    <row r="119">
      <c r="A119" s="8" t="n">
        <v>46039</v>
      </c>
      <c r="B119" s="9">
        <f>SUMIFS('Adyen'!$E$11:$E$207,'Adyen'!$G$11:$G$207,$A119)</f>
        <v/>
      </c>
      <c r="C119" s="9">
        <f>SUMIFS('Nuvei'!$E$11:$E$296,'Nuvei'!$G$11:$G$296,$A119)</f>
        <v/>
      </c>
      <c r="D119" s="9">
        <f>SUMIFS('Shift4'!$E$11:$E$116,'Shift4'!$G$11:$G$116,$A119)</f>
        <v/>
      </c>
      <c r="E119" s="9">
        <f>SUMIFS('Paysafe'!$E$11:$E$44,'Paysafe'!$G$11:$G$44,$A119)</f>
        <v/>
      </c>
      <c r="F119" s="10">
        <f>SUM(B119:E119)</f>
        <v/>
      </c>
    </row>
    <row r="120">
      <c r="A120" s="8" t="n">
        <v>46040</v>
      </c>
      <c r="B120" s="9">
        <f>SUMIFS('Adyen'!$E$11:$E$207,'Adyen'!$G$11:$G$207,$A120)</f>
        <v/>
      </c>
      <c r="C120" s="9">
        <f>SUMIFS('Nuvei'!$E$11:$E$296,'Nuvei'!$G$11:$G$296,$A120)</f>
        <v/>
      </c>
      <c r="D120" s="9">
        <f>SUMIFS('Shift4'!$E$11:$E$116,'Shift4'!$G$11:$G$116,$A120)</f>
        <v/>
      </c>
      <c r="E120" s="9">
        <f>SUMIFS('Paysafe'!$E$11:$E$44,'Paysafe'!$G$11:$G$44,$A120)</f>
        <v/>
      </c>
      <c r="F120" s="10">
        <f>SUM(B120:E120)</f>
        <v/>
      </c>
    </row>
    <row r="121">
      <c r="A121" s="8" t="n">
        <v>46041</v>
      </c>
      <c r="B121" s="9">
        <f>SUMIFS('Adyen'!$E$11:$E$207,'Adyen'!$G$11:$G$207,$A121)</f>
        <v/>
      </c>
      <c r="C121" s="9">
        <f>SUMIFS('Nuvei'!$E$11:$E$296,'Nuvei'!$G$11:$G$296,$A121)</f>
        <v/>
      </c>
      <c r="D121" s="9">
        <f>SUMIFS('Shift4'!$E$11:$E$116,'Shift4'!$G$11:$G$116,$A121)</f>
        <v/>
      </c>
      <c r="E121" s="9">
        <f>SUMIFS('Paysafe'!$E$11:$E$44,'Paysafe'!$G$11:$G$44,$A121)</f>
        <v/>
      </c>
      <c r="F121" s="10">
        <f>SUM(B121:E121)</f>
        <v/>
      </c>
    </row>
    <row r="122">
      <c r="A122" s="8" t="n">
        <v>46042</v>
      </c>
      <c r="B122" s="9">
        <f>SUMIFS('Adyen'!$E$11:$E$207,'Adyen'!$G$11:$G$207,$A122)</f>
        <v/>
      </c>
      <c r="C122" s="9">
        <f>SUMIFS('Nuvei'!$E$11:$E$296,'Nuvei'!$G$11:$G$296,$A122)</f>
        <v/>
      </c>
      <c r="D122" s="9">
        <f>SUMIFS('Shift4'!$E$11:$E$116,'Shift4'!$G$11:$G$116,$A122)</f>
        <v/>
      </c>
      <c r="E122" s="9">
        <f>SUMIFS('Paysafe'!$E$11:$E$44,'Paysafe'!$G$11:$G$44,$A122)</f>
        <v/>
      </c>
      <c r="F122" s="10">
        <f>SUM(B122:E122)</f>
        <v/>
      </c>
    </row>
    <row r="123">
      <c r="A123" s="8" t="n">
        <v>46043</v>
      </c>
      <c r="B123" s="9">
        <f>SUMIFS('Adyen'!$E$11:$E$207,'Adyen'!$G$11:$G$207,$A123)</f>
        <v/>
      </c>
      <c r="C123" s="9">
        <f>SUMIFS('Nuvei'!$E$11:$E$296,'Nuvei'!$G$11:$G$296,$A123)</f>
        <v/>
      </c>
      <c r="D123" s="9">
        <f>SUMIFS('Shift4'!$E$11:$E$116,'Shift4'!$G$11:$G$116,$A123)</f>
        <v/>
      </c>
      <c r="E123" s="9">
        <f>SUMIFS('Paysafe'!$E$11:$E$44,'Paysafe'!$G$11:$G$44,$A123)</f>
        <v/>
      </c>
      <c r="F123" s="10">
        <f>SUM(B123:E123)</f>
        <v/>
      </c>
    </row>
    <row r="124">
      <c r="A124" s="8" t="n">
        <v>46044</v>
      </c>
      <c r="B124" s="9">
        <f>SUMIFS('Adyen'!$E$11:$E$207,'Adyen'!$G$11:$G$207,$A124)</f>
        <v/>
      </c>
      <c r="C124" s="9">
        <f>SUMIFS('Nuvei'!$E$11:$E$296,'Nuvei'!$G$11:$G$296,$A124)</f>
        <v/>
      </c>
      <c r="D124" s="9">
        <f>SUMIFS('Shift4'!$E$11:$E$116,'Shift4'!$G$11:$G$116,$A124)</f>
        <v/>
      </c>
      <c r="E124" s="9">
        <f>SUMIFS('Paysafe'!$E$11:$E$44,'Paysafe'!$G$11:$G$44,$A124)</f>
        <v/>
      </c>
      <c r="F124" s="10">
        <f>SUM(B124:E124)</f>
        <v/>
      </c>
    </row>
    <row r="125">
      <c r="A125" s="8" t="n">
        <v>46045</v>
      </c>
      <c r="B125" s="9">
        <f>SUMIFS('Adyen'!$E$11:$E$207,'Adyen'!$G$11:$G$207,$A125)</f>
        <v/>
      </c>
      <c r="C125" s="9">
        <f>SUMIFS('Nuvei'!$E$11:$E$296,'Nuvei'!$G$11:$G$296,$A125)</f>
        <v/>
      </c>
      <c r="D125" s="9">
        <f>SUMIFS('Shift4'!$E$11:$E$116,'Shift4'!$G$11:$G$116,$A125)</f>
        <v/>
      </c>
      <c r="E125" s="9">
        <f>SUMIFS('Paysafe'!$E$11:$E$44,'Paysafe'!$G$11:$G$44,$A125)</f>
        <v/>
      </c>
      <c r="F125" s="10">
        <f>SUM(B125:E125)</f>
        <v/>
      </c>
    </row>
    <row r="126">
      <c r="A126" s="8" t="n">
        <v>46046</v>
      </c>
      <c r="B126" s="9">
        <f>SUMIFS('Adyen'!$E$11:$E$207,'Adyen'!$G$11:$G$207,$A126)</f>
        <v/>
      </c>
      <c r="C126" s="9">
        <f>SUMIFS('Nuvei'!$E$11:$E$296,'Nuvei'!$G$11:$G$296,$A126)</f>
        <v/>
      </c>
      <c r="D126" s="9">
        <f>SUMIFS('Shift4'!$E$11:$E$116,'Shift4'!$G$11:$G$116,$A126)</f>
        <v/>
      </c>
      <c r="E126" s="9">
        <f>SUMIFS('Paysafe'!$E$11:$E$44,'Paysafe'!$G$11:$G$44,$A126)</f>
        <v/>
      </c>
      <c r="F126" s="10">
        <f>SUM(B126:E126)</f>
        <v/>
      </c>
    </row>
    <row r="127">
      <c r="A127" s="8" t="n">
        <v>46047</v>
      </c>
      <c r="B127" s="9">
        <f>SUMIFS('Adyen'!$E$11:$E$207,'Adyen'!$G$11:$G$207,$A127)</f>
        <v/>
      </c>
      <c r="C127" s="9">
        <f>SUMIFS('Nuvei'!$E$11:$E$296,'Nuvei'!$G$11:$G$296,$A127)</f>
        <v/>
      </c>
      <c r="D127" s="9">
        <f>SUMIFS('Shift4'!$E$11:$E$116,'Shift4'!$G$11:$G$116,$A127)</f>
        <v/>
      </c>
      <c r="E127" s="9">
        <f>SUMIFS('Paysafe'!$E$11:$E$44,'Paysafe'!$G$11:$G$44,$A127)</f>
        <v/>
      </c>
      <c r="F127" s="10">
        <f>SUM(B127:E127)</f>
        <v/>
      </c>
    </row>
    <row r="128">
      <c r="A128" s="8" t="n">
        <v>46048</v>
      </c>
      <c r="B128" s="9">
        <f>SUMIFS('Adyen'!$E$11:$E$207,'Adyen'!$G$11:$G$207,$A128)</f>
        <v/>
      </c>
      <c r="C128" s="9">
        <f>SUMIFS('Nuvei'!$E$11:$E$296,'Nuvei'!$G$11:$G$296,$A128)</f>
        <v/>
      </c>
      <c r="D128" s="9">
        <f>SUMIFS('Shift4'!$E$11:$E$116,'Shift4'!$G$11:$G$116,$A128)</f>
        <v/>
      </c>
      <c r="E128" s="9">
        <f>SUMIFS('Paysafe'!$E$11:$E$44,'Paysafe'!$G$11:$G$44,$A128)</f>
        <v/>
      </c>
      <c r="F128" s="10">
        <f>SUM(B128:E128)</f>
        <v/>
      </c>
    </row>
    <row r="129">
      <c r="A129" s="8" t="n">
        <v>46049</v>
      </c>
      <c r="B129" s="9">
        <f>SUMIFS('Adyen'!$E$11:$E$207,'Adyen'!$G$11:$G$207,$A129)</f>
        <v/>
      </c>
      <c r="C129" s="9">
        <f>SUMIFS('Nuvei'!$E$11:$E$296,'Nuvei'!$G$11:$G$296,$A129)</f>
        <v/>
      </c>
      <c r="D129" s="9">
        <f>SUMIFS('Shift4'!$E$11:$E$116,'Shift4'!$G$11:$G$116,$A129)</f>
        <v/>
      </c>
      <c r="E129" s="9">
        <f>SUMIFS('Paysafe'!$E$11:$E$44,'Paysafe'!$G$11:$G$44,$A129)</f>
        <v/>
      </c>
      <c r="F129" s="10">
        <f>SUM(B129:E129)</f>
        <v/>
      </c>
    </row>
    <row r="130">
      <c r="A130" s="8" t="n">
        <v>46050</v>
      </c>
      <c r="B130" s="9">
        <f>SUMIFS('Adyen'!$E$11:$E$207,'Adyen'!$G$11:$G$207,$A130)</f>
        <v/>
      </c>
      <c r="C130" s="9">
        <f>SUMIFS('Nuvei'!$E$11:$E$296,'Nuvei'!$G$11:$G$296,$A130)</f>
        <v/>
      </c>
      <c r="D130" s="9">
        <f>SUMIFS('Shift4'!$E$11:$E$116,'Shift4'!$G$11:$G$116,$A130)</f>
        <v/>
      </c>
      <c r="E130" s="9">
        <f>SUMIFS('Paysafe'!$E$11:$E$44,'Paysafe'!$G$11:$G$44,$A130)</f>
        <v/>
      </c>
      <c r="F130" s="10">
        <f>SUM(B130:E130)</f>
        <v/>
      </c>
    </row>
    <row r="131">
      <c r="A131" s="8" t="n">
        <v>46051</v>
      </c>
      <c r="B131" s="9">
        <f>SUMIFS('Adyen'!$E$11:$E$207,'Adyen'!$G$11:$G$207,$A131)</f>
        <v/>
      </c>
      <c r="C131" s="9">
        <f>SUMIFS('Nuvei'!$E$11:$E$296,'Nuvei'!$G$11:$G$296,$A131)</f>
        <v/>
      </c>
      <c r="D131" s="9">
        <f>SUMIFS('Shift4'!$E$11:$E$116,'Shift4'!$G$11:$G$116,$A131)</f>
        <v/>
      </c>
      <c r="E131" s="9">
        <f>SUMIFS('Paysafe'!$E$11:$E$44,'Paysafe'!$G$11:$G$44,$A131)</f>
        <v/>
      </c>
      <c r="F131" s="10">
        <f>SUM(B131:E131)</f>
        <v/>
      </c>
    </row>
    <row r="132">
      <c r="A132" s="8" t="n">
        <v>46052</v>
      </c>
      <c r="B132" s="9">
        <f>SUMIFS('Adyen'!$E$11:$E$207,'Adyen'!$G$11:$G$207,$A132)</f>
        <v/>
      </c>
      <c r="C132" s="9">
        <f>SUMIFS('Nuvei'!$E$11:$E$296,'Nuvei'!$G$11:$G$296,$A132)</f>
        <v/>
      </c>
      <c r="D132" s="9">
        <f>SUMIFS('Shift4'!$E$11:$E$116,'Shift4'!$G$11:$G$116,$A132)</f>
        <v/>
      </c>
      <c r="E132" s="9">
        <f>SUMIFS('Paysafe'!$E$11:$E$44,'Paysafe'!$G$11:$G$44,$A132)</f>
        <v/>
      </c>
      <c r="F132" s="10">
        <f>SUM(B132:E132)</f>
        <v/>
      </c>
    </row>
    <row r="133">
      <c r="A133" s="8" t="n">
        <v>46053</v>
      </c>
      <c r="B133" s="9">
        <f>SUMIFS('Adyen'!$E$11:$E$207,'Adyen'!$G$11:$G$207,$A133)</f>
        <v/>
      </c>
      <c r="C133" s="9">
        <f>SUMIFS('Nuvei'!$E$11:$E$296,'Nuvei'!$G$11:$G$296,$A133)</f>
        <v/>
      </c>
      <c r="D133" s="9">
        <f>SUMIFS('Shift4'!$E$11:$E$116,'Shift4'!$G$11:$G$116,$A133)</f>
        <v/>
      </c>
      <c r="E133" s="9">
        <f>SUMIFS('Paysafe'!$E$11:$E$44,'Paysafe'!$G$11:$G$44,$A133)</f>
        <v/>
      </c>
      <c r="F133" s="10">
        <f>SUM(B133:E133)</f>
        <v/>
      </c>
    </row>
    <row r="134">
      <c r="A134" s="8" t="n">
        <v>46054</v>
      </c>
      <c r="B134" s="9">
        <f>SUMIFS('Adyen'!$E$11:$E$207,'Adyen'!$G$11:$G$207,$A134)</f>
        <v/>
      </c>
      <c r="C134" s="9">
        <f>SUMIFS('Nuvei'!$E$11:$E$296,'Nuvei'!$G$11:$G$296,$A134)</f>
        <v/>
      </c>
      <c r="D134" s="9">
        <f>SUMIFS('Shift4'!$E$11:$E$116,'Shift4'!$G$11:$G$116,$A134)</f>
        <v/>
      </c>
      <c r="E134" s="9">
        <f>SUMIFS('Paysafe'!$E$11:$E$44,'Paysafe'!$G$11:$G$44,$A134)</f>
        <v/>
      </c>
      <c r="F134" s="10">
        <f>SUM(B134:E134)</f>
        <v/>
      </c>
    </row>
    <row r="135">
      <c r="A135" s="8" t="n">
        <v>46055</v>
      </c>
      <c r="B135" s="9">
        <f>SUMIFS('Adyen'!$E$11:$E$207,'Adyen'!$G$11:$G$207,$A135)</f>
        <v/>
      </c>
      <c r="C135" s="9">
        <f>SUMIFS('Nuvei'!$E$11:$E$296,'Nuvei'!$G$11:$G$296,$A135)</f>
        <v/>
      </c>
      <c r="D135" s="9">
        <f>SUMIFS('Shift4'!$E$11:$E$116,'Shift4'!$G$11:$G$116,$A135)</f>
        <v/>
      </c>
      <c r="E135" s="9">
        <f>SUMIFS('Paysafe'!$E$11:$E$44,'Paysafe'!$G$11:$G$44,$A135)</f>
        <v/>
      </c>
      <c r="F135" s="10">
        <f>SUM(B135:E135)</f>
        <v/>
      </c>
    </row>
    <row r="136">
      <c r="A136" s="8" t="n">
        <v>46056</v>
      </c>
      <c r="B136" s="9">
        <f>SUMIFS('Adyen'!$E$11:$E$207,'Adyen'!$G$11:$G$207,$A136)</f>
        <v/>
      </c>
      <c r="C136" s="9">
        <f>SUMIFS('Nuvei'!$E$11:$E$296,'Nuvei'!$G$11:$G$296,$A136)</f>
        <v/>
      </c>
      <c r="D136" s="9">
        <f>SUMIFS('Shift4'!$E$11:$E$116,'Shift4'!$G$11:$G$116,$A136)</f>
        <v/>
      </c>
      <c r="E136" s="9">
        <f>SUMIFS('Paysafe'!$E$11:$E$44,'Paysafe'!$G$11:$G$44,$A136)</f>
        <v/>
      </c>
      <c r="F136" s="10">
        <f>SUM(B136:E136)</f>
        <v/>
      </c>
    </row>
    <row r="137">
      <c r="A137" s="8" t="n">
        <v>46057</v>
      </c>
      <c r="B137" s="9">
        <f>SUMIFS('Adyen'!$E$11:$E$207,'Adyen'!$G$11:$G$207,$A137)</f>
        <v/>
      </c>
      <c r="C137" s="9">
        <f>SUMIFS('Nuvei'!$E$11:$E$296,'Nuvei'!$G$11:$G$296,$A137)</f>
        <v/>
      </c>
      <c r="D137" s="9">
        <f>SUMIFS('Shift4'!$E$11:$E$116,'Shift4'!$G$11:$G$116,$A137)</f>
        <v/>
      </c>
      <c r="E137" s="9">
        <f>SUMIFS('Paysafe'!$E$11:$E$44,'Paysafe'!$G$11:$G$44,$A137)</f>
        <v/>
      </c>
      <c r="F137" s="10">
        <f>SUM(B137:E137)</f>
        <v/>
      </c>
    </row>
    <row r="138">
      <c r="A138" s="8" t="n">
        <v>46058</v>
      </c>
      <c r="B138" s="9">
        <f>SUMIFS('Adyen'!$E$11:$E$207,'Adyen'!$G$11:$G$207,$A138)</f>
        <v/>
      </c>
      <c r="C138" s="9">
        <f>SUMIFS('Nuvei'!$E$11:$E$296,'Nuvei'!$G$11:$G$296,$A138)</f>
        <v/>
      </c>
      <c r="D138" s="9">
        <f>SUMIFS('Shift4'!$E$11:$E$116,'Shift4'!$G$11:$G$116,$A138)</f>
        <v/>
      </c>
      <c r="E138" s="9">
        <f>SUMIFS('Paysafe'!$E$11:$E$44,'Paysafe'!$G$11:$G$44,$A138)</f>
        <v/>
      </c>
      <c r="F138" s="10">
        <f>SUM(B138:E138)</f>
        <v/>
      </c>
    </row>
    <row r="139">
      <c r="A139" s="8" t="n">
        <v>46059</v>
      </c>
      <c r="B139" s="9">
        <f>SUMIFS('Adyen'!$E$11:$E$207,'Adyen'!$G$11:$G$207,$A139)</f>
        <v/>
      </c>
      <c r="C139" s="9">
        <f>SUMIFS('Nuvei'!$E$11:$E$296,'Nuvei'!$G$11:$G$296,$A139)</f>
        <v/>
      </c>
      <c r="D139" s="9">
        <f>SUMIFS('Shift4'!$E$11:$E$116,'Shift4'!$G$11:$G$116,$A139)</f>
        <v/>
      </c>
      <c r="E139" s="9">
        <f>SUMIFS('Paysafe'!$E$11:$E$44,'Paysafe'!$G$11:$G$44,$A139)</f>
        <v/>
      </c>
      <c r="F139" s="10">
        <f>SUM(B139:E139)</f>
        <v/>
      </c>
    </row>
    <row r="140">
      <c r="A140" s="8" t="n">
        <v>46060</v>
      </c>
      <c r="B140" s="9">
        <f>SUMIFS('Adyen'!$E$11:$E$207,'Adyen'!$G$11:$G$207,$A140)</f>
        <v/>
      </c>
      <c r="C140" s="9">
        <f>SUMIFS('Nuvei'!$E$11:$E$296,'Nuvei'!$G$11:$G$296,$A140)</f>
        <v/>
      </c>
      <c r="D140" s="9">
        <f>SUMIFS('Shift4'!$E$11:$E$116,'Shift4'!$G$11:$G$116,$A140)</f>
        <v/>
      </c>
      <c r="E140" s="9">
        <f>SUMIFS('Paysafe'!$E$11:$E$44,'Paysafe'!$G$11:$G$44,$A140)</f>
        <v/>
      </c>
      <c r="F140" s="10">
        <f>SUM(B140:E140)</f>
        <v/>
      </c>
    </row>
    <row r="141">
      <c r="A141" s="8" t="n">
        <v>46061</v>
      </c>
      <c r="B141" s="9">
        <f>SUMIFS('Adyen'!$E$11:$E$207,'Adyen'!$G$11:$G$207,$A141)</f>
        <v/>
      </c>
      <c r="C141" s="9">
        <f>SUMIFS('Nuvei'!$E$11:$E$296,'Nuvei'!$G$11:$G$296,$A141)</f>
        <v/>
      </c>
      <c r="D141" s="9">
        <f>SUMIFS('Shift4'!$E$11:$E$116,'Shift4'!$G$11:$G$116,$A141)</f>
        <v/>
      </c>
      <c r="E141" s="9">
        <f>SUMIFS('Paysafe'!$E$11:$E$44,'Paysafe'!$G$11:$G$44,$A141)</f>
        <v/>
      </c>
      <c r="F141" s="10">
        <f>SUM(B141:E141)</f>
        <v/>
      </c>
    </row>
    <row r="142">
      <c r="A142" s="8" t="n">
        <v>46062</v>
      </c>
      <c r="B142" s="9">
        <f>SUMIFS('Adyen'!$E$11:$E$207,'Adyen'!$G$11:$G$207,$A142)</f>
        <v/>
      </c>
      <c r="C142" s="9">
        <f>SUMIFS('Nuvei'!$E$11:$E$296,'Nuvei'!$G$11:$G$296,$A142)</f>
        <v/>
      </c>
      <c r="D142" s="9">
        <f>SUMIFS('Shift4'!$E$11:$E$116,'Shift4'!$G$11:$G$116,$A142)</f>
        <v/>
      </c>
      <c r="E142" s="9">
        <f>SUMIFS('Paysafe'!$E$11:$E$44,'Paysafe'!$G$11:$G$44,$A142)</f>
        <v/>
      </c>
      <c r="F142" s="10">
        <f>SUM(B142:E142)</f>
        <v/>
      </c>
    </row>
    <row r="143">
      <c r="A143" s="8" t="n">
        <v>46063</v>
      </c>
      <c r="B143" s="9">
        <f>SUMIFS('Adyen'!$E$11:$E$207,'Adyen'!$G$11:$G$207,$A143)</f>
        <v/>
      </c>
      <c r="C143" s="9">
        <f>SUMIFS('Nuvei'!$E$11:$E$296,'Nuvei'!$G$11:$G$296,$A143)</f>
        <v/>
      </c>
      <c r="D143" s="9">
        <f>SUMIFS('Shift4'!$E$11:$E$116,'Shift4'!$G$11:$G$116,$A143)</f>
        <v/>
      </c>
      <c r="E143" s="9">
        <f>SUMIFS('Paysafe'!$E$11:$E$44,'Paysafe'!$G$11:$G$44,$A143)</f>
        <v/>
      </c>
      <c r="F143" s="10">
        <f>SUM(B143:E143)</f>
        <v/>
      </c>
    </row>
    <row r="144">
      <c r="A144" s="8" t="n">
        <v>46064</v>
      </c>
      <c r="B144" s="9">
        <f>SUMIFS('Adyen'!$E$11:$E$207,'Adyen'!$G$11:$G$207,$A144)</f>
        <v/>
      </c>
      <c r="C144" s="9">
        <f>SUMIFS('Nuvei'!$E$11:$E$296,'Nuvei'!$G$11:$G$296,$A144)</f>
        <v/>
      </c>
      <c r="D144" s="9">
        <f>SUMIFS('Shift4'!$E$11:$E$116,'Shift4'!$G$11:$G$116,$A144)</f>
        <v/>
      </c>
      <c r="E144" s="9">
        <f>SUMIFS('Paysafe'!$E$11:$E$44,'Paysafe'!$G$11:$G$44,$A144)</f>
        <v/>
      </c>
      <c r="F144" s="10">
        <f>SUM(B144:E144)</f>
        <v/>
      </c>
    </row>
    <row r="145">
      <c r="A145" s="8" t="n">
        <v>46065</v>
      </c>
      <c r="B145" s="9">
        <f>SUMIFS('Adyen'!$E$11:$E$207,'Adyen'!$G$11:$G$207,$A145)</f>
        <v/>
      </c>
      <c r="C145" s="9">
        <f>SUMIFS('Nuvei'!$E$11:$E$296,'Nuvei'!$G$11:$G$296,$A145)</f>
        <v/>
      </c>
      <c r="D145" s="9">
        <f>SUMIFS('Shift4'!$E$11:$E$116,'Shift4'!$G$11:$G$116,$A145)</f>
        <v/>
      </c>
      <c r="E145" s="9">
        <f>SUMIFS('Paysafe'!$E$11:$E$44,'Paysafe'!$G$11:$G$44,$A145)</f>
        <v/>
      </c>
      <c r="F145" s="10">
        <f>SUM(B145:E145)</f>
        <v/>
      </c>
    </row>
    <row r="146">
      <c r="A146" s="8" t="n">
        <v>46066</v>
      </c>
      <c r="B146" s="9">
        <f>SUMIFS('Adyen'!$E$11:$E$207,'Adyen'!$G$11:$G$207,$A146)</f>
        <v/>
      </c>
      <c r="C146" s="9">
        <f>SUMIFS('Nuvei'!$E$11:$E$296,'Nuvei'!$G$11:$G$296,$A146)</f>
        <v/>
      </c>
      <c r="D146" s="9">
        <f>SUMIFS('Shift4'!$E$11:$E$116,'Shift4'!$G$11:$G$116,$A146)</f>
        <v/>
      </c>
      <c r="E146" s="9">
        <f>SUMIFS('Paysafe'!$E$11:$E$44,'Paysafe'!$G$11:$G$44,$A146)</f>
        <v/>
      </c>
      <c r="F146" s="10">
        <f>SUM(B146:E146)</f>
        <v/>
      </c>
    </row>
    <row r="147">
      <c r="A147" s="8" t="n">
        <v>46067</v>
      </c>
      <c r="B147" s="9">
        <f>SUMIFS('Adyen'!$E$11:$E$207,'Adyen'!$G$11:$G$207,$A147)</f>
        <v/>
      </c>
      <c r="C147" s="9">
        <f>SUMIFS('Nuvei'!$E$11:$E$296,'Nuvei'!$G$11:$G$296,$A147)</f>
        <v/>
      </c>
      <c r="D147" s="9">
        <f>SUMIFS('Shift4'!$E$11:$E$116,'Shift4'!$G$11:$G$116,$A147)</f>
        <v/>
      </c>
      <c r="E147" s="9">
        <f>SUMIFS('Paysafe'!$E$11:$E$44,'Paysafe'!$G$11:$G$44,$A147)</f>
        <v/>
      </c>
      <c r="F147" s="10">
        <f>SUM(B147:E147)</f>
        <v/>
      </c>
    </row>
    <row r="148">
      <c r="A148" s="8" t="n">
        <v>46068</v>
      </c>
      <c r="B148" s="9">
        <f>SUMIFS('Adyen'!$E$11:$E$207,'Adyen'!$G$11:$G$207,$A148)</f>
        <v/>
      </c>
      <c r="C148" s="9">
        <f>SUMIFS('Nuvei'!$E$11:$E$296,'Nuvei'!$G$11:$G$296,$A148)</f>
        <v/>
      </c>
      <c r="D148" s="9">
        <f>SUMIFS('Shift4'!$E$11:$E$116,'Shift4'!$G$11:$G$116,$A148)</f>
        <v/>
      </c>
      <c r="E148" s="9">
        <f>SUMIFS('Paysafe'!$E$11:$E$44,'Paysafe'!$G$11:$G$44,$A148)</f>
        <v/>
      </c>
      <c r="F148" s="10">
        <f>SUM(B148:E148)</f>
        <v/>
      </c>
    </row>
    <row r="149">
      <c r="A149" s="8" t="n">
        <v>46069</v>
      </c>
      <c r="B149" s="9">
        <f>SUMIFS('Adyen'!$E$11:$E$207,'Adyen'!$G$11:$G$207,$A149)</f>
        <v/>
      </c>
      <c r="C149" s="9">
        <f>SUMIFS('Nuvei'!$E$11:$E$296,'Nuvei'!$G$11:$G$296,$A149)</f>
        <v/>
      </c>
      <c r="D149" s="9">
        <f>SUMIFS('Shift4'!$E$11:$E$116,'Shift4'!$G$11:$G$116,$A149)</f>
        <v/>
      </c>
      <c r="E149" s="9">
        <f>SUMIFS('Paysafe'!$E$11:$E$44,'Paysafe'!$G$11:$G$44,$A149)</f>
        <v/>
      </c>
      <c r="F149" s="10">
        <f>SUM(B149:E149)</f>
        <v/>
      </c>
    </row>
    <row r="150">
      <c r="A150" s="8" t="n">
        <v>46070</v>
      </c>
      <c r="B150" s="9">
        <f>SUMIFS('Adyen'!$E$11:$E$207,'Adyen'!$G$11:$G$207,$A150)</f>
        <v/>
      </c>
      <c r="C150" s="9">
        <f>SUMIFS('Nuvei'!$E$11:$E$296,'Nuvei'!$G$11:$G$296,$A150)</f>
        <v/>
      </c>
      <c r="D150" s="9">
        <f>SUMIFS('Shift4'!$E$11:$E$116,'Shift4'!$G$11:$G$116,$A150)</f>
        <v/>
      </c>
      <c r="E150" s="9">
        <f>SUMIFS('Paysafe'!$E$11:$E$44,'Paysafe'!$G$11:$G$44,$A150)</f>
        <v/>
      </c>
      <c r="F150" s="10">
        <f>SUM(B150:E150)</f>
        <v/>
      </c>
    </row>
    <row r="151">
      <c r="A151" s="8" t="n">
        <v>46071</v>
      </c>
      <c r="B151" s="9">
        <f>SUMIFS('Adyen'!$E$11:$E$207,'Adyen'!$G$11:$G$207,$A151)</f>
        <v/>
      </c>
      <c r="C151" s="9">
        <f>SUMIFS('Nuvei'!$E$11:$E$296,'Nuvei'!$G$11:$G$296,$A151)</f>
        <v/>
      </c>
      <c r="D151" s="9">
        <f>SUMIFS('Shift4'!$E$11:$E$116,'Shift4'!$G$11:$G$116,$A151)</f>
        <v/>
      </c>
      <c r="E151" s="9">
        <f>SUMIFS('Paysafe'!$E$11:$E$44,'Paysafe'!$G$11:$G$44,$A151)</f>
        <v/>
      </c>
      <c r="F151" s="10">
        <f>SUM(B151:E151)</f>
        <v/>
      </c>
    </row>
    <row r="152">
      <c r="A152" s="8" t="n">
        <v>46072</v>
      </c>
      <c r="B152" s="9">
        <f>SUMIFS('Adyen'!$E$11:$E$207,'Adyen'!$G$11:$G$207,$A152)</f>
        <v/>
      </c>
      <c r="C152" s="9">
        <f>SUMIFS('Nuvei'!$E$11:$E$296,'Nuvei'!$G$11:$G$296,$A152)</f>
        <v/>
      </c>
      <c r="D152" s="9">
        <f>SUMIFS('Shift4'!$E$11:$E$116,'Shift4'!$G$11:$G$116,$A152)</f>
        <v/>
      </c>
      <c r="E152" s="9">
        <f>SUMIFS('Paysafe'!$E$11:$E$44,'Paysafe'!$G$11:$G$44,$A152)</f>
        <v/>
      </c>
      <c r="F152" s="10">
        <f>SUM(B152:E152)</f>
        <v/>
      </c>
    </row>
    <row r="153">
      <c r="A153" s="8" t="n">
        <v>46073</v>
      </c>
      <c r="B153" s="9">
        <f>SUMIFS('Adyen'!$E$11:$E$207,'Adyen'!$G$11:$G$207,$A153)</f>
        <v/>
      </c>
      <c r="C153" s="9">
        <f>SUMIFS('Nuvei'!$E$11:$E$296,'Nuvei'!$G$11:$G$296,$A153)</f>
        <v/>
      </c>
      <c r="D153" s="9">
        <f>SUMIFS('Shift4'!$E$11:$E$116,'Shift4'!$G$11:$G$116,$A153)</f>
        <v/>
      </c>
      <c r="E153" s="9">
        <f>SUMIFS('Paysafe'!$E$11:$E$44,'Paysafe'!$G$11:$G$44,$A153)</f>
        <v/>
      </c>
      <c r="F153" s="10">
        <f>SUM(B153:E153)</f>
        <v/>
      </c>
    </row>
    <row r="154">
      <c r="A154" s="8" t="n">
        <v>46074</v>
      </c>
      <c r="B154" s="9">
        <f>SUMIFS('Adyen'!$E$11:$E$207,'Adyen'!$G$11:$G$207,$A154)</f>
        <v/>
      </c>
      <c r="C154" s="9">
        <f>SUMIFS('Nuvei'!$E$11:$E$296,'Nuvei'!$G$11:$G$296,$A154)</f>
        <v/>
      </c>
      <c r="D154" s="9">
        <f>SUMIFS('Shift4'!$E$11:$E$116,'Shift4'!$G$11:$G$116,$A154)</f>
        <v/>
      </c>
      <c r="E154" s="9">
        <f>SUMIFS('Paysafe'!$E$11:$E$44,'Paysafe'!$G$11:$G$44,$A154)</f>
        <v/>
      </c>
      <c r="F154" s="10">
        <f>SUM(B154:E154)</f>
        <v/>
      </c>
    </row>
    <row r="155">
      <c r="A155" s="8" t="n">
        <v>46075</v>
      </c>
      <c r="B155" s="9">
        <f>SUMIFS('Adyen'!$E$11:$E$207,'Adyen'!$G$11:$G$207,$A155)</f>
        <v/>
      </c>
      <c r="C155" s="9">
        <f>SUMIFS('Nuvei'!$E$11:$E$296,'Nuvei'!$G$11:$G$296,$A155)</f>
        <v/>
      </c>
      <c r="D155" s="9">
        <f>SUMIFS('Shift4'!$E$11:$E$116,'Shift4'!$G$11:$G$116,$A155)</f>
        <v/>
      </c>
      <c r="E155" s="9">
        <f>SUMIFS('Paysafe'!$E$11:$E$44,'Paysafe'!$G$11:$G$44,$A155)</f>
        <v/>
      </c>
      <c r="F155" s="10">
        <f>SUM(B155:E155)</f>
        <v/>
      </c>
    </row>
    <row r="156">
      <c r="A156" s="8" t="n">
        <v>46076</v>
      </c>
      <c r="B156" s="9">
        <f>SUMIFS('Adyen'!$E$11:$E$207,'Adyen'!$G$11:$G$207,$A156)</f>
        <v/>
      </c>
      <c r="C156" s="9">
        <f>SUMIFS('Nuvei'!$E$11:$E$296,'Nuvei'!$G$11:$G$296,$A156)</f>
        <v/>
      </c>
      <c r="D156" s="9">
        <f>SUMIFS('Shift4'!$E$11:$E$116,'Shift4'!$G$11:$G$116,$A156)</f>
        <v/>
      </c>
      <c r="E156" s="9">
        <f>SUMIFS('Paysafe'!$E$11:$E$44,'Paysafe'!$G$11:$G$44,$A156)</f>
        <v/>
      </c>
      <c r="F156" s="10">
        <f>SUM(B156:E156)</f>
        <v/>
      </c>
    </row>
    <row r="157">
      <c r="A157" s="8" t="n">
        <v>46077</v>
      </c>
      <c r="B157" s="9">
        <f>SUMIFS('Adyen'!$E$11:$E$207,'Adyen'!$G$11:$G$207,$A157)</f>
        <v/>
      </c>
      <c r="C157" s="9">
        <f>SUMIFS('Nuvei'!$E$11:$E$296,'Nuvei'!$G$11:$G$296,$A157)</f>
        <v/>
      </c>
      <c r="D157" s="9">
        <f>SUMIFS('Shift4'!$E$11:$E$116,'Shift4'!$G$11:$G$116,$A157)</f>
        <v/>
      </c>
      <c r="E157" s="9">
        <f>SUMIFS('Paysafe'!$E$11:$E$44,'Paysafe'!$G$11:$G$44,$A157)</f>
        <v/>
      </c>
      <c r="F157" s="10">
        <f>SUM(B157:E157)</f>
        <v/>
      </c>
    </row>
    <row r="158">
      <c r="A158" s="8" t="n">
        <v>46078</v>
      </c>
      <c r="B158" s="9">
        <f>SUMIFS('Adyen'!$E$11:$E$207,'Adyen'!$G$11:$G$207,$A158)</f>
        <v/>
      </c>
      <c r="C158" s="9">
        <f>SUMIFS('Nuvei'!$E$11:$E$296,'Nuvei'!$G$11:$G$296,$A158)</f>
        <v/>
      </c>
      <c r="D158" s="9">
        <f>SUMIFS('Shift4'!$E$11:$E$116,'Shift4'!$G$11:$G$116,$A158)</f>
        <v/>
      </c>
      <c r="E158" s="9">
        <f>SUMIFS('Paysafe'!$E$11:$E$44,'Paysafe'!$G$11:$G$44,$A158)</f>
        <v/>
      </c>
      <c r="F158" s="10">
        <f>SUM(B158:E158)</f>
        <v/>
      </c>
    </row>
    <row r="159">
      <c r="A159" s="8" t="n">
        <v>46079</v>
      </c>
      <c r="B159" s="9">
        <f>SUMIFS('Adyen'!$E$11:$E$207,'Adyen'!$G$11:$G$207,$A159)</f>
        <v/>
      </c>
      <c r="C159" s="9">
        <f>SUMIFS('Nuvei'!$E$11:$E$296,'Nuvei'!$G$11:$G$296,$A159)</f>
        <v/>
      </c>
      <c r="D159" s="9">
        <f>SUMIFS('Shift4'!$E$11:$E$116,'Shift4'!$G$11:$G$116,$A159)</f>
        <v/>
      </c>
      <c r="E159" s="9">
        <f>SUMIFS('Paysafe'!$E$11:$E$44,'Paysafe'!$G$11:$G$44,$A159)</f>
        <v/>
      </c>
      <c r="F159" s="10">
        <f>SUM(B159:E159)</f>
        <v/>
      </c>
    </row>
    <row r="160">
      <c r="A160" s="8" t="n">
        <v>46080</v>
      </c>
      <c r="B160" s="9">
        <f>SUMIFS('Adyen'!$E$11:$E$207,'Adyen'!$G$11:$G$207,$A160)</f>
        <v/>
      </c>
      <c r="C160" s="9">
        <f>SUMIFS('Nuvei'!$E$11:$E$296,'Nuvei'!$G$11:$G$296,$A160)</f>
        <v/>
      </c>
      <c r="D160" s="9">
        <f>SUMIFS('Shift4'!$E$11:$E$116,'Shift4'!$G$11:$G$116,$A160)</f>
        <v/>
      </c>
      <c r="E160" s="9">
        <f>SUMIFS('Paysafe'!$E$11:$E$44,'Paysafe'!$G$11:$G$44,$A160)</f>
        <v/>
      </c>
      <c r="F160" s="10">
        <f>SUM(B160:E160)</f>
        <v/>
      </c>
    </row>
    <row r="161">
      <c r="A161" s="8" t="n">
        <v>46081</v>
      </c>
      <c r="B161" s="9">
        <f>SUMIFS('Adyen'!$E$11:$E$207,'Adyen'!$G$11:$G$207,$A161)</f>
        <v/>
      </c>
      <c r="C161" s="9">
        <f>SUMIFS('Nuvei'!$E$11:$E$296,'Nuvei'!$G$11:$G$296,$A161)</f>
        <v/>
      </c>
      <c r="D161" s="9">
        <f>SUMIFS('Shift4'!$E$11:$E$116,'Shift4'!$G$11:$G$116,$A161)</f>
        <v/>
      </c>
      <c r="E161" s="9">
        <f>SUMIFS('Paysafe'!$E$11:$E$44,'Paysafe'!$G$11:$G$44,$A161)</f>
        <v/>
      </c>
      <c r="F161" s="10">
        <f>SUM(B161:E161)</f>
        <v/>
      </c>
    </row>
    <row r="162">
      <c r="A162" s="8" t="n">
        <v>46082</v>
      </c>
      <c r="B162" s="9">
        <f>SUMIFS('Adyen'!$E$11:$E$207,'Adyen'!$G$11:$G$207,$A162)</f>
        <v/>
      </c>
      <c r="C162" s="9">
        <f>SUMIFS('Nuvei'!$E$11:$E$296,'Nuvei'!$G$11:$G$296,$A162)</f>
        <v/>
      </c>
      <c r="D162" s="9">
        <f>SUMIFS('Shift4'!$E$11:$E$116,'Shift4'!$G$11:$G$116,$A162)</f>
        <v/>
      </c>
      <c r="E162" s="9">
        <f>SUMIFS('Paysafe'!$E$11:$E$44,'Paysafe'!$G$11:$G$44,$A162)</f>
        <v/>
      </c>
      <c r="F162" s="10">
        <f>SUM(B162:E162)</f>
        <v/>
      </c>
    </row>
    <row r="163">
      <c r="A163" s="8" t="n">
        <v>46083</v>
      </c>
      <c r="B163" s="9">
        <f>SUMIFS('Adyen'!$E$11:$E$207,'Adyen'!$G$11:$G$207,$A163)</f>
        <v/>
      </c>
      <c r="C163" s="9">
        <f>SUMIFS('Nuvei'!$E$11:$E$296,'Nuvei'!$G$11:$G$296,$A163)</f>
        <v/>
      </c>
      <c r="D163" s="9">
        <f>SUMIFS('Shift4'!$E$11:$E$116,'Shift4'!$G$11:$G$116,$A163)</f>
        <v/>
      </c>
      <c r="E163" s="9">
        <f>SUMIFS('Paysafe'!$E$11:$E$44,'Paysafe'!$G$11:$G$44,$A163)</f>
        <v/>
      </c>
      <c r="F163" s="10">
        <f>SUM(B163:E163)</f>
        <v/>
      </c>
    </row>
    <row r="164">
      <c r="A164" s="8" t="n">
        <v>46084</v>
      </c>
      <c r="B164" s="9">
        <f>SUMIFS('Adyen'!$E$11:$E$207,'Adyen'!$G$11:$G$207,$A164)</f>
        <v/>
      </c>
      <c r="C164" s="9">
        <f>SUMIFS('Nuvei'!$E$11:$E$296,'Nuvei'!$G$11:$G$296,$A164)</f>
        <v/>
      </c>
      <c r="D164" s="9">
        <f>SUMIFS('Shift4'!$E$11:$E$116,'Shift4'!$G$11:$G$116,$A164)</f>
        <v/>
      </c>
      <c r="E164" s="9">
        <f>SUMIFS('Paysafe'!$E$11:$E$44,'Paysafe'!$G$11:$G$44,$A164)</f>
        <v/>
      </c>
      <c r="F164" s="10">
        <f>SUM(B164:E164)</f>
        <v/>
      </c>
    </row>
    <row r="165">
      <c r="A165" s="8" t="n">
        <v>46085</v>
      </c>
      <c r="B165" s="9">
        <f>SUMIFS('Adyen'!$E$11:$E$207,'Adyen'!$G$11:$G$207,$A165)</f>
        <v/>
      </c>
      <c r="C165" s="9">
        <f>SUMIFS('Nuvei'!$E$11:$E$296,'Nuvei'!$G$11:$G$296,$A165)</f>
        <v/>
      </c>
      <c r="D165" s="9">
        <f>SUMIFS('Shift4'!$E$11:$E$116,'Shift4'!$G$11:$G$116,$A165)</f>
        <v/>
      </c>
      <c r="E165" s="9">
        <f>SUMIFS('Paysafe'!$E$11:$E$44,'Paysafe'!$G$11:$G$44,$A165)</f>
        <v/>
      </c>
      <c r="F165" s="10">
        <f>SUM(B165:E165)</f>
        <v/>
      </c>
    </row>
    <row r="166">
      <c r="A166" s="8" t="n">
        <v>46086</v>
      </c>
      <c r="B166" s="9">
        <f>SUMIFS('Adyen'!$E$11:$E$207,'Adyen'!$G$11:$G$207,$A166)</f>
        <v/>
      </c>
      <c r="C166" s="9">
        <f>SUMIFS('Nuvei'!$E$11:$E$296,'Nuvei'!$G$11:$G$296,$A166)</f>
        <v/>
      </c>
      <c r="D166" s="9">
        <f>SUMIFS('Shift4'!$E$11:$E$116,'Shift4'!$G$11:$G$116,$A166)</f>
        <v/>
      </c>
      <c r="E166" s="9">
        <f>SUMIFS('Paysafe'!$E$11:$E$44,'Paysafe'!$G$11:$G$44,$A166)</f>
        <v/>
      </c>
      <c r="F166" s="10">
        <f>SUM(B166:E166)</f>
        <v/>
      </c>
    </row>
    <row r="167">
      <c r="A167" s="8" t="n">
        <v>46087</v>
      </c>
      <c r="B167" s="9">
        <f>SUMIFS('Adyen'!$E$11:$E$207,'Adyen'!$G$11:$G$207,$A167)</f>
        <v/>
      </c>
      <c r="C167" s="9">
        <f>SUMIFS('Nuvei'!$E$11:$E$296,'Nuvei'!$G$11:$G$296,$A167)</f>
        <v/>
      </c>
      <c r="D167" s="9">
        <f>SUMIFS('Shift4'!$E$11:$E$116,'Shift4'!$G$11:$G$116,$A167)</f>
        <v/>
      </c>
      <c r="E167" s="9">
        <f>SUMIFS('Paysafe'!$E$11:$E$44,'Paysafe'!$G$11:$G$44,$A167)</f>
        <v/>
      </c>
      <c r="F167" s="10">
        <f>SUM(B167:E167)</f>
        <v/>
      </c>
    </row>
    <row r="168">
      <c r="A168" s="8" t="n">
        <v>46088</v>
      </c>
      <c r="B168" s="9">
        <f>SUMIFS('Adyen'!$E$11:$E$207,'Adyen'!$G$11:$G$207,$A168)</f>
        <v/>
      </c>
      <c r="C168" s="9">
        <f>SUMIFS('Nuvei'!$E$11:$E$296,'Nuvei'!$G$11:$G$296,$A168)</f>
        <v/>
      </c>
      <c r="D168" s="9">
        <f>SUMIFS('Shift4'!$E$11:$E$116,'Shift4'!$G$11:$G$116,$A168)</f>
        <v/>
      </c>
      <c r="E168" s="9">
        <f>SUMIFS('Paysafe'!$E$11:$E$44,'Paysafe'!$G$11:$G$44,$A168)</f>
        <v/>
      </c>
      <c r="F168" s="10">
        <f>SUM(B168:E168)</f>
        <v/>
      </c>
    </row>
    <row r="169">
      <c r="A169" s="8" t="n">
        <v>46089</v>
      </c>
      <c r="B169" s="9">
        <f>SUMIFS('Adyen'!$E$11:$E$207,'Adyen'!$G$11:$G$207,$A169)</f>
        <v/>
      </c>
      <c r="C169" s="9">
        <f>SUMIFS('Nuvei'!$E$11:$E$296,'Nuvei'!$G$11:$G$296,$A169)</f>
        <v/>
      </c>
      <c r="D169" s="9">
        <f>SUMIFS('Shift4'!$E$11:$E$116,'Shift4'!$G$11:$G$116,$A169)</f>
        <v/>
      </c>
      <c r="E169" s="9">
        <f>SUMIFS('Paysafe'!$E$11:$E$44,'Paysafe'!$G$11:$G$44,$A169)</f>
        <v/>
      </c>
      <c r="F169" s="10">
        <f>SUM(B169:E169)</f>
        <v/>
      </c>
    </row>
    <row r="170">
      <c r="A170" s="8" t="n">
        <v>46090</v>
      </c>
      <c r="B170" s="9">
        <f>SUMIFS('Adyen'!$E$11:$E$207,'Adyen'!$G$11:$G$207,$A170)</f>
        <v/>
      </c>
      <c r="C170" s="9">
        <f>SUMIFS('Nuvei'!$E$11:$E$296,'Nuvei'!$G$11:$G$296,$A170)</f>
        <v/>
      </c>
      <c r="D170" s="9">
        <f>SUMIFS('Shift4'!$E$11:$E$116,'Shift4'!$G$11:$G$116,$A170)</f>
        <v/>
      </c>
      <c r="E170" s="9">
        <f>SUMIFS('Paysafe'!$E$11:$E$44,'Paysafe'!$G$11:$G$44,$A170)</f>
        <v/>
      </c>
      <c r="F170" s="10">
        <f>SUM(B170:E170)</f>
        <v/>
      </c>
    </row>
    <row r="171">
      <c r="A171" s="8" t="n">
        <v>46091</v>
      </c>
      <c r="B171" s="9">
        <f>SUMIFS('Adyen'!$E$11:$E$207,'Adyen'!$G$11:$G$207,$A171)</f>
        <v/>
      </c>
      <c r="C171" s="9">
        <f>SUMIFS('Nuvei'!$E$11:$E$296,'Nuvei'!$G$11:$G$296,$A171)</f>
        <v/>
      </c>
      <c r="D171" s="9">
        <f>SUMIFS('Shift4'!$E$11:$E$116,'Shift4'!$G$11:$G$116,$A171)</f>
        <v/>
      </c>
      <c r="E171" s="9">
        <f>SUMIFS('Paysafe'!$E$11:$E$44,'Paysafe'!$G$11:$G$44,$A171)</f>
        <v/>
      </c>
      <c r="F171" s="10">
        <f>SUM(B171:E171)</f>
        <v/>
      </c>
    </row>
    <row r="172">
      <c r="A172" s="8" t="n">
        <v>46092</v>
      </c>
      <c r="B172" s="9">
        <f>SUMIFS('Adyen'!$E$11:$E$207,'Adyen'!$G$11:$G$207,$A172)</f>
        <v/>
      </c>
      <c r="C172" s="9">
        <f>SUMIFS('Nuvei'!$E$11:$E$296,'Nuvei'!$G$11:$G$296,$A172)</f>
        <v/>
      </c>
      <c r="D172" s="9">
        <f>SUMIFS('Shift4'!$E$11:$E$116,'Shift4'!$G$11:$G$116,$A172)</f>
        <v/>
      </c>
      <c r="E172" s="9">
        <f>SUMIFS('Paysafe'!$E$11:$E$44,'Paysafe'!$G$11:$G$44,$A172)</f>
        <v/>
      </c>
      <c r="F172" s="10">
        <f>SUM(B172:E172)</f>
        <v/>
      </c>
    </row>
    <row r="173">
      <c r="A173" s="8" t="n">
        <v>46093</v>
      </c>
      <c r="B173" s="9">
        <f>SUMIFS('Adyen'!$E$11:$E$207,'Adyen'!$G$11:$G$207,$A173)</f>
        <v/>
      </c>
      <c r="C173" s="9">
        <f>SUMIFS('Nuvei'!$E$11:$E$296,'Nuvei'!$G$11:$G$296,$A173)</f>
        <v/>
      </c>
      <c r="D173" s="9">
        <f>SUMIFS('Shift4'!$E$11:$E$116,'Shift4'!$G$11:$G$116,$A173)</f>
        <v/>
      </c>
      <c r="E173" s="9">
        <f>SUMIFS('Paysafe'!$E$11:$E$44,'Paysafe'!$G$11:$G$44,$A173)</f>
        <v/>
      </c>
      <c r="F173" s="10">
        <f>SUM(B173:E173)</f>
        <v/>
      </c>
    </row>
    <row r="174">
      <c r="A174" s="8" t="n">
        <v>46094</v>
      </c>
      <c r="B174" s="9">
        <f>SUMIFS('Adyen'!$E$11:$E$207,'Adyen'!$G$11:$G$207,$A174)</f>
        <v/>
      </c>
      <c r="C174" s="9">
        <f>SUMIFS('Nuvei'!$E$11:$E$296,'Nuvei'!$G$11:$G$296,$A174)</f>
        <v/>
      </c>
      <c r="D174" s="9">
        <f>SUMIFS('Shift4'!$E$11:$E$116,'Shift4'!$G$11:$G$116,$A174)</f>
        <v/>
      </c>
      <c r="E174" s="9">
        <f>SUMIFS('Paysafe'!$E$11:$E$44,'Paysafe'!$G$11:$G$44,$A174)</f>
        <v/>
      </c>
      <c r="F174" s="10">
        <f>SUM(B174:E174)</f>
        <v/>
      </c>
    </row>
    <row r="175">
      <c r="A175" s="8" t="n">
        <v>46095</v>
      </c>
      <c r="B175" s="9">
        <f>SUMIFS('Adyen'!$E$11:$E$207,'Adyen'!$G$11:$G$207,$A175)</f>
        <v/>
      </c>
      <c r="C175" s="9">
        <f>SUMIFS('Nuvei'!$E$11:$E$296,'Nuvei'!$G$11:$G$296,$A175)</f>
        <v/>
      </c>
      <c r="D175" s="9">
        <f>SUMIFS('Shift4'!$E$11:$E$116,'Shift4'!$G$11:$G$116,$A175)</f>
        <v/>
      </c>
      <c r="E175" s="9">
        <f>SUMIFS('Paysafe'!$E$11:$E$44,'Paysafe'!$G$11:$G$44,$A175)</f>
        <v/>
      </c>
      <c r="F175" s="10">
        <f>SUM(B175:E175)</f>
        <v/>
      </c>
    </row>
    <row r="176">
      <c r="A176" s="8" t="n">
        <v>46096</v>
      </c>
      <c r="B176" s="9">
        <f>SUMIFS('Adyen'!$E$11:$E$207,'Adyen'!$G$11:$G$207,$A176)</f>
        <v/>
      </c>
      <c r="C176" s="9">
        <f>SUMIFS('Nuvei'!$E$11:$E$296,'Nuvei'!$G$11:$G$296,$A176)</f>
        <v/>
      </c>
      <c r="D176" s="9">
        <f>SUMIFS('Shift4'!$E$11:$E$116,'Shift4'!$G$11:$G$116,$A176)</f>
        <v/>
      </c>
      <c r="E176" s="9">
        <f>SUMIFS('Paysafe'!$E$11:$E$44,'Paysafe'!$G$11:$G$44,$A176)</f>
        <v/>
      </c>
      <c r="F176" s="10">
        <f>SUM(B176:E176)</f>
        <v/>
      </c>
    </row>
    <row r="177">
      <c r="A177" s="8" t="n">
        <v>46097</v>
      </c>
      <c r="B177" s="9">
        <f>SUMIFS('Adyen'!$E$11:$E$207,'Adyen'!$G$11:$G$207,$A177)</f>
        <v/>
      </c>
      <c r="C177" s="9">
        <f>SUMIFS('Nuvei'!$E$11:$E$296,'Nuvei'!$G$11:$G$296,$A177)</f>
        <v/>
      </c>
      <c r="D177" s="9">
        <f>SUMIFS('Shift4'!$E$11:$E$116,'Shift4'!$G$11:$G$116,$A177)</f>
        <v/>
      </c>
      <c r="E177" s="9">
        <f>SUMIFS('Paysafe'!$E$11:$E$44,'Paysafe'!$G$11:$G$44,$A177)</f>
        <v/>
      </c>
      <c r="F177" s="10">
        <f>SUM(B177:E177)</f>
        <v/>
      </c>
    </row>
    <row r="178">
      <c r="A178" s="8" t="n">
        <v>46098</v>
      </c>
      <c r="B178" s="9">
        <f>SUMIFS('Adyen'!$E$11:$E$207,'Adyen'!$G$11:$G$207,$A178)</f>
        <v/>
      </c>
      <c r="C178" s="9">
        <f>SUMIFS('Nuvei'!$E$11:$E$296,'Nuvei'!$G$11:$G$296,$A178)</f>
        <v/>
      </c>
      <c r="D178" s="9">
        <f>SUMIFS('Shift4'!$E$11:$E$116,'Shift4'!$G$11:$G$116,$A178)</f>
        <v/>
      </c>
      <c r="E178" s="9">
        <f>SUMIFS('Paysafe'!$E$11:$E$44,'Paysafe'!$G$11:$G$44,$A178)</f>
        <v/>
      </c>
      <c r="F178" s="10">
        <f>SUM(B178:E178)</f>
        <v/>
      </c>
    </row>
    <row r="179">
      <c r="A179" s="8" t="n">
        <v>46099</v>
      </c>
      <c r="B179" s="9">
        <f>SUMIFS('Adyen'!$E$11:$E$207,'Adyen'!$G$11:$G$207,$A179)</f>
        <v/>
      </c>
      <c r="C179" s="9">
        <f>SUMIFS('Nuvei'!$E$11:$E$296,'Nuvei'!$G$11:$G$296,$A179)</f>
        <v/>
      </c>
      <c r="D179" s="9">
        <f>SUMIFS('Shift4'!$E$11:$E$116,'Shift4'!$G$11:$G$116,$A179)</f>
        <v/>
      </c>
      <c r="E179" s="9">
        <f>SUMIFS('Paysafe'!$E$11:$E$44,'Paysafe'!$G$11:$G$44,$A179)</f>
        <v/>
      </c>
      <c r="F179" s="10">
        <f>SUM(B179:E179)</f>
        <v/>
      </c>
    </row>
    <row r="180">
      <c r="A180" s="8" t="n">
        <v>46100</v>
      </c>
      <c r="B180" s="9">
        <f>SUMIFS('Adyen'!$E$11:$E$207,'Adyen'!$G$11:$G$207,$A180)</f>
        <v/>
      </c>
      <c r="C180" s="9">
        <f>SUMIFS('Nuvei'!$E$11:$E$296,'Nuvei'!$G$11:$G$296,$A180)</f>
        <v/>
      </c>
      <c r="D180" s="9">
        <f>SUMIFS('Shift4'!$E$11:$E$116,'Shift4'!$G$11:$G$116,$A180)</f>
        <v/>
      </c>
      <c r="E180" s="9">
        <f>SUMIFS('Paysafe'!$E$11:$E$44,'Paysafe'!$G$11:$G$44,$A180)</f>
        <v/>
      </c>
      <c r="F180" s="10">
        <f>SUM(B180:E180)</f>
        <v/>
      </c>
    </row>
    <row r="181">
      <c r="A181" s="8" t="n">
        <v>46101</v>
      </c>
      <c r="B181" s="9">
        <f>SUMIFS('Adyen'!$E$11:$E$207,'Adyen'!$G$11:$G$207,$A181)</f>
        <v/>
      </c>
      <c r="C181" s="9">
        <f>SUMIFS('Nuvei'!$E$11:$E$296,'Nuvei'!$G$11:$G$296,$A181)</f>
        <v/>
      </c>
      <c r="D181" s="9">
        <f>SUMIFS('Shift4'!$E$11:$E$116,'Shift4'!$G$11:$G$116,$A181)</f>
        <v/>
      </c>
      <c r="E181" s="9">
        <f>SUMIFS('Paysafe'!$E$11:$E$44,'Paysafe'!$G$11:$G$44,$A181)</f>
        <v/>
      </c>
      <c r="F181" s="10">
        <f>SUM(B181:E181)</f>
        <v/>
      </c>
    </row>
    <row r="182">
      <c r="A182" s="8" t="n">
        <v>46102</v>
      </c>
      <c r="B182" s="9">
        <f>SUMIFS('Adyen'!$E$11:$E$207,'Adyen'!$G$11:$G$207,$A182)</f>
        <v/>
      </c>
      <c r="C182" s="9">
        <f>SUMIFS('Nuvei'!$E$11:$E$296,'Nuvei'!$G$11:$G$296,$A182)</f>
        <v/>
      </c>
      <c r="D182" s="9">
        <f>SUMIFS('Shift4'!$E$11:$E$116,'Shift4'!$G$11:$G$116,$A182)</f>
        <v/>
      </c>
      <c r="E182" s="9">
        <f>SUMIFS('Paysafe'!$E$11:$E$44,'Paysafe'!$G$11:$G$44,$A182)</f>
        <v/>
      </c>
      <c r="F182" s="10">
        <f>SUM(B182:E182)</f>
        <v/>
      </c>
    </row>
    <row r="183">
      <c r="A183" s="8" t="n">
        <v>46103</v>
      </c>
      <c r="B183" s="9">
        <f>SUMIFS('Adyen'!$E$11:$E$207,'Adyen'!$G$11:$G$207,$A183)</f>
        <v/>
      </c>
      <c r="C183" s="9">
        <f>SUMIFS('Nuvei'!$E$11:$E$296,'Nuvei'!$G$11:$G$296,$A183)</f>
        <v/>
      </c>
      <c r="D183" s="9">
        <f>SUMIFS('Shift4'!$E$11:$E$116,'Shift4'!$G$11:$G$116,$A183)</f>
        <v/>
      </c>
      <c r="E183" s="9">
        <f>SUMIFS('Paysafe'!$E$11:$E$44,'Paysafe'!$G$11:$G$44,$A183)</f>
        <v/>
      </c>
      <c r="F183" s="10">
        <f>SUM(B183:E183)</f>
        <v/>
      </c>
    </row>
    <row r="184">
      <c r="A184" s="8" t="n">
        <v>46104</v>
      </c>
      <c r="B184" s="9">
        <f>SUMIFS('Adyen'!$E$11:$E$207,'Adyen'!$G$11:$G$207,$A184)</f>
        <v/>
      </c>
      <c r="C184" s="9">
        <f>SUMIFS('Nuvei'!$E$11:$E$296,'Nuvei'!$G$11:$G$296,$A184)</f>
        <v/>
      </c>
      <c r="D184" s="9">
        <f>SUMIFS('Shift4'!$E$11:$E$116,'Shift4'!$G$11:$G$116,$A184)</f>
        <v/>
      </c>
      <c r="E184" s="9">
        <f>SUMIFS('Paysafe'!$E$11:$E$44,'Paysafe'!$G$11:$G$44,$A184)</f>
        <v/>
      </c>
      <c r="F184" s="10">
        <f>SUM(B184:E184)</f>
        <v/>
      </c>
    </row>
    <row r="185">
      <c r="A185" s="8" t="n">
        <v>46105</v>
      </c>
      <c r="B185" s="9">
        <f>SUMIFS('Adyen'!$E$11:$E$207,'Adyen'!$G$11:$G$207,$A185)</f>
        <v/>
      </c>
      <c r="C185" s="9">
        <f>SUMIFS('Nuvei'!$E$11:$E$296,'Nuvei'!$G$11:$G$296,$A185)</f>
        <v/>
      </c>
      <c r="D185" s="9">
        <f>SUMIFS('Shift4'!$E$11:$E$116,'Shift4'!$G$11:$G$116,$A185)</f>
        <v/>
      </c>
      <c r="E185" s="9">
        <f>SUMIFS('Paysafe'!$E$11:$E$44,'Paysafe'!$G$11:$G$44,$A185)</f>
        <v/>
      </c>
      <c r="F185" s="10">
        <f>SUM(B185:E185)</f>
        <v/>
      </c>
    </row>
    <row r="186">
      <c r="A186" s="8" t="n">
        <v>46106</v>
      </c>
      <c r="B186" s="9">
        <f>SUMIFS('Adyen'!$E$11:$E$207,'Adyen'!$G$11:$G$207,$A186)</f>
        <v/>
      </c>
      <c r="C186" s="9">
        <f>SUMIFS('Nuvei'!$E$11:$E$296,'Nuvei'!$G$11:$G$296,$A186)</f>
        <v/>
      </c>
      <c r="D186" s="9">
        <f>SUMIFS('Shift4'!$E$11:$E$116,'Shift4'!$G$11:$G$116,$A186)</f>
        <v/>
      </c>
      <c r="E186" s="9">
        <f>SUMIFS('Paysafe'!$E$11:$E$44,'Paysafe'!$G$11:$G$44,$A186)</f>
        <v/>
      </c>
      <c r="F186" s="10">
        <f>SUM(B186:E186)</f>
        <v/>
      </c>
    </row>
    <row r="187">
      <c r="A187" s="8" t="n">
        <v>46107</v>
      </c>
      <c r="B187" s="9">
        <f>SUMIFS('Adyen'!$E$11:$E$207,'Adyen'!$G$11:$G$207,$A187)</f>
        <v/>
      </c>
      <c r="C187" s="9">
        <f>SUMIFS('Nuvei'!$E$11:$E$296,'Nuvei'!$G$11:$G$296,$A187)</f>
        <v/>
      </c>
      <c r="D187" s="9">
        <f>SUMIFS('Shift4'!$E$11:$E$116,'Shift4'!$G$11:$G$116,$A187)</f>
        <v/>
      </c>
      <c r="E187" s="9">
        <f>SUMIFS('Paysafe'!$E$11:$E$44,'Paysafe'!$G$11:$G$44,$A187)</f>
        <v/>
      </c>
      <c r="F187" s="10">
        <f>SUM(B187:E187)</f>
        <v/>
      </c>
    </row>
    <row r="188">
      <c r="A188" s="8" t="n">
        <v>46108</v>
      </c>
      <c r="B188" s="9">
        <f>SUMIFS('Adyen'!$E$11:$E$207,'Adyen'!$G$11:$G$207,$A188)</f>
        <v/>
      </c>
      <c r="C188" s="9">
        <f>SUMIFS('Nuvei'!$E$11:$E$296,'Nuvei'!$G$11:$G$296,$A188)</f>
        <v/>
      </c>
      <c r="D188" s="9">
        <f>SUMIFS('Shift4'!$E$11:$E$116,'Shift4'!$G$11:$G$116,$A188)</f>
        <v/>
      </c>
      <c r="E188" s="9">
        <f>SUMIFS('Paysafe'!$E$11:$E$44,'Paysafe'!$G$11:$G$44,$A188)</f>
        <v/>
      </c>
      <c r="F188" s="10">
        <f>SUM(B188:E188)</f>
        <v/>
      </c>
    </row>
    <row r="189">
      <c r="A189" s="8" t="n">
        <v>46109</v>
      </c>
      <c r="B189" s="9">
        <f>SUMIFS('Adyen'!$E$11:$E$207,'Adyen'!$G$11:$G$207,$A189)</f>
        <v/>
      </c>
      <c r="C189" s="9">
        <f>SUMIFS('Nuvei'!$E$11:$E$296,'Nuvei'!$G$11:$G$296,$A189)</f>
        <v/>
      </c>
      <c r="D189" s="9">
        <f>SUMIFS('Shift4'!$E$11:$E$116,'Shift4'!$G$11:$G$116,$A189)</f>
        <v/>
      </c>
      <c r="E189" s="9">
        <f>SUMIFS('Paysafe'!$E$11:$E$44,'Paysafe'!$G$11:$G$44,$A189)</f>
        <v/>
      </c>
      <c r="F189" s="10">
        <f>SUM(B189:E189)</f>
        <v/>
      </c>
    </row>
    <row r="190">
      <c r="A190" s="8" t="n">
        <v>46110</v>
      </c>
      <c r="B190" s="9">
        <f>SUMIFS('Adyen'!$E$11:$E$207,'Adyen'!$G$11:$G$207,$A190)</f>
        <v/>
      </c>
      <c r="C190" s="9">
        <f>SUMIFS('Nuvei'!$E$11:$E$296,'Nuvei'!$G$11:$G$296,$A190)</f>
        <v/>
      </c>
      <c r="D190" s="9">
        <f>SUMIFS('Shift4'!$E$11:$E$116,'Shift4'!$G$11:$G$116,$A190)</f>
        <v/>
      </c>
      <c r="E190" s="9">
        <f>SUMIFS('Paysafe'!$E$11:$E$44,'Paysafe'!$G$11:$G$44,$A190)</f>
        <v/>
      </c>
      <c r="F190" s="10">
        <f>SUM(B190:E190)</f>
        <v/>
      </c>
    </row>
    <row r="191">
      <c r="A191" s="8" t="n">
        <v>46111</v>
      </c>
      <c r="B191" s="9">
        <f>SUMIFS('Adyen'!$E$11:$E$207,'Adyen'!$G$11:$G$207,$A191)</f>
        <v/>
      </c>
      <c r="C191" s="9">
        <f>SUMIFS('Nuvei'!$E$11:$E$296,'Nuvei'!$G$11:$G$296,$A191)</f>
        <v/>
      </c>
      <c r="D191" s="9">
        <f>SUMIFS('Shift4'!$E$11:$E$116,'Shift4'!$G$11:$G$116,$A191)</f>
        <v/>
      </c>
      <c r="E191" s="9">
        <f>SUMIFS('Paysafe'!$E$11:$E$44,'Paysafe'!$G$11:$G$44,$A191)</f>
        <v/>
      </c>
      <c r="F191" s="10">
        <f>SUM(B191:E191)</f>
        <v/>
      </c>
    </row>
    <row r="192">
      <c r="A192" s="8" t="n">
        <v>46112</v>
      </c>
      <c r="B192" s="9">
        <f>SUMIFS('Adyen'!$E$11:$E$207,'Adyen'!$G$11:$G$207,$A192)</f>
        <v/>
      </c>
      <c r="C192" s="9">
        <f>SUMIFS('Nuvei'!$E$11:$E$296,'Nuvei'!$G$11:$G$296,$A192)</f>
        <v/>
      </c>
      <c r="D192" s="9">
        <f>SUMIFS('Shift4'!$E$11:$E$116,'Shift4'!$G$11:$G$116,$A192)</f>
        <v/>
      </c>
      <c r="E192" s="9">
        <f>SUMIFS('Paysafe'!$E$11:$E$44,'Paysafe'!$G$11:$G$44,$A192)</f>
        <v/>
      </c>
      <c r="F192" s="10">
        <f>SUM(B192:E192)</f>
        <v/>
      </c>
    </row>
    <row r="193">
      <c r="A193" s="8" t="n">
        <v>46113</v>
      </c>
      <c r="B193" s="9">
        <f>SUMIFS('Adyen'!$E$11:$E$207,'Adyen'!$G$11:$G$207,$A193)</f>
        <v/>
      </c>
      <c r="C193" s="9">
        <f>SUMIFS('Nuvei'!$E$11:$E$296,'Nuvei'!$G$11:$G$296,$A193)</f>
        <v/>
      </c>
      <c r="D193" s="9">
        <f>SUMIFS('Shift4'!$E$11:$E$116,'Shift4'!$G$11:$G$116,$A193)</f>
        <v/>
      </c>
      <c r="E193" s="9">
        <f>SUMIFS('Paysafe'!$E$11:$E$44,'Paysafe'!$G$11:$G$44,$A193)</f>
        <v/>
      </c>
      <c r="F193" s="10">
        <f>SUM(B193:E193)</f>
        <v/>
      </c>
    </row>
    <row r="194">
      <c r="A194" s="8" t="n">
        <v>46114</v>
      </c>
      <c r="B194" s="9">
        <f>SUMIFS('Adyen'!$E$11:$E$207,'Adyen'!$G$11:$G$207,$A194)</f>
        <v/>
      </c>
      <c r="C194" s="9">
        <f>SUMIFS('Nuvei'!$E$11:$E$296,'Nuvei'!$G$11:$G$296,$A194)</f>
        <v/>
      </c>
      <c r="D194" s="9">
        <f>SUMIFS('Shift4'!$E$11:$E$116,'Shift4'!$G$11:$G$116,$A194)</f>
        <v/>
      </c>
      <c r="E194" s="9">
        <f>SUMIFS('Paysafe'!$E$11:$E$44,'Paysafe'!$G$11:$G$44,$A194)</f>
        <v/>
      </c>
      <c r="F194" s="10">
        <f>SUM(B194:E194)</f>
        <v/>
      </c>
    </row>
    <row r="195">
      <c r="A195" s="8" t="n">
        <v>46115</v>
      </c>
      <c r="B195" s="9">
        <f>SUMIFS('Adyen'!$E$11:$E$207,'Adyen'!$G$11:$G$207,$A195)</f>
        <v/>
      </c>
      <c r="C195" s="9">
        <f>SUMIFS('Nuvei'!$E$11:$E$296,'Nuvei'!$G$11:$G$296,$A195)</f>
        <v/>
      </c>
      <c r="D195" s="9">
        <f>SUMIFS('Shift4'!$E$11:$E$116,'Shift4'!$G$11:$G$116,$A195)</f>
        <v/>
      </c>
      <c r="E195" s="9">
        <f>SUMIFS('Paysafe'!$E$11:$E$44,'Paysafe'!$G$11:$G$44,$A195)</f>
        <v/>
      </c>
      <c r="F195" s="10">
        <f>SUM(B195:E195)</f>
        <v/>
      </c>
    </row>
    <row r="196">
      <c r="A196" s="8" t="n">
        <v>46116</v>
      </c>
      <c r="B196" s="9">
        <f>SUMIFS('Adyen'!$E$11:$E$207,'Adyen'!$G$11:$G$207,$A196)</f>
        <v/>
      </c>
      <c r="C196" s="9">
        <f>SUMIFS('Nuvei'!$E$11:$E$296,'Nuvei'!$G$11:$G$296,$A196)</f>
        <v/>
      </c>
      <c r="D196" s="9">
        <f>SUMIFS('Shift4'!$E$11:$E$116,'Shift4'!$G$11:$G$116,$A196)</f>
        <v/>
      </c>
      <c r="E196" s="9">
        <f>SUMIFS('Paysafe'!$E$11:$E$44,'Paysafe'!$G$11:$G$44,$A196)</f>
        <v/>
      </c>
      <c r="F196" s="10">
        <f>SUM(B196:E196)</f>
        <v/>
      </c>
    </row>
    <row r="197">
      <c r="A197" s="8" t="n">
        <v>46117</v>
      </c>
      <c r="B197" s="9">
        <f>SUMIFS('Adyen'!$E$11:$E$207,'Adyen'!$G$11:$G$207,$A197)</f>
        <v/>
      </c>
      <c r="C197" s="9">
        <f>SUMIFS('Nuvei'!$E$11:$E$296,'Nuvei'!$G$11:$G$296,$A197)</f>
        <v/>
      </c>
      <c r="D197" s="9">
        <f>SUMIFS('Shift4'!$E$11:$E$116,'Shift4'!$G$11:$G$116,$A197)</f>
        <v/>
      </c>
      <c r="E197" s="9">
        <f>SUMIFS('Paysafe'!$E$11:$E$44,'Paysafe'!$G$11:$G$44,$A197)</f>
        <v/>
      </c>
      <c r="F197" s="10">
        <f>SUM(B197:E197)</f>
        <v/>
      </c>
    </row>
    <row r="198">
      <c r="A198" s="8" t="n">
        <v>46118</v>
      </c>
      <c r="B198" s="9">
        <f>SUMIFS('Adyen'!$E$11:$E$207,'Adyen'!$G$11:$G$207,$A198)</f>
        <v/>
      </c>
      <c r="C198" s="9">
        <f>SUMIFS('Nuvei'!$E$11:$E$296,'Nuvei'!$G$11:$G$296,$A198)</f>
        <v/>
      </c>
      <c r="D198" s="9">
        <f>SUMIFS('Shift4'!$E$11:$E$116,'Shift4'!$G$11:$G$116,$A198)</f>
        <v/>
      </c>
      <c r="E198" s="9">
        <f>SUMIFS('Paysafe'!$E$11:$E$44,'Paysafe'!$G$11:$G$44,$A198)</f>
        <v/>
      </c>
      <c r="F198" s="10">
        <f>SUM(B198:E198)</f>
        <v/>
      </c>
    </row>
    <row r="199">
      <c r="A199" s="8" t="n">
        <v>46119</v>
      </c>
      <c r="B199" s="9">
        <f>SUMIFS('Adyen'!$E$11:$E$207,'Adyen'!$G$11:$G$207,$A199)</f>
        <v/>
      </c>
      <c r="C199" s="9">
        <f>SUMIFS('Nuvei'!$E$11:$E$296,'Nuvei'!$G$11:$G$296,$A199)</f>
        <v/>
      </c>
      <c r="D199" s="9">
        <f>SUMIFS('Shift4'!$E$11:$E$116,'Shift4'!$G$11:$G$116,$A199)</f>
        <v/>
      </c>
      <c r="E199" s="9">
        <f>SUMIFS('Paysafe'!$E$11:$E$44,'Paysafe'!$G$11:$G$44,$A199)</f>
        <v/>
      </c>
      <c r="F199" s="10">
        <f>SUM(B199:E199)</f>
        <v/>
      </c>
    </row>
    <row r="200">
      <c r="A200" s="8" t="n">
        <v>46120</v>
      </c>
      <c r="B200" s="9">
        <f>SUMIFS('Adyen'!$E$11:$E$207,'Adyen'!$G$11:$G$207,$A200)</f>
        <v/>
      </c>
      <c r="C200" s="9">
        <f>SUMIFS('Nuvei'!$E$11:$E$296,'Nuvei'!$G$11:$G$296,$A200)</f>
        <v/>
      </c>
      <c r="D200" s="9">
        <f>SUMIFS('Shift4'!$E$11:$E$116,'Shift4'!$G$11:$G$116,$A200)</f>
        <v/>
      </c>
      <c r="E200" s="9">
        <f>SUMIFS('Paysafe'!$E$11:$E$44,'Paysafe'!$G$11:$G$44,$A200)</f>
        <v/>
      </c>
      <c r="F200" s="10">
        <f>SUM(B200:E200)</f>
        <v/>
      </c>
    </row>
    <row r="201">
      <c r="A201" s="8" t="n">
        <v>46121</v>
      </c>
      <c r="B201" s="9">
        <f>SUMIFS('Adyen'!$E$11:$E$207,'Adyen'!$G$11:$G$207,$A201)</f>
        <v/>
      </c>
      <c r="C201" s="9">
        <f>SUMIFS('Nuvei'!$E$11:$E$296,'Nuvei'!$G$11:$G$296,$A201)</f>
        <v/>
      </c>
      <c r="D201" s="9">
        <f>SUMIFS('Shift4'!$E$11:$E$116,'Shift4'!$G$11:$G$116,$A201)</f>
        <v/>
      </c>
      <c r="E201" s="9">
        <f>SUMIFS('Paysafe'!$E$11:$E$44,'Paysafe'!$G$11:$G$44,$A201)</f>
        <v/>
      </c>
      <c r="F201" s="10">
        <f>SUM(B201:E201)</f>
        <v/>
      </c>
    </row>
    <row r="202">
      <c r="A202" s="8" t="n">
        <v>46122</v>
      </c>
      <c r="B202" s="9">
        <f>SUMIFS('Adyen'!$E$11:$E$207,'Adyen'!$G$11:$G$207,$A202)</f>
        <v/>
      </c>
      <c r="C202" s="9">
        <f>SUMIFS('Nuvei'!$E$11:$E$296,'Nuvei'!$G$11:$G$296,$A202)</f>
        <v/>
      </c>
      <c r="D202" s="9">
        <f>SUMIFS('Shift4'!$E$11:$E$116,'Shift4'!$G$11:$G$116,$A202)</f>
        <v/>
      </c>
      <c r="E202" s="9">
        <f>SUMIFS('Paysafe'!$E$11:$E$44,'Paysafe'!$G$11:$G$44,$A202)</f>
        <v/>
      </c>
      <c r="F202" s="10">
        <f>SUM(B202:E202)</f>
        <v/>
      </c>
    </row>
    <row r="203">
      <c r="A203" s="8" t="n">
        <v>46123</v>
      </c>
      <c r="B203" s="9">
        <f>SUMIFS('Adyen'!$E$11:$E$207,'Adyen'!$G$11:$G$207,$A203)</f>
        <v/>
      </c>
      <c r="C203" s="9">
        <f>SUMIFS('Nuvei'!$E$11:$E$296,'Nuvei'!$G$11:$G$296,$A203)</f>
        <v/>
      </c>
      <c r="D203" s="9">
        <f>SUMIFS('Shift4'!$E$11:$E$116,'Shift4'!$G$11:$G$116,$A203)</f>
        <v/>
      </c>
      <c r="E203" s="9">
        <f>SUMIFS('Paysafe'!$E$11:$E$44,'Paysafe'!$G$11:$G$44,$A203)</f>
        <v/>
      </c>
      <c r="F203" s="10">
        <f>SUM(B203:E203)</f>
        <v/>
      </c>
    </row>
    <row r="204">
      <c r="A204" s="8" t="n">
        <v>46124</v>
      </c>
      <c r="B204" s="9">
        <f>SUMIFS('Adyen'!$E$11:$E$207,'Adyen'!$G$11:$G$207,$A204)</f>
        <v/>
      </c>
      <c r="C204" s="9">
        <f>SUMIFS('Nuvei'!$E$11:$E$296,'Nuvei'!$G$11:$G$296,$A204)</f>
        <v/>
      </c>
      <c r="D204" s="9">
        <f>SUMIFS('Shift4'!$E$11:$E$116,'Shift4'!$G$11:$G$116,$A204)</f>
        <v/>
      </c>
      <c r="E204" s="9">
        <f>SUMIFS('Paysafe'!$E$11:$E$44,'Paysafe'!$G$11:$G$44,$A204)</f>
        <v/>
      </c>
      <c r="F204" s="10">
        <f>SUM(B204:E204)</f>
        <v/>
      </c>
    </row>
    <row r="205">
      <c r="A205" s="8" t="n">
        <v>46125</v>
      </c>
      <c r="B205" s="9">
        <f>SUMIFS('Adyen'!$E$11:$E$207,'Adyen'!$G$11:$G$207,$A205)</f>
        <v/>
      </c>
      <c r="C205" s="9">
        <f>SUMIFS('Nuvei'!$E$11:$E$296,'Nuvei'!$G$11:$G$296,$A205)</f>
        <v/>
      </c>
      <c r="D205" s="9">
        <f>SUMIFS('Shift4'!$E$11:$E$116,'Shift4'!$G$11:$G$116,$A205)</f>
        <v/>
      </c>
      <c r="E205" s="9">
        <f>SUMIFS('Paysafe'!$E$11:$E$44,'Paysafe'!$G$11:$G$44,$A205)</f>
        <v/>
      </c>
      <c r="F205" s="10">
        <f>SUM(B205:E205)</f>
        <v/>
      </c>
    </row>
    <row r="206">
      <c r="A206" s="8" t="n">
        <v>46126</v>
      </c>
      <c r="B206" s="9">
        <f>SUMIFS('Adyen'!$E$11:$E$207,'Adyen'!$G$11:$G$207,$A206)</f>
        <v/>
      </c>
      <c r="C206" s="9">
        <f>SUMIFS('Nuvei'!$E$11:$E$296,'Nuvei'!$G$11:$G$296,$A206)</f>
        <v/>
      </c>
      <c r="D206" s="9">
        <f>SUMIFS('Shift4'!$E$11:$E$116,'Shift4'!$G$11:$G$116,$A206)</f>
        <v/>
      </c>
      <c r="E206" s="9">
        <f>SUMIFS('Paysafe'!$E$11:$E$44,'Paysafe'!$G$11:$G$44,$A206)</f>
        <v/>
      </c>
      <c r="F206" s="10">
        <f>SUM(B206:E206)</f>
        <v/>
      </c>
    </row>
    <row r="207">
      <c r="A207" s="8" t="n">
        <v>46127</v>
      </c>
      <c r="B207" s="9">
        <f>SUMIFS('Adyen'!$E$11:$E$207,'Adyen'!$G$11:$G$207,$A207)</f>
        <v/>
      </c>
      <c r="C207" s="9">
        <f>SUMIFS('Nuvei'!$E$11:$E$296,'Nuvei'!$G$11:$G$296,$A207)</f>
        <v/>
      </c>
      <c r="D207" s="9">
        <f>SUMIFS('Shift4'!$E$11:$E$116,'Shift4'!$G$11:$G$116,$A207)</f>
        <v/>
      </c>
      <c r="E207" s="9">
        <f>SUMIFS('Paysafe'!$E$11:$E$44,'Paysafe'!$G$11:$G$44,$A207)</f>
        <v/>
      </c>
      <c r="F207" s="10">
        <f>SUM(B207:E207)</f>
        <v/>
      </c>
    </row>
    <row r="208">
      <c r="A208" s="8" t="n">
        <v>46128</v>
      </c>
      <c r="B208" s="9">
        <f>SUMIFS('Adyen'!$E$11:$E$207,'Adyen'!$G$11:$G$207,$A208)</f>
        <v/>
      </c>
      <c r="C208" s="9">
        <f>SUMIFS('Nuvei'!$E$11:$E$296,'Nuvei'!$G$11:$G$296,$A208)</f>
        <v/>
      </c>
      <c r="D208" s="9">
        <f>SUMIFS('Shift4'!$E$11:$E$116,'Shift4'!$G$11:$G$116,$A208)</f>
        <v/>
      </c>
      <c r="E208" s="9">
        <f>SUMIFS('Paysafe'!$E$11:$E$44,'Paysafe'!$G$11:$G$44,$A208)</f>
        <v/>
      </c>
      <c r="F208" s="10">
        <f>SUM(B208:E208)</f>
        <v/>
      </c>
    </row>
    <row r="209">
      <c r="A209" s="8" t="n">
        <v>46129</v>
      </c>
      <c r="B209" s="9">
        <f>SUMIFS('Adyen'!$E$11:$E$207,'Adyen'!$G$11:$G$207,$A209)</f>
        <v/>
      </c>
      <c r="C209" s="9">
        <f>SUMIFS('Nuvei'!$E$11:$E$296,'Nuvei'!$G$11:$G$296,$A209)</f>
        <v/>
      </c>
      <c r="D209" s="9">
        <f>SUMIFS('Shift4'!$E$11:$E$116,'Shift4'!$G$11:$G$116,$A209)</f>
        <v/>
      </c>
      <c r="E209" s="9">
        <f>SUMIFS('Paysafe'!$E$11:$E$44,'Paysafe'!$G$11:$G$44,$A209)</f>
        <v/>
      </c>
      <c r="F209" s="10">
        <f>SUM(B209:E209)</f>
        <v/>
      </c>
    </row>
    <row r="210">
      <c r="A210" s="8" t="n">
        <v>46130</v>
      </c>
      <c r="B210" s="9">
        <f>SUMIFS('Adyen'!$E$11:$E$207,'Adyen'!$G$11:$G$207,$A210)</f>
        <v/>
      </c>
      <c r="C210" s="9">
        <f>SUMIFS('Nuvei'!$E$11:$E$296,'Nuvei'!$G$11:$G$296,$A210)</f>
        <v/>
      </c>
      <c r="D210" s="9">
        <f>SUMIFS('Shift4'!$E$11:$E$116,'Shift4'!$G$11:$G$116,$A210)</f>
        <v/>
      </c>
      <c r="E210" s="9">
        <f>SUMIFS('Paysafe'!$E$11:$E$44,'Paysafe'!$G$11:$G$44,$A210)</f>
        <v/>
      </c>
      <c r="F210" s="10">
        <f>SUM(B210:E210)</f>
        <v/>
      </c>
    </row>
    <row r="211">
      <c r="A211" s="8" t="n">
        <v>46131</v>
      </c>
      <c r="B211" s="9">
        <f>SUMIFS('Adyen'!$E$11:$E$207,'Adyen'!$G$11:$G$207,$A211)</f>
        <v/>
      </c>
      <c r="C211" s="9">
        <f>SUMIFS('Nuvei'!$E$11:$E$296,'Nuvei'!$G$11:$G$296,$A211)</f>
        <v/>
      </c>
      <c r="D211" s="9">
        <f>SUMIFS('Shift4'!$E$11:$E$116,'Shift4'!$G$11:$G$116,$A211)</f>
        <v/>
      </c>
      <c r="E211" s="9">
        <f>SUMIFS('Paysafe'!$E$11:$E$44,'Paysafe'!$G$11:$G$44,$A211)</f>
        <v/>
      </c>
      <c r="F211" s="10">
        <f>SUM(B211:E211)</f>
        <v/>
      </c>
    </row>
    <row r="212">
      <c r="A212" s="8" t="n">
        <v>46132</v>
      </c>
      <c r="B212" s="9">
        <f>SUMIFS('Adyen'!$E$11:$E$207,'Adyen'!$G$11:$G$207,$A212)</f>
        <v/>
      </c>
      <c r="C212" s="9">
        <f>SUMIFS('Nuvei'!$E$11:$E$296,'Nuvei'!$G$11:$G$296,$A212)</f>
        <v/>
      </c>
      <c r="D212" s="9">
        <f>SUMIFS('Shift4'!$E$11:$E$116,'Shift4'!$G$11:$G$116,$A212)</f>
        <v/>
      </c>
      <c r="E212" s="9">
        <f>SUMIFS('Paysafe'!$E$11:$E$44,'Paysafe'!$G$11:$G$44,$A212)</f>
        <v/>
      </c>
      <c r="F212" s="10">
        <f>SUM(B212:E212)</f>
        <v/>
      </c>
    </row>
    <row r="213">
      <c r="A213" s="8" t="n">
        <v>46133</v>
      </c>
      <c r="B213" s="9">
        <f>SUMIFS('Adyen'!$E$11:$E$207,'Adyen'!$G$11:$G$207,$A213)</f>
        <v/>
      </c>
      <c r="C213" s="9">
        <f>SUMIFS('Nuvei'!$E$11:$E$296,'Nuvei'!$G$11:$G$296,$A213)</f>
        <v/>
      </c>
      <c r="D213" s="9">
        <f>SUMIFS('Shift4'!$E$11:$E$116,'Shift4'!$G$11:$G$116,$A213)</f>
        <v/>
      </c>
      <c r="E213" s="9">
        <f>SUMIFS('Paysafe'!$E$11:$E$44,'Paysafe'!$G$11:$G$44,$A213)</f>
        <v/>
      </c>
      <c r="F213" s="10">
        <f>SUM(B213:E213)</f>
        <v/>
      </c>
    </row>
    <row r="214">
      <c r="A214" s="8" t="n">
        <v>46134</v>
      </c>
      <c r="B214" s="9">
        <f>SUMIFS('Adyen'!$E$11:$E$207,'Adyen'!$G$11:$G$207,$A214)</f>
        <v/>
      </c>
      <c r="C214" s="9">
        <f>SUMIFS('Nuvei'!$E$11:$E$296,'Nuvei'!$G$11:$G$296,$A214)</f>
        <v/>
      </c>
      <c r="D214" s="9">
        <f>SUMIFS('Shift4'!$E$11:$E$116,'Shift4'!$G$11:$G$116,$A214)</f>
        <v/>
      </c>
      <c r="E214" s="9">
        <f>SUMIFS('Paysafe'!$E$11:$E$44,'Paysafe'!$G$11:$G$44,$A214)</f>
        <v/>
      </c>
      <c r="F214" s="10">
        <f>SUM(B214:E214)</f>
        <v/>
      </c>
    </row>
    <row r="215">
      <c r="A215" s="8" t="n">
        <v>46135</v>
      </c>
      <c r="B215" s="9">
        <f>SUMIFS('Adyen'!$E$11:$E$207,'Adyen'!$G$11:$G$207,$A215)</f>
        <v/>
      </c>
      <c r="C215" s="9">
        <f>SUMIFS('Nuvei'!$E$11:$E$296,'Nuvei'!$G$11:$G$296,$A215)</f>
        <v/>
      </c>
      <c r="D215" s="9">
        <f>SUMIFS('Shift4'!$E$11:$E$116,'Shift4'!$G$11:$G$116,$A215)</f>
        <v/>
      </c>
      <c r="E215" s="9">
        <f>SUMIFS('Paysafe'!$E$11:$E$44,'Paysafe'!$G$11:$G$44,$A215)</f>
        <v/>
      </c>
      <c r="F215" s="10">
        <f>SUM(B215:E215)</f>
        <v/>
      </c>
    </row>
    <row r="216">
      <c r="A216" s="8" t="n">
        <v>46136</v>
      </c>
      <c r="B216" s="9">
        <f>SUMIFS('Adyen'!$E$11:$E$207,'Adyen'!$G$11:$G$207,$A216)</f>
        <v/>
      </c>
      <c r="C216" s="9">
        <f>SUMIFS('Nuvei'!$E$11:$E$296,'Nuvei'!$G$11:$G$296,$A216)</f>
        <v/>
      </c>
      <c r="D216" s="9">
        <f>SUMIFS('Shift4'!$E$11:$E$116,'Shift4'!$G$11:$G$116,$A216)</f>
        <v/>
      </c>
      <c r="E216" s="9">
        <f>SUMIFS('Paysafe'!$E$11:$E$44,'Paysafe'!$G$11:$G$44,$A216)</f>
        <v/>
      </c>
      <c r="F216" s="10">
        <f>SUM(B216:E216)</f>
        <v/>
      </c>
    </row>
    <row r="217">
      <c r="A217" s="8" t="n">
        <v>46137</v>
      </c>
      <c r="B217" s="9">
        <f>SUMIFS('Adyen'!$E$11:$E$207,'Adyen'!$G$11:$G$207,$A217)</f>
        <v/>
      </c>
      <c r="C217" s="9">
        <f>SUMIFS('Nuvei'!$E$11:$E$296,'Nuvei'!$G$11:$G$296,$A217)</f>
        <v/>
      </c>
      <c r="D217" s="9">
        <f>SUMIFS('Shift4'!$E$11:$E$116,'Shift4'!$G$11:$G$116,$A217)</f>
        <v/>
      </c>
      <c r="E217" s="9">
        <f>SUMIFS('Paysafe'!$E$11:$E$44,'Paysafe'!$G$11:$G$44,$A217)</f>
        <v/>
      </c>
      <c r="F217" s="10">
        <f>SUM(B217:E217)</f>
        <v/>
      </c>
    </row>
    <row r="218">
      <c r="A218" s="8" t="n">
        <v>46138</v>
      </c>
      <c r="B218" s="9">
        <f>SUMIFS('Adyen'!$E$11:$E$207,'Adyen'!$G$11:$G$207,$A218)</f>
        <v/>
      </c>
      <c r="C218" s="9">
        <f>SUMIFS('Nuvei'!$E$11:$E$296,'Nuvei'!$G$11:$G$296,$A218)</f>
        <v/>
      </c>
      <c r="D218" s="9">
        <f>SUMIFS('Shift4'!$E$11:$E$116,'Shift4'!$G$11:$G$116,$A218)</f>
        <v/>
      </c>
      <c r="E218" s="9">
        <f>SUMIFS('Paysafe'!$E$11:$E$44,'Paysafe'!$G$11:$G$44,$A218)</f>
        <v/>
      </c>
      <c r="F218" s="10">
        <f>SUM(B218:E218)</f>
        <v/>
      </c>
    </row>
    <row r="219">
      <c r="A219" s="8" t="n">
        <v>46139</v>
      </c>
      <c r="B219" s="9">
        <f>SUMIFS('Adyen'!$E$11:$E$207,'Adyen'!$G$11:$G$207,$A219)</f>
        <v/>
      </c>
      <c r="C219" s="9">
        <f>SUMIFS('Nuvei'!$E$11:$E$296,'Nuvei'!$G$11:$G$296,$A219)</f>
        <v/>
      </c>
      <c r="D219" s="9">
        <f>SUMIFS('Shift4'!$E$11:$E$116,'Shift4'!$G$11:$G$116,$A219)</f>
        <v/>
      </c>
      <c r="E219" s="9">
        <f>SUMIFS('Paysafe'!$E$11:$E$44,'Paysafe'!$G$11:$G$44,$A219)</f>
        <v/>
      </c>
      <c r="F219" s="10">
        <f>SUM(B219:E219)</f>
        <v/>
      </c>
    </row>
    <row r="220">
      <c r="A220" s="8" t="n">
        <v>46140</v>
      </c>
      <c r="B220" s="9">
        <f>SUMIFS('Adyen'!$E$11:$E$207,'Adyen'!$G$11:$G$207,$A220)</f>
        <v/>
      </c>
      <c r="C220" s="9">
        <f>SUMIFS('Nuvei'!$E$11:$E$296,'Nuvei'!$G$11:$G$296,$A220)</f>
        <v/>
      </c>
      <c r="D220" s="9">
        <f>SUMIFS('Shift4'!$E$11:$E$116,'Shift4'!$G$11:$G$116,$A220)</f>
        <v/>
      </c>
      <c r="E220" s="9">
        <f>SUMIFS('Paysafe'!$E$11:$E$44,'Paysafe'!$G$11:$G$44,$A220)</f>
        <v/>
      </c>
      <c r="F220" s="10">
        <f>SUM(B220:E220)</f>
        <v/>
      </c>
    </row>
    <row r="221">
      <c r="A221" s="8" t="n">
        <v>46141</v>
      </c>
      <c r="B221" s="9">
        <f>SUMIFS('Adyen'!$E$11:$E$207,'Adyen'!$G$11:$G$207,$A221)</f>
        <v/>
      </c>
      <c r="C221" s="9">
        <f>SUMIFS('Nuvei'!$E$11:$E$296,'Nuvei'!$G$11:$G$296,$A221)</f>
        <v/>
      </c>
      <c r="D221" s="9">
        <f>SUMIFS('Shift4'!$E$11:$E$116,'Shift4'!$G$11:$G$116,$A221)</f>
        <v/>
      </c>
      <c r="E221" s="9">
        <f>SUMIFS('Paysafe'!$E$11:$E$44,'Paysafe'!$G$11:$G$44,$A221)</f>
        <v/>
      </c>
      <c r="F221" s="10">
        <f>SUM(B221:E221)</f>
        <v/>
      </c>
    </row>
    <row r="222">
      <c r="A222" s="8" t="n">
        <v>46142</v>
      </c>
      <c r="B222" s="9">
        <f>SUMIFS('Adyen'!$E$11:$E$207,'Adyen'!$G$11:$G$207,$A222)</f>
        <v/>
      </c>
      <c r="C222" s="9">
        <f>SUMIFS('Nuvei'!$E$11:$E$296,'Nuvei'!$G$11:$G$296,$A222)</f>
        <v/>
      </c>
      <c r="D222" s="9">
        <f>SUMIFS('Shift4'!$E$11:$E$116,'Shift4'!$G$11:$G$116,$A222)</f>
        <v/>
      </c>
      <c r="E222" s="9">
        <f>SUMIFS('Paysafe'!$E$11:$E$44,'Paysafe'!$G$11:$G$44,$A222)</f>
        <v/>
      </c>
      <c r="F222" s="10">
        <f>SUM(B222:E222)</f>
        <v/>
      </c>
    </row>
    <row r="223">
      <c r="A223" s="8" t="n">
        <v>46143</v>
      </c>
      <c r="B223" s="9">
        <f>SUMIFS('Adyen'!$E$11:$E$207,'Adyen'!$G$11:$G$207,$A223)</f>
        <v/>
      </c>
      <c r="C223" s="9">
        <f>SUMIFS('Nuvei'!$E$11:$E$296,'Nuvei'!$G$11:$G$296,$A223)</f>
        <v/>
      </c>
      <c r="D223" s="9">
        <f>SUMIFS('Shift4'!$E$11:$E$116,'Shift4'!$G$11:$G$116,$A223)</f>
        <v/>
      </c>
      <c r="E223" s="9">
        <f>SUMIFS('Paysafe'!$E$11:$E$44,'Paysafe'!$G$11:$G$44,$A223)</f>
        <v/>
      </c>
      <c r="F223" s="10">
        <f>SUM(B223:E223)</f>
        <v/>
      </c>
    </row>
    <row r="224">
      <c r="A224" s="8" t="n">
        <v>46144</v>
      </c>
      <c r="B224" s="9">
        <f>SUMIFS('Adyen'!$E$11:$E$207,'Adyen'!$G$11:$G$207,$A224)</f>
        <v/>
      </c>
      <c r="C224" s="9">
        <f>SUMIFS('Nuvei'!$E$11:$E$296,'Nuvei'!$G$11:$G$296,$A224)</f>
        <v/>
      </c>
      <c r="D224" s="9">
        <f>SUMIFS('Shift4'!$E$11:$E$116,'Shift4'!$G$11:$G$116,$A224)</f>
        <v/>
      </c>
      <c r="E224" s="9">
        <f>SUMIFS('Paysafe'!$E$11:$E$44,'Paysafe'!$G$11:$G$44,$A224)</f>
        <v/>
      </c>
      <c r="F224" s="10">
        <f>SUM(B224:E224)</f>
        <v/>
      </c>
    </row>
    <row r="225">
      <c r="A225" s="8" t="n">
        <v>46145</v>
      </c>
      <c r="B225" s="9">
        <f>SUMIFS('Adyen'!$E$11:$E$207,'Adyen'!$G$11:$G$207,$A225)</f>
        <v/>
      </c>
      <c r="C225" s="9">
        <f>SUMIFS('Nuvei'!$E$11:$E$296,'Nuvei'!$G$11:$G$296,$A225)</f>
        <v/>
      </c>
      <c r="D225" s="9">
        <f>SUMIFS('Shift4'!$E$11:$E$116,'Shift4'!$G$11:$G$116,$A225)</f>
        <v/>
      </c>
      <c r="E225" s="9">
        <f>SUMIFS('Paysafe'!$E$11:$E$44,'Paysafe'!$G$11:$G$44,$A225)</f>
        <v/>
      </c>
      <c r="F225" s="10">
        <f>SUM(B225:E225)</f>
        <v/>
      </c>
    </row>
    <row r="226">
      <c r="A226" s="8" t="n">
        <v>46146</v>
      </c>
      <c r="B226" s="9">
        <f>SUMIFS('Adyen'!$E$11:$E$207,'Adyen'!$G$11:$G$207,$A226)</f>
        <v/>
      </c>
      <c r="C226" s="9">
        <f>SUMIFS('Nuvei'!$E$11:$E$296,'Nuvei'!$G$11:$G$296,$A226)</f>
        <v/>
      </c>
      <c r="D226" s="9">
        <f>SUMIFS('Shift4'!$E$11:$E$116,'Shift4'!$G$11:$G$116,$A226)</f>
        <v/>
      </c>
      <c r="E226" s="9">
        <f>SUMIFS('Paysafe'!$E$11:$E$44,'Paysafe'!$G$11:$G$44,$A226)</f>
        <v/>
      </c>
      <c r="F226" s="10">
        <f>SUM(B226:E226)</f>
        <v/>
      </c>
    </row>
    <row r="227">
      <c r="A227" s="8" t="n">
        <v>46147</v>
      </c>
      <c r="B227" s="9">
        <f>SUMIFS('Adyen'!$E$11:$E$207,'Adyen'!$G$11:$G$207,$A227)</f>
        <v/>
      </c>
      <c r="C227" s="9">
        <f>SUMIFS('Nuvei'!$E$11:$E$296,'Nuvei'!$G$11:$G$296,$A227)</f>
        <v/>
      </c>
      <c r="D227" s="9">
        <f>SUMIFS('Shift4'!$E$11:$E$116,'Shift4'!$G$11:$G$116,$A227)</f>
        <v/>
      </c>
      <c r="E227" s="9">
        <f>SUMIFS('Paysafe'!$E$11:$E$44,'Paysafe'!$G$11:$G$44,$A227)</f>
        <v/>
      </c>
      <c r="F227" s="10">
        <f>SUM(B227:E227)</f>
        <v/>
      </c>
    </row>
    <row r="228">
      <c r="A228" s="8" t="n">
        <v>46148</v>
      </c>
      <c r="B228" s="9">
        <f>SUMIFS('Adyen'!$E$11:$E$207,'Adyen'!$G$11:$G$207,$A228)</f>
        <v/>
      </c>
      <c r="C228" s="9">
        <f>SUMIFS('Nuvei'!$E$11:$E$296,'Nuvei'!$G$11:$G$296,$A228)</f>
        <v/>
      </c>
      <c r="D228" s="9">
        <f>SUMIFS('Shift4'!$E$11:$E$116,'Shift4'!$G$11:$G$116,$A228)</f>
        <v/>
      </c>
      <c r="E228" s="9">
        <f>SUMIFS('Paysafe'!$E$11:$E$44,'Paysafe'!$G$11:$G$44,$A228)</f>
        <v/>
      </c>
      <c r="F228" s="10">
        <f>SUM(B228:E228)</f>
        <v/>
      </c>
    </row>
    <row r="229">
      <c r="A229" s="8" t="n">
        <v>46149</v>
      </c>
      <c r="B229" s="9">
        <f>SUMIFS('Adyen'!$E$11:$E$207,'Adyen'!$G$11:$G$207,$A229)</f>
        <v/>
      </c>
      <c r="C229" s="9">
        <f>SUMIFS('Nuvei'!$E$11:$E$296,'Nuvei'!$G$11:$G$296,$A229)</f>
        <v/>
      </c>
      <c r="D229" s="9">
        <f>SUMIFS('Shift4'!$E$11:$E$116,'Shift4'!$G$11:$G$116,$A229)</f>
        <v/>
      </c>
      <c r="E229" s="9">
        <f>SUMIFS('Paysafe'!$E$11:$E$44,'Paysafe'!$G$11:$G$44,$A229)</f>
        <v/>
      </c>
      <c r="F229" s="10">
        <f>SUM(B229:E229)</f>
        <v/>
      </c>
    </row>
    <row r="230">
      <c r="A230" s="8" t="n">
        <v>46150</v>
      </c>
      <c r="B230" s="9">
        <f>SUMIFS('Adyen'!$E$11:$E$207,'Adyen'!$G$11:$G$207,$A230)</f>
        <v/>
      </c>
      <c r="C230" s="9">
        <f>SUMIFS('Nuvei'!$E$11:$E$296,'Nuvei'!$G$11:$G$296,$A230)</f>
        <v/>
      </c>
      <c r="D230" s="9">
        <f>SUMIFS('Shift4'!$E$11:$E$116,'Shift4'!$G$11:$G$116,$A230)</f>
        <v/>
      </c>
      <c r="E230" s="9">
        <f>SUMIFS('Paysafe'!$E$11:$E$44,'Paysafe'!$G$11:$G$44,$A230)</f>
        <v/>
      </c>
      <c r="F230" s="10">
        <f>SUM(B230:E230)</f>
        <v/>
      </c>
    </row>
    <row r="231">
      <c r="A231" s="8" t="n">
        <v>46151</v>
      </c>
      <c r="B231" s="9">
        <f>SUMIFS('Adyen'!$E$11:$E$207,'Adyen'!$G$11:$G$207,$A231)</f>
        <v/>
      </c>
      <c r="C231" s="9">
        <f>SUMIFS('Nuvei'!$E$11:$E$296,'Nuvei'!$G$11:$G$296,$A231)</f>
        <v/>
      </c>
      <c r="D231" s="9">
        <f>SUMIFS('Shift4'!$E$11:$E$116,'Shift4'!$G$11:$G$116,$A231)</f>
        <v/>
      </c>
      <c r="E231" s="9">
        <f>SUMIFS('Paysafe'!$E$11:$E$44,'Paysafe'!$G$11:$G$44,$A231)</f>
        <v/>
      </c>
      <c r="F231" s="10">
        <f>SUM(B231:E231)</f>
        <v/>
      </c>
    </row>
    <row r="232">
      <c r="A232" s="8" t="n">
        <v>46152</v>
      </c>
      <c r="B232" s="9">
        <f>SUMIFS('Adyen'!$E$11:$E$207,'Adyen'!$G$11:$G$207,$A232)</f>
        <v/>
      </c>
      <c r="C232" s="9">
        <f>SUMIFS('Nuvei'!$E$11:$E$296,'Nuvei'!$G$11:$G$296,$A232)</f>
        <v/>
      </c>
      <c r="D232" s="9">
        <f>SUMIFS('Shift4'!$E$11:$E$116,'Shift4'!$G$11:$G$116,$A232)</f>
        <v/>
      </c>
      <c r="E232" s="9">
        <f>SUMIFS('Paysafe'!$E$11:$E$44,'Paysafe'!$G$11:$G$44,$A232)</f>
        <v/>
      </c>
      <c r="F232" s="10">
        <f>SUM(B232:E232)</f>
        <v/>
      </c>
    </row>
    <row r="233">
      <c r="A233" s="8" t="n">
        <v>46153</v>
      </c>
      <c r="B233" s="9">
        <f>SUMIFS('Adyen'!$E$11:$E$207,'Adyen'!$G$11:$G$207,$A233)</f>
        <v/>
      </c>
      <c r="C233" s="9">
        <f>SUMIFS('Nuvei'!$E$11:$E$296,'Nuvei'!$G$11:$G$296,$A233)</f>
        <v/>
      </c>
      <c r="D233" s="9">
        <f>SUMIFS('Shift4'!$E$11:$E$116,'Shift4'!$G$11:$G$116,$A233)</f>
        <v/>
      </c>
      <c r="E233" s="9">
        <f>SUMIFS('Paysafe'!$E$11:$E$44,'Paysafe'!$G$11:$G$44,$A233)</f>
        <v/>
      </c>
      <c r="F233" s="10">
        <f>SUM(B233:E233)</f>
        <v/>
      </c>
    </row>
    <row r="234">
      <c r="A234" s="8" t="n">
        <v>46154</v>
      </c>
      <c r="B234" s="9">
        <f>SUMIFS('Adyen'!$E$11:$E$207,'Adyen'!$G$11:$G$207,$A234)</f>
        <v/>
      </c>
      <c r="C234" s="9">
        <f>SUMIFS('Nuvei'!$E$11:$E$296,'Nuvei'!$G$11:$G$296,$A234)</f>
        <v/>
      </c>
      <c r="D234" s="9">
        <f>SUMIFS('Shift4'!$E$11:$E$116,'Shift4'!$G$11:$G$116,$A234)</f>
        <v/>
      </c>
      <c r="E234" s="9">
        <f>SUMIFS('Paysafe'!$E$11:$E$44,'Paysafe'!$G$11:$G$44,$A234)</f>
        <v/>
      </c>
      <c r="F234" s="10">
        <f>SUM(B234:E234)</f>
        <v/>
      </c>
    </row>
    <row r="235">
      <c r="A235" s="8" t="n">
        <v>46155</v>
      </c>
      <c r="B235" s="9">
        <f>SUMIFS('Adyen'!$E$11:$E$207,'Adyen'!$G$11:$G$207,$A235)</f>
        <v/>
      </c>
      <c r="C235" s="9">
        <f>SUMIFS('Nuvei'!$E$11:$E$296,'Nuvei'!$G$11:$G$296,$A235)</f>
        <v/>
      </c>
      <c r="D235" s="9">
        <f>SUMIFS('Shift4'!$E$11:$E$116,'Shift4'!$G$11:$G$116,$A235)</f>
        <v/>
      </c>
      <c r="E235" s="9">
        <f>SUMIFS('Paysafe'!$E$11:$E$44,'Paysafe'!$G$11:$G$44,$A235)</f>
        <v/>
      </c>
      <c r="F235" s="10">
        <f>SUM(B235:E235)</f>
        <v/>
      </c>
    </row>
    <row r="236">
      <c r="A236" s="8" t="n">
        <v>46156</v>
      </c>
      <c r="B236" s="9">
        <f>SUMIFS('Adyen'!$E$11:$E$207,'Adyen'!$G$11:$G$207,$A236)</f>
        <v/>
      </c>
      <c r="C236" s="9">
        <f>SUMIFS('Nuvei'!$E$11:$E$296,'Nuvei'!$G$11:$G$296,$A236)</f>
        <v/>
      </c>
      <c r="D236" s="9">
        <f>SUMIFS('Shift4'!$E$11:$E$116,'Shift4'!$G$11:$G$116,$A236)</f>
        <v/>
      </c>
      <c r="E236" s="9">
        <f>SUMIFS('Paysafe'!$E$11:$E$44,'Paysafe'!$G$11:$G$44,$A236)</f>
        <v/>
      </c>
      <c r="F236" s="10">
        <f>SUM(B236:E236)</f>
        <v/>
      </c>
    </row>
    <row r="237">
      <c r="A237" s="8" t="n">
        <v>46157</v>
      </c>
      <c r="B237" s="9">
        <f>SUMIFS('Adyen'!$E$11:$E$207,'Adyen'!$G$11:$G$207,$A237)</f>
        <v/>
      </c>
      <c r="C237" s="9">
        <f>SUMIFS('Nuvei'!$E$11:$E$296,'Nuvei'!$G$11:$G$296,$A237)</f>
        <v/>
      </c>
      <c r="D237" s="9">
        <f>SUMIFS('Shift4'!$E$11:$E$116,'Shift4'!$G$11:$G$116,$A237)</f>
        <v/>
      </c>
      <c r="E237" s="9">
        <f>SUMIFS('Paysafe'!$E$11:$E$44,'Paysafe'!$G$11:$G$44,$A237)</f>
        <v/>
      </c>
      <c r="F237" s="10">
        <f>SUM(B237:E237)</f>
        <v/>
      </c>
    </row>
    <row r="238">
      <c r="A238" s="8" t="n">
        <v>46158</v>
      </c>
      <c r="B238" s="9">
        <f>SUMIFS('Adyen'!$E$11:$E$207,'Adyen'!$G$11:$G$207,$A238)</f>
        <v/>
      </c>
      <c r="C238" s="9">
        <f>SUMIFS('Nuvei'!$E$11:$E$296,'Nuvei'!$G$11:$G$296,$A238)</f>
        <v/>
      </c>
      <c r="D238" s="9">
        <f>SUMIFS('Shift4'!$E$11:$E$116,'Shift4'!$G$11:$G$116,$A238)</f>
        <v/>
      </c>
      <c r="E238" s="9">
        <f>SUMIFS('Paysafe'!$E$11:$E$44,'Paysafe'!$G$11:$G$44,$A238)</f>
        <v/>
      </c>
      <c r="F238" s="10">
        <f>SUM(B238:E238)</f>
        <v/>
      </c>
    </row>
    <row r="239">
      <c r="A239" s="8" t="n">
        <v>46159</v>
      </c>
      <c r="B239" s="9">
        <f>SUMIFS('Adyen'!$E$11:$E$207,'Adyen'!$G$11:$G$207,$A239)</f>
        <v/>
      </c>
      <c r="C239" s="9">
        <f>SUMIFS('Nuvei'!$E$11:$E$296,'Nuvei'!$G$11:$G$296,$A239)</f>
        <v/>
      </c>
      <c r="D239" s="9">
        <f>SUMIFS('Shift4'!$E$11:$E$116,'Shift4'!$G$11:$G$116,$A239)</f>
        <v/>
      </c>
      <c r="E239" s="9">
        <f>SUMIFS('Paysafe'!$E$11:$E$44,'Paysafe'!$G$11:$G$44,$A239)</f>
        <v/>
      </c>
      <c r="F239" s="10">
        <f>SUM(B239:E239)</f>
        <v/>
      </c>
    </row>
    <row r="240">
      <c r="A240" s="8" t="n">
        <v>46160</v>
      </c>
      <c r="B240" s="9">
        <f>SUMIFS('Adyen'!$E$11:$E$207,'Adyen'!$G$11:$G$207,$A240)</f>
        <v/>
      </c>
      <c r="C240" s="9">
        <f>SUMIFS('Nuvei'!$E$11:$E$296,'Nuvei'!$G$11:$G$296,$A240)</f>
        <v/>
      </c>
      <c r="D240" s="9">
        <f>SUMIFS('Shift4'!$E$11:$E$116,'Shift4'!$G$11:$G$116,$A240)</f>
        <v/>
      </c>
      <c r="E240" s="9">
        <f>SUMIFS('Paysafe'!$E$11:$E$44,'Paysafe'!$G$11:$G$44,$A240)</f>
        <v/>
      </c>
      <c r="F240" s="10">
        <f>SUM(B240:E240)</f>
        <v/>
      </c>
    </row>
    <row r="241">
      <c r="A241" s="8" t="n">
        <v>46161</v>
      </c>
      <c r="B241" s="9">
        <f>SUMIFS('Adyen'!$E$11:$E$207,'Adyen'!$G$11:$G$207,$A241)</f>
        <v/>
      </c>
      <c r="C241" s="9">
        <f>SUMIFS('Nuvei'!$E$11:$E$296,'Nuvei'!$G$11:$G$296,$A241)</f>
        <v/>
      </c>
      <c r="D241" s="9">
        <f>SUMIFS('Shift4'!$E$11:$E$116,'Shift4'!$G$11:$G$116,$A241)</f>
        <v/>
      </c>
      <c r="E241" s="9">
        <f>SUMIFS('Paysafe'!$E$11:$E$44,'Paysafe'!$G$11:$G$44,$A241)</f>
        <v/>
      </c>
      <c r="F241" s="10">
        <f>SUM(B241:E241)</f>
        <v/>
      </c>
    </row>
    <row r="242">
      <c r="A242" s="8" t="n">
        <v>46162</v>
      </c>
      <c r="B242" s="9">
        <f>SUMIFS('Adyen'!$E$11:$E$207,'Adyen'!$G$11:$G$207,$A242)</f>
        <v/>
      </c>
      <c r="C242" s="9">
        <f>SUMIFS('Nuvei'!$E$11:$E$296,'Nuvei'!$G$11:$G$296,$A242)</f>
        <v/>
      </c>
      <c r="D242" s="9">
        <f>SUMIFS('Shift4'!$E$11:$E$116,'Shift4'!$G$11:$G$116,$A242)</f>
        <v/>
      </c>
      <c r="E242" s="9">
        <f>SUMIFS('Paysafe'!$E$11:$E$44,'Paysafe'!$G$11:$G$44,$A242)</f>
        <v/>
      </c>
      <c r="F242" s="10">
        <f>SUM(B242:E242)</f>
        <v/>
      </c>
    </row>
    <row r="243">
      <c r="A243" s="8" t="n">
        <v>46163</v>
      </c>
      <c r="B243" s="9">
        <f>SUMIFS('Adyen'!$E$11:$E$207,'Adyen'!$G$11:$G$207,$A243)</f>
        <v/>
      </c>
      <c r="C243" s="9">
        <f>SUMIFS('Nuvei'!$E$11:$E$296,'Nuvei'!$G$11:$G$296,$A243)</f>
        <v/>
      </c>
      <c r="D243" s="9">
        <f>SUMIFS('Shift4'!$E$11:$E$116,'Shift4'!$G$11:$G$116,$A243)</f>
        <v/>
      </c>
      <c r="E243" s="9">
        <f>SUMIFS('Paysafe'!$E$11:$E$44,'Paysafe'!$G$11:$G$44,$A243)</f>
        <v/>
      </c>
      <c r="F243" s="10">
        <f>SUM(B243:E243)</f>
        <v/>
      </c>
    </row>
    <row r="244">
      <c r="A244" s="8" t="n">
        <v>46164</v>
      </c>
      <c r="B244" s="9">
        <f>SUMIFS('Adyen'!$E$11:$E$207,'Adyen'!$G$11:$G$207,$A244)</f>
        <v/>
      </c>
      <c r="C244" s="9">
        <f>SUMIFS('Nuvei'!$E$11:$E$296,'Nuvei'!$G$11:$G$296,$A244)</f>
        <v/>
      </c>
      <c r="D244" s="9">
        <f>SUMIFS('Shift4'!$E$11:$E$116,'Shift4'!$G$11:$G$116,$A244)</f>
        <v/>
      </c>
      <c r="E244" s="9">
        <f>SUMIFS('Paysafe'!$E$11:$E$44,'Paysafe'!$G$11:$G$44,$A244)</f>
        <v/>
      </c>
      <c r="F244" s="10">
        <f>SUM(B244:E244)</f>
        <v/>
      </c>
    </row>
    <row r="245">
      <c r="A245" s="8" t="n">
        <v>46165</v>
      </c>
      <c r="B245" s="9">
        <f>SUMIFS('Adyen'!$E$11:$E$207,'Adyen'!$G$11:$G$207,$A245)</f>
        <v/>
      </c>
      <c r="C245" s="9">
        <f>SUMIFS('Nuvei'!$E$11:$E$296,'Nuvei'!$G$11:$G$296,$A245)</f>
        <v/>
      </c>
      <c r="D245" s="9">
        <f>SUMIFS('Shift4'!$E$11:$E$116,'Shift4'!$G$11:$G$116,$A245)</f>
        <v/>
      </c>
      <c r="E245" s="9">
        <f>SUMIFS('Paysafe'!$E$11:$E$44,'Paysafe'!$G$11:$G$44,$A245)</f>
        <v/>
      </c>
      <c r="F245" s="10">
        <f>SUM(B245:E245)</f>
        <v/>
      </c>
    </row>
    <row r="246">
      <c r="A246" s="8" t="n">
        <v>46166</v>
      </c>
      <c r="B246" s="9">
        <f>SUMIFS('Adyen'!$E$11:$E$207,'Adyen'!$G$11:$G$207,$A246)</f>
        <v/>
      </c>
      <c r="C246" s="9">
        <f>SUMIFS('Nuvei'!$E$11:$E$296,'Nuvei'!$G$11:$G$296,$A246)</f>
        <v/>
      </c>
      <c r="D246" s="9">
        <f>SUMIFS('Shift4'!$E$11:$E$116,'Shift4'!$G$11:$G$116,$A246)</f>
        <v/>
      </c>
      <c r="E246" s="9">
        <f>SUMIFS('Paysafe'!$E$11:$E$44,'Paysafe'!$G$11:$G$44,$A246)</f>
        <v/>
      </c>
      <c r="F246" s="10">
        <f>SUM(B246:E246)</f>
        <v/>
      </c>
    </row>
    <row r="247">
      <c r="A247" s="8" t="n">
        <v>46167</v>
      </c>
      <c r="B247" s="9">
        <f>SUMIFS('Adyen'!$E$11:$E$207,'Adyen'!$G$11:$G$207,$A247)</f>
        <v/>
      </c>
      <c r="C247" s="9">
        <f>SUMIFS('Nuvei'!$E$11:$E$296,'Nuvei'!$G$11:$G$296,$A247)</f>
        <v/>
      </c>
      <c r="D247" s="9">
        <f>SUMIFS('Shift4'!$E$11:$E$116,'Shift4'!$G$11:$G$116,$A247)</f>
        <v/>
      </c>
      <c r="E247" s="9">
        <f>SUMIFS('Paysafe'!$E$11:$E$44,'Paysafe'!$G$11:$G$44,$A247)</f>
        <v/>
      </c>
      <c r="F247" s="10">
        <f>SUM(B247:E247)</f>
        <v/>
      </c>
    </row>
    <row r="248">
      <c r="A248" s="8" t="n">
        <v>46168</v>
      </c>
      <c r="B248" s="9">
        <f>SUMIFS('Adyen'!$E$11:$E$207,'Adyen'!$G$11:$G$207,$A248)</f>
        <v/>
      </c>
      <c r="C248" s="9">
        <f>SUMIFS('Nuvei'!$E$11:$E$296,'Nuvei'!$G$11:$G$296,$A248)</f>
        <v/>
      </c>
      <c r="D248" s="9">
        <f>SUMIFS('Shift4'!$E$11:$E$116,'Shift4'!$G$11:$G$116,$A248)</f>
        <v/>
      </c>
      <c r="E248" s="9">
        <f>SUMIFS('Paysafe'!$E$11:$E$44,'Paysafe'!$G$11:$G$44,$A248)</f>
        <v/>
      </c>
      <c r="F248" s="10">
        <f>SUM(B248:E248)</f>
        <v/>
      </c>
    </row>
    <row r="249">
      <c r="A249" s="8" t="n">
        <v>46169</v>
      </c>
      <c r="B249" s="9">
        <f>SUMIFS('Adyen'!$E$11:$E$207,'Adyen'!$G$11:$G$207,$A249)</f>
        <v/>
      </c>
      <c r="C249" s="9">
        <f>SUMIFS('Nuvei'!$E$11:$E$296,'Nuvei'!$G$11:$G$296,$A249)</f>
        <v/>
      </c>
      <c r="D249" s="9">
        <f>SUMIFS('Shift4'!$E$11:$E$116,'Shift4'!$G$11:$G$116,$A249)</f>
        <v/>
      </c>
      <c r="E249" s="9">
        <f>SUMIFS('Paysafe'!$E$11:$E$44,'Paysafe'!$G$11:$G$44,$A249)</f>
        <v/>
      </c>
      <c r="F249" s="10">
        <f>SUM(B249:E249)</f>
        <v/>
      </c>
    </row>
    <row r="250">
      <c r="A250" s="8" t="n">
        <v>46170</v>
      </c>
      <c r="B250" s="9">
        <f>SUMIFS('Adyen'!$E$11:$E$207,'Adyen'!$G$11:$G$207,$A250)</f>
        <v/>
      </c>
      <c r="C250" s="9">
        <f>SUMIFS('Nuvei'!$E$11:$E$296,'Nuvei'!$G$11:$G$296,$A250)</f>
        <v/>
      </c>
      <c r="D250" s="9">
        <f>SUMIFS('Shift4'!$E$11:$E$116,'Shift4'!$G$11:$G$116,$A250)</f>
        <v/>
      </c>
      <c r="E250" s="9">
        <f>SUMIFS('Paysafe'!$E$11:$E$44,'Paysafe'!$G$11:$G$44,$A250)</f>
        <v/>
      </c>
      <c r="F250" s="10">
        <f>SUM(B250:E250)</f>
        <v/>
      </c>
    </row>
    <row r="251">
      <c r="A251" s="8" t="n">
        <v>46171</v>
      </c>
      <c r="B251" s="9">
        <f>SUMIFS('Adyen'!$E$11:$E$207,'Adyen'!$G$11:$G$207,$A251)</f>
        <v/>
      </c>
      <c r="C251" s="9">
        <f>SUMIFS('Nuvei'!$E$11:$E$296,'Nuvei'!$G$11:$G$296,$A251)</f>
        <v/>
      </c>
      <c r="D251" s="9">
        <f>SUMIFS('Shift4'!$E$11:$E$116,'Shift4'!$G$11:$G$116,$A251)</f>
        <v/>
      </c>
      <c r="E251" s="9">
        <f>SUMIFS('Paysafe'!$E$11:$E$44,'Paysafe'!$G$11:$G$44,$A251)</f>
        <v/>
      </c>
      <c r="F251" s="10">
        <f>SUM(B251:E251)</f>
        <v/>
      </c>
    </row>
    <row r="252">
      <c r="A252" s="8" t="n">
        <v>46172</v>
      </c>
      <c r="B252" s="9">
        <f>SUMIFS('Adyen'!$E$11:$E$207,'Adyen'!$G$11:$G$207,$A252)</f>
        <v/>
      </c>
      <c r="C252" s="9">
        <f>SUMIFS('Nuvei'!$E$11:$E$296,'Nuvei'!$G$11:$G$296,$A252)</f>
        <v/>
      </c>
      <c r="D252" s="9">
        <f>SUMIFS('Shift4'!$E$11:$E$116,'Shift4'!$G$11:$G$116,$A252)</f>
        <v/>
      </c>
      <c r="E252" s="9">
        <f>SUMIFS('Paysafe'!$E$11:$E$44,'Paysafe'!$G$11:$G$44,$A252)</f>
        <v/>
      </c>
      <c r="F252" s="10">
        <f>SUM(B252:E252)</f>
        <v/>
      </c>
    </row>
    <row r="253">
      <c r="A253" s="8" t="n">
        <v>46173</v>
      </c>
      <c r="B253" s="9">
        <f>SUMIFS('Adyen'!$E$11:$E$207,'Adyen'!$G$11:$G$207,$A253)</f>
        <v/>
      </c>
      <c r="C253" s="9">
        <f>SUMIFS('Nuvei'!$E$11:$E$296,'Nuvei'!$G$11:$G$296,$A253)</f>
        <v/>
      </c>
      <c r="D253" s="9">
        <f>SUMIFS('Shift4'!$E$11:$E$116,'Shift4'!$G$11:$G$116,$A253)</f>
        <v/>
      </c>
      <c r="E253" s="9">
        <f>SUMIFS('Paysafe'!$E$11:$E$44,'Paysafe'!$G$11:$G$44,$A253)</f>
        <v/>
      </c>
      <c r="F253" s="10">
        <f>SUM(B253:E253)</f>
        <v/>
      </c>
    </row>
    <row r="254">
      <c r="A254" s="8" t="n">
        <v>46174</v>
      </c>
      <c r="B254" s="9">
        <f>SUMIFS('Adyen'!$E$11:$E$207,'Adyen'!$G$11:$G$207,$A254)</f>
        <v/>
      </c>
      <c r="C254" s="9">
        <f>SUMIFS('Nuvei'!$E$11:$E$296,'Nuvei'!$G$11:$G$296,$A254)</f>
        <v/>
      </c>
      <c r="D254" s="9">
        <f>SUMIFS('Shift4'!$E$11:$E$116,'Shift4'!$G$11:$G$116,$A254)</f>
        <v/>
      </c>
      <c r="E254" s="9">
        <f>SUMIFS('Paysafe'!$E$11:$E$44,'Paysafe'!$G$11:$G$44,$A254)</f>
        <v/>
      </c>
      <c r="F254" s="10">
        <f>SUM(B254:E254)</f>
        <v/>
      </c>
    </row>
    <row r="255">
      <c r="A255" s="8" t="n">
        <v>46175</v>
      </c>
      <c r="B255" s="9">
        <f>SUMIFS('Adyen'!$E$11:$E$207,'Adyen'!$G$11:$G$207,$A255)</f>
        <v/>
      </c>
      <c r="C255" s="9">
        <f>SUMIFS('Nuvei'!$E$11:$E$296,'Nuvei'!$G$11:$G$296,$A255)</f>
        <v/>
      </c>
      <c r="D255" s="9">
        <f>SUMIFS('Shift4'!$E$11:$E$116,'Shift4'!$G$11:$G$116,$A255)</f>
        <v/>
      </c>
      <c r="E255" s="9">
        <f>SUMIFS('Paysafe'!$E$11:$E$44,'Paysafe'!$G$11:$G$44,$A255)</f>
        <v/>
      </c>
      <c r="F255" s="10">
        <f>SUM(B255:E255)</f>
        <v/>
      </c>
    </row>
    <row r="256">
      <c r="A256" s="8" t="n">
        <v>46176</v>
      </c>
      <c r="B256" s="9">
        <f>SUMIFS('Adyen'!$E$11:$E$207,'Adyen'!$G$11:$G$207,$A256)</f>
        <v/>
      </c>
      <c r="C256" s="9">
        <f>SUMIFS('Nuvei'!$E$11:$E$296,'Nuvei'!$G$11:$G$296,$A256)</f>
        <v/>
      </c>
      <c r="D256" s="9">
        <f>SUMIFS('Shift4'!$E$11:$E$116,'Shift4'!$G$11:$G$116,$A256)</f>
        <v/>
      </c>
      <c r="E256" s="9">
        <f>SUMIFS('Paysafe'!$E$11:$E$44,'Paysafe'!$G$11:$G$44,$A256)</f>
        <v/>
      </c>
      <c r="F256" s="10">
        <f>SUM(B256:E256)</f>
        <v/>
      </c>
    </row>
    <row r="257">
      <c r="A257" s="8" t="n">
        <v>46177</v>
      </c>
      <c r="B257" s="9">
        <f>SUMIFS('Adyen'!$E$11:$E$207,'Adyen'!$G$11:$G$207,$A257)</f>
        <v/>
      </c>
      <c r="C257" s="9">
        <f>SUMIFS('Nuvei'!$E$11:$E$296,'Nuvei'!$G$11:$G$296,$A257)</f>
        <v/>
      </c>
      <c r="D257" s="9">
        <f>SUMIFS('Shift4'!$E$11:$E$116,'Shift4'!$G$11:$G$116,$A257)</f>
        <v/>
      </c>
      <c r="E257" s="9">
        <f>SUMIFS('Paysafe'!$E$11:$E$44,'Paysafe'!$G$11:$G$44,$A257)</f>
        <v/>
      </c>
      <c r="F257" s="10">
        <f>SUM(B257:E257)</f>
        <v/>
      </c>
    </row>
    <row r="258">
      <c r="A258" s="8" t="n">
        <v>46178</v>
      </c>
      <c r="B258" s="9">
        <f>SUMIFS('Adyen'!$E$11:$E$207,'Adyen'!$G$11:$G$207,$A258)</f>
        <v/>
      </c>
      <c r="C258" s="9">
        <f>SUMIFS('Nuvei'!$E$11:$E$296,'Nuvei'!$G$11:$G$296,$A258)</f>
        <v/>
      </c>
      <c r="D258" s="9">
        <f>SUMIFS('Shift4'!$E$11:$E$116,'Shift4'!$G$11:$G$116,$A258)</f>
        <v/>
      </c>
      <c r="E258" s="9">
        <f>SUMIFS('Paysafe'!$E$11:$E$44,'Paysafe'!$G$11:$G$44,$A258)</f>
        <v/>
      </c>
      <c r="F258" s="10">
        <f>SUM(B258:E258)</f>
        <v/>
      </c>
    </row>
    <row r="259">
      <c r="A259" s="8" t="n">
        <v>46179</v>
      </c>
      <c r="B259" s="9">
        <f>SUMIFS('Adyen'!$E$11:$E$207,'Adyen'!$G$11:$G$207,$A259)</f>
        <v/>
      </c>
      <c r="C259" s="9">
        <f>SUMIFS('Nuvei'!$E$11:$E$296,'Nuvei'!$G$11:$G$296,$A259)</f>
        <v/>
      </c>
      <c r="D259" s="9">
        <f>SUMIFS('Shift4'!$E$11:$E$116,'Shift4'!$G$11:$G$116,$A259)</f>
        <v/>
      </c>
      <c r="E259" s="9">
        <f>SUMIFS('Paysafe'!$E$11:$E$44,'Paysafe'!$G$11:$G$44,$A259)</f>
        <v/>
      </c>
      <c r="F259" s="10">
        <f>SUM(B259:E259)</f>
        <v/>
      </c>
    </row>
    <row r="260">
      <c r="A260" s="8" t="n">
        <v>46180</v>
      </c>
      <c r="B260" s="9">
        <f>SUMIFS('Adyen'!$E$11:$E$207,'Adyen'!$G$11:$G$207,$A260)</f>
        <v/>
      </c>
      <c r="C260" s="9">
        <f>SUMIFS('Nuvei'!$E$11:$E$296,'Nuvei'!$G$11:$G$296,$A260)</f>
        <v/>
      </c>
      <c r="D260" s="9">
        <f>SUMIFS('Shift4'!$E$11:$E$116,'Shift4'!$G$11:$G$116,$A260)</f>
        <v/>
      </c>
      <c r="E260" s="9">
        <f>SUMIFS('Paysafe'!$E$11:$E$44,'Paysafe'!$G$11:$G$44,$A260)</f>
        <v/>
      </c>
      <c r="F260" s="10">
        <f>SUM(B260:E260)</f>
        <v/>
      </c>
    </row>
    <row r="261">
      <c r="A261" s="8" t="n">
        <v>46181</v>
      </c>
      <c r="B261" s="9">
        <f>SUMIFS('Adyen'!$E$11:$E$207,'Adyen'!$G$11:$G$207,$A261)</f>
        <v/>
      </c>
      <c r="C261" s="9">
        <f>SUMIFS('Nuvei'!$E$11:$E$296,'Nuvei'!$G$11:$G$296,$A261)</f>
        <v/>
      </c>
      <c r="D261" s="9">
        <f>SUMIFS('Shift4'!$E$11:$E$116,'Shift4'!$G$11:$G$116,$A261)</f>
        <v/>
      </c>
      <c r="E261" s="9">
        <f>SUMIFS('Paysafe'!$E$11:$E$44,'Paysafe'!$G$11:$G$44,$A261)</f>
        <v/>
      </c>
      <c r="F261" s="10">
        <f>SUM(B261:E261)</f>
        <v/>
      </c>
    </row>
    <row r="262">
      <c r="A262" s="8" t="n">
        <v>46182</v>
      </c>
      <c r="B262" s="9">
        <f>SUMIFS('Adyen'!$E$11:$E$207,'Adyen'!$G$11:$G$207,$A262)</f>
        <v/>
      </c>
      <c r="C262" s="9">
        <f>SUMIFS('Nuvei'!$E$11:$E$296,'Nuvei'!$G$11:$G$296,$A262)</f>
        <v/>
      </c>
      <c r="D262" s="9">
        <f>SUMIFS('Shift4'!$E$11:$E$116,'Shift4'!$G$11:$G$116,$A262)</f>
        <v/>
      </c>
      <c r="E262" s="9">
        <f>SUMIFS('Paysafe'!$E$11:$E$44,'Paysafe'!$G$11:$G$44,$A262)</f>
        <v/>
      </c>
      <c r="F262" s="10">
        <f>SUM(B262:E262)</f>
        <v/>
      </c>
    </row>
    <row r="263">
      <c r="A263" s="8" t="n">
        <v>46183</v>
      </c>
      <c r="B263" s="9">
        <f>SUMIFS('Adyen'!$E$11:$E$207,'Adyen'!$G$11:$G$207,$A263)</f>
        <v/>
      </c>
      <c r="C263" s="9">
        <f>SUMIFS('Nuvei'!$E$11:$E$296,'Nuvei'!$G$11:$G$296,$A263)</f>
        <v/>
      </c>
      <c r="D263" s="9">
        <f>SUMIFS('Shift4'!$E$11:$E$116,'Shift4'!$G$11:$G$116,$A263)</f>
        <v/>
      </c>
      <c r="E263" s="9">
        <f>SUMIFS('Paysafe'!$E$11:$E$44,'Paysafe'!$G$11:$G$44,$A263)</f>
        <v/>
      </c>
      <c r="F263" s="10">
        <f>SUM(B263:E263)</f>
        <v/>
      </c>
    </row>
    <row r="264">
      <c r="A264" s="8" t="n">
        <v>46184</v>
      </c>
      <c r="B264" s="9">
        <f>SUMIFS('Adyen'!$E$11:$E$207,'Adyen'!$G$11:$G$207,$A264)</f>
        <v/>
      </c>
      <c r="C264" s="9">
        <f>SUMIFS('Nuvei'!$E$11:$E$296,'Nuvei'!$G$11:$G$296,$A264)</f>
        <v/>
      </c>
      <c r="D264" s="9">
        <f>SUMIFS('Shift4'!$E$11:$E$116,'Shift4'!$G$11:$G$116,$A264)</f>
        <v/>
      </c>
      <c r="E264" s="9">
        <f>SUMIFS('Paysafe'!$E$11:$E$44,'Paysafe'!$G$11:$G$44,$A264)</f>
        <v/>
      </c>
      <c r="F264" s="10">
        <f>SUM(B264:E264)</f>
        <v/>
      </c>
    </row>
    <row r="265">
      <c r="A265" s="8" t="n">
        <v>46185</v>
      </c>
      <c r="B265" s="9">
        <f>SUMIFS('Adyen'!$E$11:$E$207,'Adyen'!$G$11:$G$207,$A265)</f>
        <v/>
      </c>
      <c r="C265" s="9">
        <f>SUMIFS('Nuvei'!$E$11:$E$296,'Nuvei'!$G$11:$G$296,$A265)</f>
        <v/>
      </c>
      <c r="D265" s="9">
        <f>SUMIFS('Shift4'!$E$11:$E$116,'Shift4'!$G$11:$G$116,$A265)</f>
        <v/>
      </c>
      <c r="E265" s="9">
        <f>SUMIFS('Paysafe'!$E$11:$E$44,'Paysafe'!$G$11:$G$44,$A265)</f>
        <v/>
      </c>
      <c r="F265" s="10">
        <f>SUM(B265:E265)</f>
        <v/>
      </c>
    </row>
    <row r="266">
      <c r="A266" s="8" t="n">
        <v>46186</v>
      </c>
      <c r="B266" s="9">
        <f>SUMIFS('Adyen'!$E$11:$E$207,'Adyen'!$G$11:$G$207,$A266)</f>
        <v/>
      </c>
      <c r="C266" s="9">
        <f>SUMIFS('Nuvei'!$E$11:$E$296,'Nuvei'!$G$11:$G$296,$A266)</f>
        <v/>
      </c>
      <c r="D266" s="9">
        <f>SUMIFS('Shift4'!$E$11:$E$116,'Shift4'!$G$11:$G$116,$A266)</f>
        <v/>
      </c>
      <c r="E266" s="9">
        <f>SUMIFS('Paysafe'!$E$11:$E$44,'Paysafe'!$G$11:$G$44,$A266)</f>
        <v/>
      </c>
      <c r="F266" s="10">
        <f>SUM(B266:E266)</f>
        <v/>
      </c>
    </row>
    <row r="267">
      <c r="A267" s="8" t="n">
        <v>46187</v>
      </c>
      <c r="B267" s="9">
        <f>SUMIFS('Adyen'!$E$11:$E$207,'Adyen'!$G$11:$G$207,$A267)</f>
        <v/>
      </c>
      <c r="C267" s="9">
        <f>SUMIFS('Nuvei'!$E$11:$E$296,'Nuvei'!$G$11:$G$296,$A267)</f>
        <v/>
      </c>
      <c r="D267" s="9">
        <f>SUMIFS('Shift4'!$E$11:$E$116,'Shift4'!$G$11:$G$116,$A267)</f>
        <v/>
      </c>
      <c r="E267" s="9">
        <f>SUMIFS('Paysafe'!$E$11:$E$44,'Paysafe'!$G$11:$G$44,$A267)</f>
        <v/>
      </c>
      <c r="F267" s="10">
        <f>SUM(B267:E267)</f>
        <v/>
      </c>
    </row>
    <row r="268">
      <c r="A268" s="8" t="n">
        <v>46188</v>
      </c>
      <c r="B268" s="9">
        <f>SUMIFS('Adyen'!$E$11:$E$207,'Adyen'!$G$11:$G$207,$A268)</f>
        <v/>
      </c>
      <c r="C268" s="9">
        <f>SUMIFS('Nuvei'!$E$11:$E$296,'Nuvei'!$G$11:$G$296,$A268)</f>
        <v/>
      </c>
      <c r="D268" s="9">
        <f>SUMIFS('Shift4'!$E$11:$E$116,'Shift4'!$G$11:$G$116,$A268)</f>
        <v/>
      </c>
      <c r="E268" s="9">
        <f>SUMIFS('Paysafe'!$E$11:$E$44,'Paysafe'!$G$11:$G$44,$A268)</f>
        <v/>
      </c>
      <c r="F268" s="10">
        <f>SUM(B268:E268)</f>
        <v/>
      </c>
    </row>
    <row r="269">
      <c r="A269" s="8" t="n">
        <v>46189</v>
      </c>
      <c r="B269" s="9">
        <f>SUMIFS('Adyen'!$E$11:$E$207,'Adyen'!$G$11:$G$207,$A269)</f>
        <v/>
      </c>
      <c r="C269" s="9">
        <f>SUMIFS('Nuvei'!$E$11:$E$296,'Nuvei'!$G$11:$G$296,$A269)</f>
        <v/>
      </c>
      <c r="D269" s="9">
        <f>SUMIFS('Shift4'!$E$11:$E$116,'Shift4'!$G$11:$G$116,$A269)</f>
        <v/>
      </c>
      <c r="E269" s="9">
        <f>SUMIFS('Paysafe'!$E$11:$E$44,'Paysafe'!$G$11:$G$44,$A269)</f>
        <v/>
      </c>
      <c r="F269" s="10">
        <f>SUM(B269:E269)</f>
        <v/>
      </c>
    </row>
    <row r="270">
      <c r="A270" s="8" t="n">
        <v>46190</v>
      </c>
      <c r="B270" s="9">
        <f>SUMIFS('Adyen'!$E$11:$E$207,'Adyen'!$G$11:$G$207,$A270)</f>
        <v/>
      </c>
      <c r="C270" s="9">
        <f>SUMIFS('Nuvei'!$E$11:$E$296,'Nuvei'!$G$11:$G$296,$A270)</f>
        <v/>
      </c>
      <c r="D270" s="9">
        <f>SUMIFS('Shift4'!$E$11:$E$116,'Shift4'!$G$11:$G$116,$A270)</f>
        <v/>
      </c>
      <c r="E270" s="9">
        <f>SUMIFS('Paysafe'!$E$11:$E$44,'Paysafe'!$G$11:$G$44,$A270)</f>
        <v/>
      </c>
      <c r="F270" s="10">
        <f>SUM(B270:E270)</f>
        <v/>
      </c>
    </row>
    <row r="271">
      <c r="A271" s="8" t="n">
        <v>46191</v>
      </c>
      <c r="B271" s="9">
        <f>SUMIFS('Adyen'!$E$11:$E$207,'Adyen'!$G$11:$G$207,$A271)</f>
        <v/>
      </c>
      <c r="C271" s="9">
        <f>SUMIFS('Nuvei'!$E$11:$E$296,'Nuvei'!$G$11:$G$296,$A271)</f>
        <v/>
      </c>
      <c r="D271" s="9">
        <f>SUMIFS('Shift4'!$E$11:$E$116,'Shift4'!$G$11:$G$116,$A271)</f>
        <v/>
      </c>
      <c r="E271" s="9">
        <f>SUMIFS('Paysafe'!$E$11:$E$44,'Paysafe'!$G$11:$G$44,$A271)</f>
        <v/>
      </c>
      <c r="F271" s="10">
        <f>SUM(B271:E271)</f>
        <v/>
      </c>
    </row>
    <row r="272">
      <c r="A272" s="8" t="n">
        <v>46192</v>
      </c>
      <c r="B272" s="9">
        <f>SUMIFS('Adyen'!$E$11:$E$207,'Adyen'!$G$11:$G$207,$A272)</f>
        <v/>
      </c>
      <c r="C272" s="9">
        <f>SUMIFS('Nuvei'!$E$11:$E$296,'Nuvei'!$G$11:$G$296,$A272)</f>
        <v/>
      </c>
      <c r="D272" s="9">
        <f>SUMIFS('Shift4'!$E$11:$E$116,'Shift4'!$G$11:$G$116,$A272)</f>
        <v/>
      </c>
      <c r="E272" s="9">
        <f>SUMIFS('Paysafe'!$E$11:$E$44,'Paysafe'!$G$11:$G$44,$A272)</f>
        <v/>
      </c>
      <c r="F272" s="10">
        <f>SUM(B272:E272)</f>
        <v/>
      </c>
    </row>
    <row r="273">
      <c r="A273" s="8" t="n">
        <v>46193</v>
      </c>
      <c r="B273" s="9">
        <f>SUMIFS('Adyen'!$E$11:$E$207,'Adyen'!$G$11:$G$207,$A273)</f>
        <v/>
      </c>
      <c r="C273" s="9">
        <f>SUMIFS('Nuvei'!$E$11:$E$296,'Nuvei'!$G$11:$G$296,$A273)</f>
        <v/>
      </c>
      <c r="D273" s="9">
        <f>SUMIFS('Shift4'!$E$11:$E$116,'Shift4'!$G$11:$G$116,$A273)</f>
        <v/>
      </c>
      <c r="E273" s="9">
        <f>SUMIFS('Paysafe'!$E$11:$E$44,'Paysafe'!$G$11:$G$44,$A273)</f>
        <v/>
      </c>
      <c r="F273" s="10">
        <f>SUM(B273:E273)</f>
        <v/>
      </c>
    </row>
    <row r="274">
      <c r="A274" s="8" t="n">
        <v>46194</v>
      </c>
      <c r="B274" s="9">
        <f>SUMIFS('Adyen'!$E$11:$E$207,'Adyen'!$G$11:$G$207,$A274)</f>
        <v/>
      </c>
      <c r="C274" s="9">
        <f>SUMIFS('Nuvei'!$E$11:$E$296,'Nuvei'!$G$11:$G$296,$A274)</f>
        <v/>
      </c>
      <c r="D274" s="9">
        <f>SUMIFS('Shift4'!$E$11:$E$116,'Shift4'!$G$11:$G$116,$A274)</f>
        <v/>
      </c>
      <c r="E274" s="9">
        <f>SUMIFS('Paysafe'!$E$11:$E$44,'Paysafe'!$G$11:$G$44,$A274)</f>
        <v/>
      </c>
      <c r="F274" s="10">
        <f>SUM(B274:E274)</f>
        <v/>
      </c>
    </row>
    <row r="275">
      <c r="A275" s="8" t="n">
        <v>46195</v>
      </c>
      <c r="B275" s="9">
        <f>SUMIFS('Adyen'!$E$11:$E$207,'Adyen'!$G$11:$G$207,$A275)</f>
        <v/>
      </c>
      <c r="C275" s="9">
        <f>SUMIFS('Nuvei'!$E$11:$E$296,'Nuvei'!$G$11:$G$296,$A275)</f>
        <v/>
      </c>
      <c r="D275" s="9">
        <f>SUMIFS('Shift4'!$E$11:$E$116,'Shift4'!$G$11:$G$116,$A275)</f>
        <v/>
      </c>
      <c r="E275" s="9">
        <f>SUMIFS('Paysafe'!$E$11:$E$44,'Paysafe'!$G$11:$G$44,$A275)</f>
        <v/>
      </c>
      <c r="F275" s="10">
        <f>SUM(B275:E275)</f>
        <v/>
      </c>
    </row>
    <row r="276">
      <c r="A276" s="8" t="n">
        <v>46196</v>
      </c>
      <c r="B276" s="9">
        <f>SUMIFS('Adyen'!$E$11:$E$207,'Adyen'!$G$11:$G$207,$A276)</f>
        <v/>
      </c>
      <c r="C276" s="9">
        <f>SUMIFS('Nuvei'!$E$11:$E$296,'Nuvei'!$G$11:$G$296,$A276)</f>
        <v/>
      </c>
      <c r="D276" s="9">
        <f>SUMIFS('Shift4'!$E$11:$E$116,'Shift4'!$G$11:$G$116,$A276)</f>
        <v/>
      </c>
      <c r="E276" s="9">
        <f>SUMIFS('Paysafe'!$E$11:$E$44,'Paysafe'!$G$11:$G$44,$A276)</f>
        <v/>
      </c>
      <c r="F276" s="10">
        <f>SUM(B276:E276)</f>
        <v/>
      </c>
    </row>
    <row r="277">
      <c r="A277" s="8" t="n">
        <v>46197</v>
      </c>
      <c r="B277" s="9">
        <f>SUMIFS('Adyen'!$E$11:$E$207,'Adyen'!$G$11:$G$207,$A277)</f>
        <v/>
      </c>
      <c r="C277" s="9">
        <f>SUMIFS('Nuvei'!$E$11:$E$296,'Nuvei'!$G$11:$G$296,$A277)</f>
        <v/>
      </c>
      <c r="D277" s="9">
        <f>SUMIFS('Shift4'!$E$11:$E$116,'Shift4'!$G$11:$G$116,$A277)</f>
        <v/>
      </c>
      <c r="E277" s="9">
        <f>SUMIFS('Paysafe'!$E$11:$E$44,'Paysafe'!$G$11:$G$44,$A277)</f>
        <v/>
      </c>
      <c r="F277" s="10">
        <f>SUM(B277:E277)</f>
        <v/>
      </c>
    </row>
    <row r="278">
      <c r="A278" s="8" t="n">
        <v>46198</v>
      </c>
      <c r="B278" s="9">
        <f>SUMIFS('Adyen'!$E$11:$E$207,'Adyen'!$G$11:$G$207,$A278)</f>
        <v/>
      </c>
      <c r="C278" s="9">
        <f>SUMIFS('Nuvei'!$E$11:$E$296,'Nuvei'!$G$11:$G$296,$A278)</f>
        <v/>
      </c>
      <c r="D278" s="9">
        <f>SUMIFS('Shift4'!$E$11:$E$116,'Shift4'!$G$11:$G$116,$A278)</f>
        <v/>
      </c>
      <c r="E278" s="9">
        <f>SUMIFS('Paysafe'!$E$11:$E$44,'Paysafe'!$G$11:$G$44,$A278)</f>
        <v/>
      </c>
      <c r="F278" s="10">
        <f>SUM(B278:E278)</f>
        <v/>
      </c>
    </row>
    <row r="279">
      <c r="A279" s="8" t="n">
        <v>46199</v>
      </c>
      <c r="B279" s="9">
        <f>SUMIFS('Adyen'!$E$11:$E$207,'Adyen'!$G$11:$G$207,$A279)</f>
        <v/>
      </c>
      <c r="C279" s="9">
        <f>SUMIFS('Nuvei'!$E$11:$E$296,'Nuvei'!$G$11:$G$296,$A279)</f>
        <v/>
      </c>
      <c r="D279" s="9">
        <f>SUMIFS('Shift4'!$E$11:$E$116,'Shift4'!$G$11:$G$116,$A279)</f>
        <v/>
      </c>
      <c r="E279" s="9">
        <f>SUMIFS('Paysafe'!$E$11:$E$44,'Paysafe'!$G$11:$G$44,$A279)</f>
        <v/>
      </c>
      <c r="F279" s="10">
        <f>SUM(B279:E279)</f>
        <v/>
      </c>
    </row>
    <row r="280">
      <c r="A280" s="8" t="n">
        <v>46200</v>
      </c>
      <c r="B280" s="9">
        <f>SUMIFS('Adyen'!$E$11:$E$207,'Adyen'!$G$11:$G$207,$A280)</f>
        <v/>
      </c>
      <c r="C280" s="9">
        <f>SUMIFS('Nuvei'!$E$11:$E$296,'Nuvei'!$G$11:$G$296,$A280)</f>
        <v/>
      </c>
      <c r="D280" s="9">
        <f>SUMIFS('Shift4'!$E$11:$E$116,'Shift4'!$G$11:$G$116,$A280)</f>
        <v/>
      </c>
      <c r="E280" s="9">
        <f>SUMIFS('Paysafe'!$E$11:$E$44,'Paysafe'!$G$11:$G$44,$A280)</f>
        <v/>
      </c>
      <c r="F280" s="10">
        <f>SUM(B280:E280)</f>
        <v/>
      </c>
    </row>
    <row r="281">
      <c r="A281" s="8" t="n">
        <v>46201</v>
      </c>
      <c r="B281" s="9">
        <f>SUMIFS('Adyen'!$E$11:$E$207,'Adyen'!$G$11:$G$207,$A281)</f>
        <v/>
      </c>
      <c r="C281" s="9">
        <f>SUMIFS('Nuvei'!$E$11:$E$296,'Nuvei'!$G$11:$G$296,$A281)</f>
        <v/>
      </c>
      <c r="D281" s="9">
        <f>SUMIFS('Shift4'!$E$11:$E$116,'Shift4'!$G$11:$G$116,$A281)</f>
        <v/>
      </c>
      <c r="E281" s="9">
        <f>SUMIFS('Paysafe'!$E$11:$E$44,'Paysafe'!$G$11:$G$44,$A281)</f>
        <v/>
      </c>
      <c r="F281" s="10">
        <f>SUM(B281:E281)</f>
        <v/>
      </c>
    </row>
    <row r="282">
      <c r="A282" s="8" t="n">
        <v>46202</v>
      </c>
      <c r="B282" s="9">
        <f>SUMIFS('Adyen'!$E$11:$E$207,'Adyen'!$G$11:$G$207,$A282)</f>
        <v/>
      </c>
      <c r="C282" s="9">
        <f>SUMIFS('Nuvei'!$E$11:$E$296,'Nuvei'!$G$11:$G$296,$A282)</f>
        <v/>
      </c>
      <c r="D282" s="9">
        <f>SUMIFS('Shift4'!$E$11:$E$116,'Shift4'!$G$11:$G$116,$A282)</f>
        <v/>
      </c>
      <c r="E282" s="9">
        <f>SUMIFS('Paysafe'!$E$11:$E$44,'Paysafe'!$G$11:$G$44,$A282)</f>
        <v/>
      </c>
      <c r="F282" s="10">
        <f>SUM(B282:E282)</f>
        <v/>
      </c>
    </row>
    <row r="283">
      <c r="A283" s="8" t="n">
        <v>46203</v>
      </c>
      <c r="B283" s="9">
        <f>SUMIFS('Adyen'!$E$11:$E$207,'Adyen'!$G$11:$G$207,$A283)</f>
        <v/>
      </c>
      <c r="C283" s="9">
        <f>SUMIFS('Nuvei'!$E$11:$E$296,'Nuvei'!$G$11:$G$296,$A283)</f>
        <v/>
      </c>
      <c r="D283" s="9">
        <f>SUMIFS('Shift4'!$E$11:$E$116,'Shift4'!$G$11:$G$116,$A283)</f>
        <v/>
      </c>
      <c r="E283" s="9">
        <f>SUMIFS('Paysafe'!$E$11:$E$44,'Paysafe'!$G$11:$G$44,$A283)</f>
        <v/>
      </c>
      <c r="F283" s="10">
        <f>SUM(B283:E283)</f>
        <v/>
      </c>
    </row>
    <row r="284">
      <c r="A284" s="8" t="n">
        <v>46204</v>
      </c>
      <c r="B284" s="9">
        <f>SUMIFS('Adyen'!$E$11:$E$207,'Adyen'!$G$11:$G$207,$A284)</f>
        <v/>
      </c>
      <c r="C284" s="9">
        <f>SUMIFS('Nuvei'!$E$11:$E$296,'Nuvei'!$G$11:$G$296,$A284)</f>
        <v/>
      </c>
      <c r="D284" s="9">
        <f>SUMIFS('Shift4'!$E$11:$E$116,'Shift4'!$G$11:$G$116,$A284)</f>
        <v/>
      </c>
      <c r="E284" s="9">
        <f>SUMIFS('Paysafe'!$E$11:$E$44,'Paysafe'!$G$11:$G$44,$A284)</f>
        <v/>
      </c>
      <c r="F284" s="10">
        <f>SUM(B284:E284)</f>
        <v/>
      </c>
    </row>
    <row r="285">
      <c r="A285" s="8" t="n">
        <v>46205</v>
      </c>
      <c r="B285" s="9">
        <f>SUMIFS('Adyen'!$E$11:$E$207,'Adyen'!$G$11:$G$207,$A285)</f>
        <v/>
      </c>
      <c r="C285" s="9">
        <f>SUMIFS('Nuvei'!$E$11:$E$296,'Nuvei'!$G$11:$G$296,$A285)</f>
        <v/>
      </c>
      <c r="D285" s="9">
        <f>SUMIFS('Shift4'!$E$11:$E$116,'Shift4'!$G$11:$G$116,$A285)</f>
        <v/>
      </c>
      <c r="E285" s="9">
        <f>SUMIFS('Paysafe'!$E$11:$E$44,'Paysafe'!$G$11:$G$44,$A285)</f>
        <v/>
      </c>
      <c r="F285" s="10">
        <f>SUM(B285:E285)</f>
        <v/>
      </c>
    </row>
    <row r="286">
      <c r="A286" s="8" t="n">
        <v>46206</v>
      </c>
      <c r="B286" s="9">
        <f>SUMIFS('Adyen'!$E$11:$E$207,'Adyen'!$G$11:$G$207,$A286)</f>
        <v/>
      </c>
      <c r="C286" s="9">
        <f>SUMIFS('Nuvei'!$E$11:$E$296,'Nuvei'!$G$11:$G$296,$A286)</f>
        <v/>
      </c>
      <c r="D286" s="9">
        <f>SUMIFS('Shift4'!$E$11:$E$116,'Shift4'!$G$11:$G$116,$A286)</f>
        <v/>
      </c>
      <c r="E286" s="9">
        <f>SUMIFS('Paysafe'!$E$11:$E$44,'Paysafe'!$G$11:$G$44,$A286)</f>
        <v/>
      </c>
      <c r="F286" s="10">
        <f>SUM(B286:E286)</f>
        <v/>
      </c>
    </row>
    <row r="287">
      <c r="A287" s="8" t="n">
        <v>46207</v>
      </c>
      <c r="B287" s="9">
        <f>SUMIFS('Adyen'!$E$11:$E$207,'Adyen'!$G$11:$G$207,$A287)</f>
        <v/>
      </c>
      <c r="C287" s="9">
        <f>SUMIFS('Nuvei'!$E$11:$E$296,'Nuvei'!$G$11:$G$296,$A287)</f>
        <v/>
      </c>
      <c r="D287" s="9">
        <f>SUMIFS('Shift4'!$E$11:$E$116,'Shift4'!$G$11:$G$116,$A287)</f>
        <v/>
      </c>
      <c r="E287" s="9">
        <f>SUMIFS('Paysafe'!$E$11:$E$44,'Paysafe'!$G$11:$G$44,$A287)</f>
        <v/>
      </c>
      <c r="F287" s="10">
        <f>SUM(B287:E287)</f>
        <v/>
      </c>
    </row>
    <row r="288">
      <c r="A288" s="8" t="n">
        <v>46208</v>
      </c>
      <c r="B288" s="9">
        <f>SUMIFS('Adyen'!$E$11:$E$207,'Adyen'!$G$11:$G$207,$A288)</f>
        <v/>
      </c>
      <c r="C288" s="9">
        <f>SUMIFS('Nuvei'!$E$11:$E$296,'Nuvei'!$G$11:$G$296,$A288)</f>
        <v/>
      </c>
      <c r="D288" s="9">
        <f>SUMIFS('Shift4'!$E$11:$E$116,'Shift4'!$G$11:$G$116,$A288)</f>
        <v/>
      </c>
      <c r="E288" s="9">
        <f>SUMIFS('Paysafe'!$E$11:$E$44,'Paysafe'!$G$11:$G$44,$A288)</f>
        <v/>
      </c>
      <c r="F288" s="10">
        <f>SUM(B288:E288)</f>
        <v/>
      </c>
    </row>
    <row r="289">
      <c r="A289" s="8" t="n">
        <v>46209</v>
      </c>
      <c r="B289" s="9">
        <f>SUMIFS('Adyen'!$E$11:$E$207,'Adyen'!$G$11:$G$207,$A289)</f>
        <v/>
      </c>
      <c r="C289" s="9">
        <f>SUMIFS('Nuvei'!$E$11:$E$296,'Nuvei'!$G$11:$G$296,$A289)</f>
        <v/>
      </c>
      <c r="D289" s="9">
        <f>SUMIFS('Shift4'!$E$11:$E$116,'Shift4'!$G$11:$G$116,$A289)</f>
        <v/>
      </c>
      <c r="E289" s="9">
        <f>SUMIFS('Paysafe'!$E$11:$E$44,'Paysafe'!$G$11:$G$44,$A289)</f>
        <v/>
      </c>
      <c r="F289" s="10">
        <f>SUM(B289:E289)</f>
        <v/>
      </c>
    </row>
    <row r="290">
      <c r="A290" s="8" t="n">
        <v>46210</v>
      </c>
      <c r="B290" s="9">
        <f>SUMIFS('Adyen'!$E$11:$E$207,'Adyen'!$G$11:$G$207,$A290)</f>
        <v/>
      </c>
      <c r="C290" s="9">
        <f>SUMIFS('Nuvei'!$E$11:$E$296,'Nuvei'!$G$11:$G$296,$A290)</f>
        <v/>
      </c>
      <c r="D290" s="9">
        <f>SUMIFS('Shift4'!$E$11:$E$116,'Shift4'!$G$11:$G$116,$A290)</f>
        <v/>
      </c>
      <c r="E290" s="9">
        <f>SUMIFS('Paysafe'!$E$11:$E$44,'Paysafe'!$G$11:$G$44,$A290)</f>
        <v/>
      </c>
      <c r="F290" s="10">
        <f>SUM(B290:E290)</f>
        <v/>
      </c>
    </row>
    <row r="291">
      <c r="A291" s="8" t="n">
        <v>46211</v>
      </c>
      <c r="B291" s="9">
        <f>SUMIFS('Adyen'!$E$11:$E$207,'Adyen'!$G$11:$G$207,$A291)</f>
        <v/>
      </c>
      <c r="C291" s="9">
        <f>SUMIFS('Nuvei'!$E$11:$E$296,'Nuvei'!$G$11:$G$296,$A291)</f>
        <v/>
      </c>
      <c r="D291" s="9">
        <f>SUMIFS('Shift4'!$E$11:$E$116,'Shift4'!$G$11:$G$116,$A291)</f>
        <v/>
      </c>
      <c r="E291" s="9">
        <f>SUMIFS('Paysafe'!$E$11:$E$44,'Paysafe'!$G$11:$G$44,$A291)</f>
        <v/>
      </c>
      <c r="F291" s="10">
        <f>SUM(B291:E291)</f>
        <v/>
      </c>
    </row>
    <row r="292">
      <c r="A292" s="8" t="n">
        <v>46212</v>
      </c>
      <c r="B292" s="9">
        <f>SUMIFS('Adyen'!$E$11:$E$207,'Adyen'!$G$11:$G$207,$A292)</f>
        <v/>
      </c>
      <c r="C292" s="9">
        <f>SUMIFS('Nuvei'!$E$11:$E$296,'Nuvei'!$G$11:$G$296,$A292)</f>
        <v/>
      </c>
      <c r="D292" s="9">
        <f>SUMIFS('Shift4'!$E$11:$E$116,'Shift4'!$G$11:$G$116,$A292)</f>
        <v/>
      </c>
      <c r="E292" s="9">
        <f>SUMIFS('Paysafe'!$E$11:$E$44,'Paysafe'!$G$11:$G$44,$A292)</f>
        <v/>
      </c>
      <c r="F292" s="10">
        <f>SUM(B292:E292)</f>
        <v/>
      </c>
    </row>
    <row r="293">
      <c r="A293" s="8" t="n">
        <v>46213</v>
      </c>
      <c r="B293" s="9">
        <f>SUMIFS('Adyen'!$E$11:$E$207,'Adyen'!$G$11:$G$207,$A293)</f>
        <v/>
      </c>
      <c r="C293" s="9">
        <f>SUMIFS('Nuvei'!$E$11:$E$296,'Nuvei'!$G$11:$G$296,$A293)</f>
        <v/>
      </c>
      <c r="D293" s="9">
        <f>SUMIFS('Shift4'!$E$11:$E$116,'Shift4'!$G$11:$G$116,$A293)</f>
        <v/>
      </c>
      <c r="E293" s="9">
        <f>SUMIFS('Paysafe'!$E$11:$E$44,'Paysafe'!$G$11:$G$44,$A293)</f>
        <v/>
      </c>
      <c r="F293" s="10">
        <f>SUM(B293:E293)</f>
        <v/>
      </c>
    </row>
    <row r="294">
      <c r="A294" s="8" t="n">
        <v>46214</v>
      </c>
      <c r="B294" s="9">
        <f>SUMIFS('Adyen'!$E$11:$E$207,'Adyen'!$G$11:$G$207,$A294)</f>
        <v/>
      </c>
      <c r="C294" s="9">
        <f>SUMIFS('Nuvei'!$E$11:$E$296,'Nuvei'!$G$11:$G$296,$A294)</f>
        <v/>
      </c>
      <c r="D294" s="9">
        <f>SUMIFS('Shift4'!$E$11:$E$116,'Shift4'!$G$11:$G$116,$A294)</f>
        <v/>
      </c>
      <c r="E294" s="9">
        <f>SUMIFS('Paysafe'!$E$11:$E$44,'Paysafe'!$G$11:$G$44,$A294)</f>
        <v/>
      </c>
      <c r="F294" s="10">
        <f>SUM(B294:E294)</f>
        <v/>
      </c>
    </row>
    <row r="295">
      <c r="A295" s="8" t="n">
        <v>46215</v>
      </c>
      <c r="B295" s="9">
        <f>SUMIFS('Adyen'!$E$11:$E$207,'Adyen'!$G$11:$G$207,$A295)</f>
        <v/>
      </c>
      <c r="C295" s="9">
        <f>SUMIFS('Nuvei'!$E$11:$E$296,'Nuvei'!$G$11:$G$296,$A295)</f>
        <v/>
      </c>
      <c r="D295" s="9">
        <f>SUMIFS('Shift4'!$E$11:$E$116,'Shift4'!$G$11:$G$116,$A295)</f>
        <v/>
      </c>
      <c r="E295" s="9">
        <f>SUMIFS('Paysafe'!$E$11:$E$44,'Paysafe'!$G$11:$G$44,$A295)</f>
        <v/>
      </c>
      <c r="F295" s="10">
        <f>SUM(B295:E295)</f>
        <v/>
      </c>
    </row>
    <row r="296">
      <c r="A296" s="8" t="n">
        <v>46216</v>
      </c>
      <c r="B296" s="9">
        <f>SUMIFS('Adyen'!$E$11:$E$207,'Adyen'!$G$11:$G$207,$A296)</f>
        <v/>
      </c>
      <c r="C296" s="9">
        <f>SUMIFS('Nuvei'!$E$11:$E$296,'Nuvei'!$G$11:$G$296,$A296)</f>
        <v/>
      </c>
      <c r="D296" s="9">
        <f>SUMIFS('Shift4'!$E$11:$E$116,'Shift4'!$G$11:$G$116,$A296)</f>
        <v/>
      </c>
      <c r="E296" s="9">
        <f>SUMIFS('Paysafe'!$E$11:$E$44,'Paysafe'!$G$11:$G$44,$A296)</f>
        <v/>
      </c>
      <c r="F296" s="10">
        <f>SUM(B296:E296)</f>
        <v/>
      </c>
    </row>
    <row r="297">
      <c r="A297" s="8" t="n">
        <v>46217</v>
      </c>
      <c r="B297" s="9">
        <f>SUMIFS('Adyen'!$E$11:$E$207,'Adyen'!$G$11:$G$207,$A297)</f>
        <v/>
      </c>
      <c r="C297" s="9">
        <f>SUMIFS('Nuvei'!$E$11:$E$296,'Nuvei'!$G$11:$G$296,$A297)</f>
        <v/>
      </c>
      <c r="D297" s="9">
        <f>SUMIFS('Shift4'!$E$11:$E$116,'Shift4'!$G$11:$G$116,$A297)</f>
        <v/>
      </c>
      <c r="E297" s="9">
        <f>SUMIFS('Paysafe'!$E$11:$E$44,'Paysafe'!$G$11:$G$44,$A297)</f>
        <v/>
      </c>
      <c r="F297" s="10">
        <f>SUM(B297:E297)</f>
        <v/>
      </c>
    </row>
    <row r="298">
      <c r="A298" s="8" t="n">
        <v>46218</v>
      </c>
      <c r="B298" s="9">
        <f>SUMIFS('Adyen'!$E$11:$E$207,'Adyen'!$G$11:$G$207,$A298)</f>
        <v/>
      </c>
      <c r="C298" s="9">
        <f>SUMIFS('Nuvei'!$E$11:$E$296,'Nuvei'!$G$11:$G$296,$A298)</f>
        <v/>
      </c>
      <c r="D298" s="9">
        <f>SUMIFS('Shift4'!$E$11:$E$116,'Shift4'!$G$11:$G$116,$A298)</f>
        <v/>
      </c>
      <c r="E298" s="9">
        <f>SUMIFS('Paysafe'!$E$11:$E$44,'Paysafe'!$G$11:$G$44,$A298)</f>
        <v/>
      </c>
      <c r="F298" s="10">
        <f>SUM(B298:E298)</f>
        <v/>
      </c>
    </row>
    <row r="299">
      <c r="A299" s="8" t="n">
        <v>46219</v>
      </c>
      <c r="B299" s="9">
        <f>SUMIFS('Adyen'!$E$11:$E$207,'Adyen'!$G$11:$G$207,$A299)</f>
        <v/>
      </c>
      <c r="C299" s="9">
        <f>SUMIFS('Nuvei'!$E$11:$E$296,'Nuvei'!$G$11:$G$296,$A299)</f>
        <v/>
      </c>
      <c r="D299" s="9">
        <f>SUMIFS('Shift4'!$E$11:$E$116,'Shift4'!$G$11:$G$116,$A299)</f>
        <v/>
      </c>
      <c r="E299" s="9">
        <f>SUMIFS('Paysafe'!$E$11:$E$44,'Paysafe'!$G$11:$G$44,$A299)</f>
        <v/>
      </c>
      <c r="F299" s="10">
        <f>SUM(B299:E299)</f>
        <v/>
      </c>
    </row>
    <row r="300">
      <c r="A300" s="8" t="n">
        <v>46220</v>
      </c>
      <c r="B300" s="9">
        <f>SUMIFS('Adyen'!$E$11:$E$207,'Adyen'!$G$11:$G$207,$A300)</f>
        <v/>
      </c>
      <c r="C300" s="9">
        <f>SUMIFS('Nuvei'!$E$11:$E$296,'Nuvei'!$G$11:$G$296,$A300)</f>
        <v/>
      </c>
      <c r="D300" s="9">
        <f>SUMIFS('Shift4'!$E$11:$E$116,'Shift4'!$G$11:$G$116,$A300)</f>
        <v/>
      </c>
      <c r="E300" s="9">
        <f>SUMIFS('Paysafe'!$E$11:$E$44,'Paysafe'!$G$11:$G$44,$A300)</f>
        <v/>
      </c>
      <c r="F300" s="10">
        <f>SUM(B300:E300)</f>
        <v/>
      </c>
    </row>
    <row r="301">
      <c r="A301" s="8" t="n">
        <v>46221</v>
      </c>
      <c r="B301" s="9">
        <f>SUMIFS('Adyen'!$E$11:$E$207,'Adyen'!$G$11:$G$207,$A301)</f>
        <v/>
      </c>
      <c r="C301" s="9">
        <f>SUMIFS('Nuvei'!$E$11:$E$296,'Nuvei'!$G$11:$G$296,$A301)</f>
        <v/>
      </c>
      <c r="D301" s="9">
        <f>SUMIFS('Shift4'!$E$11:$E$116,'Shift4'!$G$11:$G$116,$A301)</f>
        <v/>
      </c>
      <c r="E301" s="9">
        <f>SUMIFS('Paysafe'!$E$11:$E$44,'Paysafe'!$G$11:$G$44,$A301)</f>
        <v/>
      </c>
      <c r="F301" s="10">
        <f>SUM(B301:E301)</f>
        <v/>
      </c>
    </row>
    <row r="302">
      <c r="A302" s="8" t="n">
        <v>46222</v>
      </c>
      <c r="B302" s="9">
        <f>SUMIFS('Adyen'!$E$11:$E$207,'Adyen'!$G$11:$G$207,$A302)</f>
        <v/>
      </c>
      <c r="C302" s="9">
        <f>SUMIFS('Nuvei'!$E$11:$E$296,'Nuvei'!$G$11:$G$296,$A302)</f>
        <v/>
      </c>
      <c r="D302" s="9">
        <f>SUMIFS('Shift4'!$E$11:$E$116,'Shift4'!$G$11:$G$116,$A302)</f>
        <v/>
      </c>
      <c r="E302" s="9">
        <f>SUMIFS('Paysafe'!$E$11:$E$44,'Paysafe'!$G$11:$G$44,$A302)</f>
        <v/>
      </c>
      <c r="F302" s="10">
        <f>SUM(B302:E302)</f>
        <v/>
      </c>
    </row>
    <row r="303">
      <c r="A303" s="8" t="n">
        <v>46223</v>
      </c>
      <c r="B303" s="9">
        <f>SUMIFS('Adyen'!$E$11:$E$207,'Adyen'!$G$11:$G$207,$A303)</f>
        <v/>
      </c>
      <c r="C303" s="9">
        <f>SUMIFS('Nuvei'!$E$11:$E$296,'Nuvei'!$G$11:$G$296,$A303)</f>
        <v/>
      </c>
      <c r="D303" s="9">
        <f>SUMIFS('Shift4'!$E$11:$E$116,'Shift4'!$G$11:$G$116,$A303)</f>
        <v/>
      </c>
      <c r="E303" s="9">
        <f>SUMIFS('Paysafe'!$E$11:$E$44,'Paysafe'!$G$11:$G$44,$A303)</f>
        <v/>
      </c>
      <c r="F303" s="10">
        <f>SUM(B303:E303)</f>
        <v/>
      </c>
    </row>
    <row r="304">
      <c r="A304" s="8" t="n">
        <v>46224</v>
      </c>
      <c r="B304" s="9">
        <f>SUMIFS('Adyen'!$E$11:$E$207,'Adyen'!$G$11:$G$207,$A304)</f>
        <v/>
      </c>
      <c r="C304" s="9">
        <f>SUMIFS('Nuvei'!$E$11:$E$296,'Nuvei'!$G$11:$G$296,$A304)</f>
        <v/>
      </c>
      <c r="D304" s="9">
        <f>SUMIFS('Shift4'!$E$11:$E$116,'Shift4'!$G$11:$G$116,$A304)</f>
        <v/>
      </c>
      <c r="E304" s="9">
        <f>SUMIFS('Paysafe'!$E$11:$E$44,'Paysafe'!$G$11:$G$44,$A304)</f>
        <v/>
      </c>
      <c r="F304" s="10">
        <f>SUM(B304:E304)</f>
        <v/>
      </c>
    </row>
    <row r="305">
      <c r="A305" s="8" t="n">
        <v>46225</v>
      </c>
      <c r="B305" s="9">
        <f>SUMIFS('Adyen'!$E$11:$E$207,'Adyen'!$G$11:$G$207,$A305)</f>
        <v/>
      </c>
      <c r="C305" s="9">
        <f>SUMIFS('Nuvei'!$E$11:$E$296,'Nuvei'!$G$11:$G$296,$A305)</f>
        <v/>
      </c>
      <c r="D305" s="9">
        <f>SUMIFS('Shift4'!$E$11:$E$116,'Shift4'!$G$11:$G$116,$A305)</f>
        <v/>
      </c>
      <c r="E305" s="9">
        <f>SUMIFS('Paysafe'!$E$11:$E$44,'Paysafe'!$G$11:$G$44,$A305)</f>
        <v/>
      </c>
      <c r="F305" s="10">
        <f>SUM(B305:E305)</f>
        <v/>
      </c>
    </row>
    <row r="306">
      <c r="A306" s="8" t="n">
        <v>46226</v>
      </c>
      <c r="B306" s="9">
        <f>SUMIFS('Adyen'!$E$11:$E$207,'Adyen'!$G$11:$G$207,$A306)</f>
        <v/>
      </c>
      <c r="C306" s="9">
        <f>SUMIFS('Nuvei'!$E$11:$E$296,'Nuvei'!$G$11:$G$296,$A306)</f>
        <v/>
      </c>
      <c r="D306" s="9">
        <f>SUMIFS('Shift4'!$E$11:$E$116,'Shift4'!$G$11:$G$116,$A306)</f>
        <v/>
      </c>
      <c r="E306" s="9">
        <f>SUMIFS('Paysafe'!$E$11:$E$44,'Paysafe'!$G$11:$G$44,$A306)</f>
        <v/>
      </c>
      <c r="F306" s="10">
        <f>SUM(B306:E306)</f>
        <v/>
      </c>
    </row>
    <row r="307">
      <c r="A307" s="8" t="n">
        <v>46227</v>
      </c>
      <c r="B307" s="9">
        <f>SUMIFS('Adyen'!$E$11:$E$207,'Adyen'!$G$11:$G$207,$A307)</f>
        <v/>
      </c>
      <c r="C307" s="9">
        <f>SUMIFS('Nuvei'!$E$11:$E$296,'Nuvei'!$G$11:$G$296,$A307)</f>
        <v/>
      </c>
      <c r="D307" s="9">
        <f>SUMIFS('Shift4'!$E$11:$E$116,'Shift4'!$G$11:$G$116,$A307)</f>
        <v/>
      </c>
      <c r="E307" s="9">
        <f>SUMIFS('Paysafe'!$E$11:$E$44,'Paysafe'!$G$11:$G$44,$A307)</f>
        <v/>
      </c>
      <c r="F307" s="10">
        <f>SUM(B307:E307)</f>
        <v/>
      </c>
    </row>
    <row r="308">
      <c r="A308" s="8" t="n">
        <v>46228</v>
      </c>
      <c r="B308" s="9">
        <f>SUMIFS('Adyen'!$E$11:$E$207,'Adyen'!$G$11:$G$207,$A308)</f>
        <v/>
      </c>
      <c r="C308" s="9">
        <f>SUMIFS('Nuvei'!$E$11:$E$296,'Nuvei'!$G$11:$G$296,$A308)</f>
        <v/>
      </c>
      <c r="D308" s="9">
        <f>SUMIFS('Shift4'!$E$11:$E$116,'Shift4'!$G$11:$G$116,$A308)</f>
        <v/>
      </c>
      <c r="E308" s="9">
        <f>SUMIFS('Paysafe'!$E$11:$E$44,'Paysafe'!$G$11:$G$44,$A308)</f>
        <v/>
      </c>
      <c r="F308" s="10">
        <f>SUM(B308:E308)</f>
        <v/>
      </c>
    </row>
    <row r="309">
      <c r="A309" s="8" t="n">
        <v>46229</v>
      </c>
      <c r="B309" s="9">
        <f>SUMIFS('Adyen'!$E$11:$E$207,'Adyen'!$G$11:$G$207,$A309)</f>
        <v/>
      </c>
      <c r="C309" s="9">
        <f>SUMIFS('Nuvei'!$E$11:$E$296,'Nuvei'!$G$11:$G$296,$A309)</f>
        <v/>
      </c>
      <c r="D309" s="9">
        <f>SUMIFS('Shift4'!$E$11:$E$116,'Shift4'!$G$11:$G$116,$A309)</f>
        <v/>
      </c>
      <c r="E309" s="9">
        <f>SUMIFS('Paysafe'!$E$11:$E$44,'Paysafe'!$G$11:$G$44,$A309)</f>
        <v/>
      </c>
      <c r="F309" s="10">
        <f>SUM(B309:E309)</f>
        <v/>
      </c>
    </row>
    <row r="310">
      <c r="A310" s="8" t="n">
        <v>46230</v>
      </c>
      <c r="B310" s="9">
        <f>SUMIFS('Adyen'!$E$11:$E$207,'Adyen'!$G$11:$G$207,$A310)</f>
        <v/>
      </c>
      <c r="C310" s="9">
        <f>SUMIFS('Nuvei'!$E$11:$E$296,'Nuvei'!$G$11:$G$296,$A310)</f>
        <v/>
      </c>
      <c r="D310" s="9">
        <f>SUMIFS('Shift4'!$E$11:$E$116,'Shift4'!$G$11:$G$116,$A310)</f>
        <v/>
      </c>
      <c r="E310" s="9">
        <f>SUMIFS('Paysafe'!$E$11:$E$44,'Paysafe'!$G$11:$G$44,$A310)</f>
        <v/>
      </c>
      <c r="F310" s="10">
        <f>SUM(B310:E310)</f>
        <v/>
      </c>
    </row>
    <row r="311">
      <c r="A311" s="8" t="n">
        <v>46231</v>
      </c>
      <c r="B311" s="9">
        <f>SUMIFS('Adyen'!$E$11:$E$207,'Adyen'!$G$11:$G$207,$A311)</f>
        <v/>
      </c>
      <c r="C311" s="9">
        <f>SUMIFS('Nuvei'!$E$11:$E$296,'Nuvei'!$G$11:$G$296,$A311)</f>
        <v/>
      </c>
      <c r="D311" s="9">
        <f>SUMIFS('Shift4'!$E$11:$E$116,'Shift4'!$G$11:$G$116,$A311)</f>
        <v/>
      </c>
      <c r="E311" s="9">
        <f>SUMIFS('Paysafe'!$E$11:$E$44,'Paysafe'!$G$11:$G$44,$A311)</f>
        <v/>
      </c>
      <c r="F311" s="10">
        <f>SUM(B311:E311)</f>
        <v/>
      </c>
    </row>
    <row r="312">
      <c r="A312" s="8" t="n">
        <v>46232</v>
      </c>
      <c r="B312" s="9">
        <f>SUMIFS('Adyen'!$E$11:$E$207,'Adyen'!$G$11:$G$207,$A312)</f>
        <v/>
      </c>
      <c r="C312" s="9">
        <f>SUMIFS('Nuvei'!$E$11:$E$296,'Nuvei'!$G$11:$G$296,$A312)</f>
        <v/>
      </c>
      <c r="D312" s="9">
        <f>SUMIFS('Shift4'!$E$11:$E$116,'Shift4'!$G$11:$G$116,$A312)</f>
        <v/>
      </c>
      <c r="E312" s="9">
        <f>SUMIFS('Paysafe'!$E$11:$E$44,'Paysafe'!$G$11:$G$44,$A312)</f>
        <v/>
      </c>
      <c r="F312" s="10">
        <f>SUM(B312:E312)</f>
        <v/>
      </c>
    </row>
    <row r="313">
      <c r="A313" s="8" t="n">
        <v>46233</v>
      </c>
      <c r="B313" s="9">
        <f>SUMIFS('Adyen'!$E$11:$E$207,'Adyen'!$G$11:$G$207,$A313)</f>
        <v/>
      </c>
      <c r="C313" s="9">
        <f>SUMIFS('Nuvei'!$E$11:$E$296,'Nuvei'!$G$11:$G$296,$A313)</f>
        <v/>
      </c>
      <c r="D313" s="9">
        <f>SUMIFS('Shift4'!$E$11:$E$116,'Shift4'!$G$11:$G$116,$A313)</f>
        <v/>
      </c>
      <c r="E313" s="9">
        <f>SUMIFS('Paysafe'!$E$11:$E$44,'Paysafe'!$G$11:$G$44,$A313)</f>
        <v/>
      </c>
      <c r="F313" s="10">
        <f>SUM(B313:E313)</f>
        <v/>
      </c>
    </row>
    <row r="314">
      <c r="A314" s="8" t="n">
        <v>46234</v>
      </c>
      <c r="B314" s="9">
        <f>SUMIFS('Adyen'!$E$11:$E$207,'Adyen'!$G$11:$G$207,$A314)</f>
        <v/>
      </c>
      <c r="C314" s="9">
        <f>SUMIFS('Nuvei'!$E$11:$E$296,'Nuvei'!$G$11:$G$296,$A314)</f>
        <v/>
      </c>
      <c r="D314" s="9">
        <f>SUMIFS('Shift4'!$E$11:$E$116,'Shift4'!$G$11:$G$116,$A314)</f>
        <v/>
      </c>
      <c r="E314" s="9">
        <f>SUMIFS('Paysafe'!$E$11:$E$44,'Paysafe'!$G$11:$G$44,$A314)</f>
        <v/>
      </c>
      <c r="F314" s="10">
        <f>SUM(B314:E314)</f>
        <v/>
      </c>
    </row>
    <row r="315">
      <c r="A315" s="8" t="n">
        <v>46235</v>
      </c>
      <c r="B315" s="9">
        <f>SUMIFS('Adyen'!$E$11:$E$207,'Adyen'!$G$11:$G$207,$A315)</f>
        <v/>
      </c>
      <c r="C315" s="9">
        <f>SUMIFS('Nuvei'!$E$11:$E$296,'Nuvei'!$G$11:$G$296,$A315)</f>
        <v/>
      </c>
      <c r="D315" s="9">
        <f>SUMIFS('Shift4'!$E$11:$E$116,'Shift4'!$G$11:$G$116,$A315)</f>
        <v/>
      </c>
      <c r="E315" s="9">
        <f>SUMIFS('Paysafe'!$E$11:$E$44,'Paysafe'!$G$11:$G$44,$A315)</f>
        <v/>
      </c>
      <c r="F315" s="10">
        <f>SUM(B315:E315)</f>
        <v/>
      </c>
    </row>
    <row r="316">
      <c r="A316" s="8" t="n">
        <v>46236</v>
      </c>
      <c r="B316" s="9">
        <f>SUMIFS('Adyen'!$E$11:$E$207,'Adyen'!$G$11:$G$207,$A316)</f>
        <v/>
      </c>
      <c r="C316" s="9">
        <f>SUMIFS('Nuvei'!$E$11:$E$296,'Nuvei'!$G$11:$G$296,$A316)</f>
        <v/>
      </c>
      <c r="D316" s="9">
        <f>SUMIFS('Shift4'!$E$11:$E$116,'Shift4'!$G$11:$G$116,$A316)</f>
        <v/>
      </c>
      <c r="E316" s="9">
        <f>SUMIFS('Paysafe'!$E$11:$E$44,'Paysafe'!$G$11:$G$44,$A316)</f>
        <v/>
      </c>
      <c r="F316" s="10">
        <f>SUM(B316:E316)</f>
        <v/>
      </c>
    </row>
    <row r="317">
      <c r="A317" s="8" t="n">
        <v>46237</v>
      </c>
      <c r="B317" s="9">
        <f>SUMIFS('Adyen'!$E$11:$E$207,'Adyen'!$G$11:$G$207,$A317)</f>
        <v/>
      </c>
      <c r="C317" s="9">
        <f>SUMIFS('Nuvei'!$E$11:$E$296,'Nuvei'!$G$11:$G$296,$A317)</f>
        <v/>
      </c>
      <c r="D317" s="9">
        <f>SUMIFS('Shift4'!$E$11:$E$116,'Shift4'!$G$11:$G$116,$A317)</f>
        <v/>
      </c>
      <c r="E317" s="9">
        <f>SUMIFS('Paysafe'!$E$11:$E$44,'Paysafe'!$G$11:$G$44,$A317)</f>
        <v/>
      </c>
      <c r="F317" s="10">
        <f>SUM(B317:E317)</f>
        <v/>
      </c>
    </row>
    <row r="318">
      <c r="A318" s="8" t="n">
        <v>46238</v>
      </c>
      <c r="B318" s="9">
        <f>SUMIFS('Adyen'!$E$11:$E$207,'Adyen'!$G$11:$G$207,$A318)</f>
        <v/>
      </c>
      <c r="C318" s="9">
        <f>SUMIFS('Nuvei'!$E$11:$E$296,'Nuvei'!$G$11:$G$296,$A318)</f>
        <v/>
      </c>
      <c r="D318" s="9">
        <f>SUMIFS('Shift4'!$E$11:$E$116,'Shift4'!$G$11:$G$116,$A318)</f>
        <v/>
      </c>
      <c r="E318" s="9">
        <f>SUMIFS('Paysafe'!$E$11:$E$44,'Paysafe'!$G$11:$G$44,$A318)</f>
        <v/>
      </c>
      <c r="F318" s="10">
        <f>SUM(B318:E318)</f>
        <v/>
      </c>
    </row>
    <row r="319">
      <c r="A319" s="13" t="inlineStr">
        <is>
          <t>TOTAL</t>
        </is>
      </c>
      <c r="B319" s="14">
        <f>SUM(B6:B318)</f>
        <v/>
      </c>
      <c r="C319" s="14">
        <f>SUM(C6:C318)</f>
        <v/>
      </c>
      <c r="D319" s="14">
        <f>SUM(D6:D318)</f>
        <v/>
      </c>
      <c r="E319" s="14">
        <f>SUM(E6:E318)</f>
        <v/>
      </c>
      <c r="F319" s="14">
        <f>SUM(F6:F318)</f>
        <v/>
      </c>
    </row>
    <row r="322">
      <c r="A322" s="13" t="inlineStr">
        <is>
          <t>TOTAL RETENIDO HOY (neto, por procesador)</t>
        </is>
      </c>
    </row>
    <row r="323">
      <c r="A323" s="15" t="inlineStr">
        <is>
          <t>Procesador</t>
        </is>
      </c>
      <c r="B323" s="15" t="inlineStr">
        <is>
          <t>Importe Retenido (Neto)</t>
        </is>
      </c>
    </row>
    <row r="324">
      <c r="A324" s="16" t="inlineStr">
        <is>
          <t>Adyen</t>
        </is>
      </c>
      <c r="B324" s="17">
        <f>'Adyen'!I208</f>
        <v/>
      </c>
    </row>
    <row r="325">
      <c r="A325" s="16" t="inlineStr">
        <is>
          <t>Nuvei</t>
        </is>
      </c>
      <c r="B325" s="17">
        <f>'Nuvei'!I297</f>
        <v/>
      </c>
    </row>
    <row r="326">
      <c r="A326" s="16" t="inlineStr">
        <is>
          <t>Shift4</t>
        </is>
      </c>
      <c r="B326" s="17">
        <f>'Shift4'!I117</f>
        <v/>
      </c>
    </row>
    <row r="327">
      <c r="A327" s="16" t="inlineStr">
        <is>
          <t>Paysafe</t>
        </is>
      </c>
      <c r="B327" s="17">
        <f>'Paysafe'!I45</f>
        <v/>
      </c>
    </row>
    <row r="328">
      <c r="A328" s="18" t="inlineStr">
        <is>
          <t>TOTAL GLOBAL RETENIDO (NETO)</t>
        </is>
      </c>
      <c r="B328" s="14">
        <f>SUM(B324:B327)</f>
        <v/>
      </c>
    </row>
  </sheetData>
  <mergeCells count="8">
    <mergeCell ref="H5:H6"/>
    <mergeCell ref="J5:J6"/>
    <mergeCell ref="AE5:AI5"/>
    <mergeCell ref="U5:Y5"/>
    <mergeCell ref="K5:O5"/>
    <mergeCell ref="Z5:AD5"/>
    <mergeCell ref="P5:T5"/>
    <mergeCell ref="I5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3" customWidth="1" min="5" max="5"/>
    <col width="12" customWidth="1" min="6" max="6"/>
    <col width="15" customWidth="1" min="7" max="7"/>
    <col width="11" customWidth="1" min="8" max="8"/>
    <col width="15" customWidth="1" min="9" max="9"/>
    <col width="11" customWidth="1" min="10" max="10"/>
  </cols>
  <sheetData>
    <row r="1">
      <c r="A1" s="19" t="inlineStr">
        <is>
          <t>CALCULADORA DE COBROS — ADYEN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</row>
    <row r="3">
      <c r="A3" s="13" t="inlineStr">
        <is>
          <t>Reglas del procesador (Venta → Settlement)</t>
        </is>
      </c>
    </row>
    <row r="4">
      <c r="A4" s="13" t="inlineStr">
        <is>
          <t>Vta</t>
        </is>
      </c>
      <c r="B4" s="15" t="inlineStr">
        <is>
          <t>Lunes</t>
        </is>
      </c>
      <c r="C4" s="15" t="inlineStr">
        <is>
          <t>Martes</t>
        </is>
      </c>
      <c r="D4" s="15" t="inlineStr">
        <is>
          <t>Miércoles</t>
        </is>
      </c>
      <c r="E4" s="15" t="inlineStr">
        <is>
          <t>Jueves</t>
        </is>
      </c>
      <c r="F4" s="15" t="inlineStr">
        <is>
          <t>Viernes</t>
        </is>
      </c>
      <c r="G4" s="15" t="inlineStr">
        <is>
          <t>Sábado</t>
        </is>
      </c>
      <c r="H4" s="15" t="inlineStr">
        <is>
          <t>Domingo</t>
        </is>
      </c>
    </row>
    <row r="5">
      <c r="A5" s="13" t="inlineStr">
        <is>
          <t>Setle</t>
        </is>
      </c>
      <c r="B5" s="21" t="inlineStr">
        <is>
          <t>Miércoles</t>
        </is>
      </c>
      <c r="C5" s="21" t="inlineStr">
        <is>
          <t>Jueves</t>
        </is>
      </c>
      <c r="D5" s="21" t="inlineStr">
        <is>
          <t>Viernes</t>
        </is>
      </c>
      <c r="E5" s="21" t="inlineStr">
        <is>
          <t>Lunes</t>
        </is>
      </c>
      <c r="F5" s="21" t="inlineStr">
        <is>
          <t>Martes</t>
        </is>
      </c>
      <c r="G5" s="21" t="inlineStr">
        <is>
          <t>Martes</t>
        </is>
      </c>
      <c r="H5" s="21" t="inlineStr">
        <is>
          <t>Martes</t>
        </is>
      </c>
    </row>
    <row r="7">
      <c r="A7" s="13" t="inlineStr">
        <is>
          <t>Hoy (fecha de corte):</t>
        </is>
      </c>
      <c r="B7" s="22" t="n">
        <v>46216</v>
      </c>
    </row>
    <row r="8">
      <c r="A8" s="12" t="inlineStr">
        <is>
          <t>Nota: cambia la fecha de corte para recalcular Cobrado/Retenido. Las reglas fijan la Fecha de Settlement.</t>
        </is>
      </c>
    </row>
    <row r="10">
      <c r="A10" s="4" t="inlineStr">
        <is>
          <t>Fecha Venta</t>
        </is>
      </c>
      <c r="B10" s="4" t="inlineStr">
        <is>
          <t>Importe Venta</t>
        </is>
      </c>
      <c r="C10" s="4" t="inlineStr">
        <is>
          <t>Importe Comisión</t>
        </is>
      </c>
      <c r="D10" s="4" t="inlineStr">
        <is>
          <t>Importe Refund</t>
        </is>
      </c>
      <c r="E10" s="4" t="inlineStr">
        <is>
          <t>Importe Neto</t>
        </is>
      </c>
      <c r="F10" s="4" t="inlineStr">
        <is>
          <t>Día de Venta</t>
        </is>
      </c>
      <c r="G10" s="4" t="inlineStr">
        <is>
          <t>Fecha de Settlement</t>
        </is>
      </c>
      <c r="H10" s="4" t="inlineStr">
        <is>
          <t>Estado</t>
        </is>
      </c>
      <c r="I10" s="4" t="inlineStr">
        <is>
          <t>Importe Retenido</t>
        </is>
      </c>
      <c r="J10" s="4" t="inlineStr">
        <is>
          <t>Semana</t>
        </is>
      </c>
    </row>
    <row r="11">
      <c r="A11" s="23" t="n">
        <v>46020</v>
      </c>
      <c r="B11" s="17" t="n">
        <v>235269.89</v>
      </c>
      <c r="C11" s="17" t="n">
        <v>5410.34</v>
      </c>
      <c r="D11" s="17" t="n">
        <v>0</v>
      </c>
      <c r="E11" s="17">
        <f>B11-C11-D11</f>
        <v/>
      </c>
      <c r="F11" s="16">
        <f>CHOOSE(WEEKDAY(A11,2),"Lunes","Martes","Miércoles","Jueves","Viernes","Sábado","Domingo")</f>
        <v/>
      </c>
      <c r="G11" s="23" t="n">
        <v>46022</v>
      </c>
      <c r="H11" s="16">
        <f>IF(G11&lt;=$B$7,"Cobrado","Retenido")</f>
        <v/>
      </c>
      <c r="I11" s="17">
        <f>IF(H11="Retenido",E11,0)</f>
        <v/>
      </c>
      <c r="J11" s="16" t="inlineStr">
        <is>
          <t>2026-W01</t>
        </is>
      </c>
    </row>
    <row r="12">
      <c r="A12" s="23" t="n">
        <v>46021</v>
      </c>
      <c r="B12" s="17" t="n">
        <v>206220.49</v>
      </c>
      <c r="C12" s="17" t="n">
        <v>4978.26</v>
      </c>
      <c r="D12" s="17" t="n">
        <v>0</v>
      </c>
      <c r="E12" s="17">
        <f>B12-C12-D12</f>
        <v/>
      </c>
      <c r="F12" s="16">
        <f>CHOOSE(WEEKDAY(A12,2),"Lunes","Martes","Miércoles","Jueves","Viernes","Sábado","Domingo")</f>
        <v/>
      </c>
      <c r="G12" s="23" t="n">
        <v>46023</v>
      </c>
      <c r="H12" s="16">
        <f>IF(G12&lt;=$B$7,"Cobrado","Retenido")</f>
        <v/>
      </c>
      <c r="I12" s="17">
        <f>IF(H12="Retenido",E12,0)</f>
        <v/>
      </c>
      <c r="J12" s="16" t="inlineStr">
        <is>
          <t>2026-W01</t>
        </is>
      </c>
    </row>
    <row r="13">
      <c r="A13" s="23" t="n">
        <v>46022</v>
      </c>
      <c r="B13" s="17" t="n">
        <v>139794.64</v>
      </c>
      <c r="C13" s="17" t="n">
        <v>7229.52</v>
      </c>
      <c r="D13" s="17" t="n">
        <v>0</v>
      </c>
      <c r="E13" s="17">
        <f>B13-C13-D13</f>
        <v/>
      </c>
      <c r="F13" s="16">
        <f>CHOOSE(WEEKDAY(A13,2),"Lunes","Martes","Miércoles","Jueves","Viernes","Sábado","Domingo")</f>
        <v/>
      </c>
      <c r="G13" s="23" t="n">
        <v>46024</v>
      </c>
      <c r="H13" s="16">
        <f>IF(G13&lt;=$B$7,"Cobrado","Retenido")</f>
        <v/>
      </c>
      <c r="I13" s="17">
        <f>IF(H13="Retenido",E13,0)</f>
        <v/>
      </c>
      <c r="J13" s="16" t="inlineStr">
        <is>
          <t>2026-W01</t>
        </is>
      </c>
    </row>
    <row r="14">
      <c r="A14" s="23" t="n">
        <v>46023</v>
      </c>
      <c r="B14" s="17" t="n">
        <v>130209.95</v>
      </c>
      <c r="C14" s="17" t="n">
        <v>0</v>
      </c>
      <c r="D14" s="17" t="n">
        <v>0</v>
      </c>
      <c r="E14" s="17">
        <f>B14-C14-D14</f>
        <v/>
      </c>
      <c r="F14" s="16">
        <f>CHOOSE(WEEKDAY(A14,2),"Lunes","Martes","Miércoles","Jueves","Viernes","Sábado","Domingo")</f>
        <v/>
      </c>
      <c r="G14" s="23" t="n">
        <v>46027</v>
      </c>
      <c r="H14" s="16">
        <f>IF(G14&lt;=$B$7,"Cobrado","Retenido")</f>
        <v/>
      </c>
      <c r="I14" s="17">
        <f>IF(H14="Retenido",E14,0)</f>
        <v/>
      </c>
      <c r="J14" s="16" t="inlineStr">
        <is>
          <t>2026-W01</t>
        </is>
      </c>
    </row>
    <row r="15">
      <c r="A15" s="23" t="n">
        <v>46024</v>
      </c>
      <c r="B15" s="17" t="n">
        <v>242603.6</v>
      </c>
      <c r="C15" s="17" t="n">
        <v>13264.44</v>
      </c>
      <c r="D15" s="17" t="n">
        <v>0</v>
      </c>
      <c r="E15" s="17">
        <f>B15-C15-D15</f>
        <v/>
      </c>
      <c r="F15" s="16">
        <f>CHOOSE(WEEKDAY(A15,2),"Lunes","Martes","Miércoles","Jueves","Viernes","Sábado","Domingo")</f>
        <v/>
      </c>
      <c r="G15" s="23" t="n">
        <v>46028</v>
      </c>
      <c r="H15" s="16">
        <f>IF(G15&lt;=$B$7,"Cobrado","Retenido")</f>
        <v/>
      </c>
      <c r="I15" s="17">
        <f>IF(H15="Retenido",E15,0)</f>
        <v/>
      </c>
      <c r="J15" s="16" t="inlineStr">
        <is>
          <t>2026-W01</t>
        </is>
      </c>
    </row>
    <row r="16">
      <c r="A16" s="23" t="n">
        <v>46025</v>
      </c>
      <c r="B16" s="17" t="n">
        <v>165758.24</v>
      </c>
      <c r="C16" s="17" t="n">
        <v>0</v>
      </c>
      <c r="D16" s="17" t="n">
        <v>0</v>
      </c>
      <c r="E16" s="17">
        <f>B16-C16-D16</f>
        <v/>
      </c>
      <c r="F16" s="16">
        <f>CHOOSE(WEEKDAY(A16,2),"Lunes","Martes","Miércoles","Jueves","Viernes","Sábado","Domingo")</f>
        <v/>
      </c>
      <c r="G16" s="23" t="n">
        <v>46028</v>
      </c>
      <c r="H16" s="16">
        <f>IF(G16&lt;=$B$7,"Cobrado","Retenido")</f>
        <v/>
      </c>
      <c r="I16" s="17">
        <f>IF(H16="Retenido",E16,0)</f>
        <v/>
      </c>
      <c r="J16" s="16" t="inlineStr">
        <is>
          <t>2026-W01</t>
        </is>
      </c>
    </row>
    <row r="17">
      <c r="A17" s="23" t="n">
        <v>46026</v>
      </c>
      <c r="B17" s="17" t="n">
        <v>170851.41</v>
      </c>
      <c r="C17" s="17" t="n">
        <v>0</v>
      </c>
      <c r="D17" s="17" t="n">
        <v>0</v>
      </c>
      <c r="E17" s="17">
        <f>B17-C17-D17</f>
        <v/>
      </c>
      <c r="F17" s="16">
        <f>CHOOSE(WEEKDAY(A17,2),"Lunes","Martes","Miércoles","Jueves","Viernes","Sábado","Domingo")</f>
        <v/>
      </c>
      <c r="G17" s="23" t="n">
        <v>46028</v>
      </c>
      <c r="H17" s="16">
        <f>IF(G17&lt;=$B$7,"Cobrado","Retenido")</f>
        <v/>
      </c>
      <c r="I17" s="17">
        <f>IF(H17="Retenido",E17,0)</f>
        <v/>
      </c>
      <c r="J17" s="16" t="inlineStr">
        <is>
          <t>2026-W01</t>
        </is>
      </c>
    </row>
    <row r="18">
      <c r="A18" s="23" t="n">
        <v>46027</v>
      </c>
      <c r="B18" s="17" t="n">
        <v>285349.81</v>
      </c>
      <c r="C18" s="17" t="n">
        <v>0</v>
      </c>
      <c r="D18" s="17" t="n">
        <v>0</v>
      </c>
      <c r="E18" s="17">
        <f>B18-C18-D18</f>
        <v/>
      </c>
      <c r="F18" s="16">
        <f>CHOOSE(WEEKDAY(A18,2),"Lunes","Martes","Miércoles","Jueves","Viernes","Sábado","Domingo")</f>
        <v/>
      </c>
      <c r="G18" s="23" t="n">
        <v>46029</v>
      </c>
      <c r="H18" s="16">
        <f>IF(G18&lt;=$B$7,"Cobrado","Retenido")</f>
        <v/>
      </c>
      <c r="I18" s="17">
        <f>IF(H18="Retenido",E18,0)</f>
        <v/>
      </c>
      <c r="J18" s="16" t="inlineStr">
        <is>
          <t>2026-W02</t>
        </is>
      </c>
    </row>
    <row r="19">
      <c r="A19" s="23" t="n">
        <v>46028</v>
      </c>
      <c r="B19" s="17" t="n">
        <v>252504.67</v>
      </c>
      <c r="C19" s="17" t="n">
        <v>12345</v>
      </c>
      <c r="D19" s="17" t="n">
        <v>0</v>
      </c>
      <c r="E19" s="17">
        <f>B19-C19-D19</f>
        <v/>
      </c>
      <c r="F19" s="16">
        <f>CHOOSE(WEEKDAY(A19,2),"Lunes","Martes","Miércoles","Jueves","Viernes","Sábado","Domingo")</f>
        <v/>
      </c>
      <c r="G19" s="23" t="n">
        <v>46030</v>
      </c>
      <c r="H19" s="16">
        <f>IF(G19&lt;=$B$7,"Cobrado","Retenido")</f>
        <v/>
      </c>
      <c r="I19" s="17">
        <f>IF(H19="Retenido",E19,0)</f>
        <v/>
      </c>
      <c r="J19" s="16" t="inlineStr">
        <is>
          <t>2026-W02</t>
        </is>
      </c>
    </row>
    <row r="20">
      <c r="A20" s="23" t="n">
        <v>46029</v>
      </c>
      <c r="B20" s="17" t="n">
        <v>347417.91</v>
      </c>
      <c r="C20" s="17" t="n">
        <v>9803.049999999999</v>
      </c>
      <c r="D20" s="17" t="n">
        <v>0</v>
      </c>
      <c r="E20" s="17">
        <f>B20-C20-D20</f>
        <v/>
      </c>
      <c r="F20" s="16">
        <f>CHOOSE(WEEKDAY(A20,2),"Lunes","Martes","Miércoles","Jueves","Viernes","Sábado","Domingo")</f>
        <v/>
      </c>
      <c r="G20" s="23" t="n">
        <v>46031</v>
      </c>
      <c r="H20" s="16">
        <f>IF(G20&lt;=$B$7,"Cobrado","Retenido")</f>
        <v/>
      </c>
      <c r="I20" s="17">
        <f>IF(H20="Retenido",E20,0)</f>
        <v/>
      </c>
      <c r="J20" s="16" t="inlineStr">
        <is>
          <t>2026-W02</t>
        </is>
      </c>
    </row>
    <row r="21">
      <c r="A21" s="23" t="n">
        <v>46030</v>
      </c>
      <c r="B21" s="17" t="n">
        <v>293544.34</v>
      </c>
      <c r="C21" s="17" t="n">
        <v>5592.97</v>
      </c>
      <c r="D21" s="17" t="n">
        <v>0</v>
      </c>
      <c r="E21" s="17">
        <f>B21-C21-D21</f>
        <v/>
      </c>
      <c r="F21" s="16">
        <f>CHOOSE(WEEKDAY(A21,2),"Lunes","Martes","Miércoles","Jueves","Viernes","Sábado","Domingo")</f>
        <v/>
      </c>
      <c r="G21" s="23" t="n">
        <v>46034</v>
      </c>
      <c r="H21" s="16">
        <f>IF(G21&lt;=$B$7,"Cobrado","Retenido")</f>
        <v/>
      </c>
      <c r="I21" s="17">
        <f>IF(H21="Retenido",E21,0)</f>
        <v/>
      </c>
      <c r="J21" s="16" t="inlineStr">
        <is>
          <t>2026-W02</t>
        </is>
      </c>
    </row>
    <row r="22">
      <c r="A22" s="23" t="n">
        <v>46031</v>
      </c>
      <c r="B22" s="17" t="n">
        <v>324487.78</v>
      </c>
      <c r="C22" s="17" t="n">
        <v>8164.67</v>
      </c>
      <c r="D22" s="17" t="n">
        <v>0</v>
      </c>
      <c r="E22" s="17">
        <f>B22-C22-D22</f>
        <v/>
      </c>
      <c r="F22" s="16">
        <f>CHOOSE(WEEKDAY(A22,2),"Lunes","Martes","Miércoles","Jueves","Viernes","Sábado","Domingo")</f>
        <v/>
      </c>
      <c r="G22" s="23" t="n">
        <v>46035</v>
      </c>
      <c r="H22" s="16">
        <f>IF(G22&lt;=$B$7,"Cobrado","Retenido")</f>
        <v/>
      </c>
      <c r="I22" s="17">
        <f>IF(H22="Retenido",E22,0)</f>
        <v/>
      </c>
      <c r="J22" s="16" t="inlineStr">
        <is>
          <t>2026-W02</t>
        </is>
      </c>
    </row>
    <row r="23">
      <c r="A23" s="23" t="n">
        <v>46032</v>
      </c>
      <c r="B23" s="17" t="n">
        <v>194669.98</v>
      </c>
      <c r="C23" s="17" t="n">
        <v>0</v>
      </c>
      <c r="D23" s="17" t="n">
        <v>0</v>
      </c>
      <c r="E23" s="17">
        <f>B23-C23-D23</f>
        <v/>
      </c>
      <c r="F23" s="16">
        <f>CHOOSE(WEEKDAY(A23,2),"Lunes","Martes","Miércoles","Jueves","Viernes","Sábado","Domingo")</f>
        <v/>
      </c>
      <c r="G23" s="23" t="n">
        <v>46035</v>
      </c>
      <c r="H23" s="16">
        <f>IF(G23&lt;=$B$7,"Cobrado","Retenido")</f>
        <v/>
      </c>
      <c r="I23" s="17">
        <f>IF(H23="Retenido",E23,0)</f>
        <v/>
      </c>
      <c r="J23" s="16" t="inlineStr">
        <is>
          <t>2026-W02</t>
        </is>
      </c>
    </row>
    <row r="24">
      <c r="A24" s="23" t="n">
        <v>46033</v>
      </c>
      <c r="B24" s="17" t="n">
        <v>190446.97</v>
      </c>
      <c r="C24" s="17" t="n">
        <v>0</v>
      </c>
      <c r="D24" s="17" t="n">
        <v>0</v>
      </c>
      <c r="E24" s="17">
        <f>B24-C24-D24</f>
        <v/>
      </c>
      <c r="F24" s="16">
        <f>CHOOSE(WEEKDAY(A24,2),"Lunes","Martes","Miércoles","Jueves","Viernes","Sábado","Domingo")</f>
        <v/>
      </c>
      <c r="G24" s="23" t="n">
        <v>46035</v>
      </c>
      <c r="H24" s="16">
        <f>IF(G24&lt;=$B$7,"Cobrado","Retenido")</f>
        <v/>
      </c>
      <c r="I24" s="17">
        <f>IF(H24="Retenido",E24,0)</f>
        <v/>
      </c>
      <c r="J24" s="16" t="inlineStr">
        <is>
          <t>2026-W02</t>
        </is>
      </c>
    </row>
    <row r="25">
      <c r="A25" s="23" t="n">
        <v>46034</v>
      </c>
      <c r="B25" s="17" t="n">
        <v>344362.62</v>
      </c>
      <c r="C25" s="17" t="n">
        <v>3895.46</v>
      </c>
      <c r="D25" s="17" t="n">
        <v>0</v>
      </c>
      <c r="E25" s="17">
        <f>B25-C25-D25</f>
        <v/>
      </c>
      <c r="F25" s="16">
        <f>CHOOSE(WEEKDAY(A25,2),"Lunes","Martes","Miércoles","Jueves","Viernes","Sábado","Domingo")</f>
        <v/>
      </c>
      <c r="G25" s="23" t="n">
        <v>46036</v>
      </c>
      <c r="H25" s="16">
        <f>IF(G25&lt;=$B$7,"Cobrado","Retenido")</f>
        <v/>
      </c>
      <c r="I25" s="17">
        <f>IF(H25="Retenido",E25,0)</f>
        <v/>
      </c>
      <c r="J25" s="16" t="inlineStr">
        <is>
          <t>2026-W03</t>
        </is>
      </c>
    </row>
    <row r="26">
      <c r="A26" s="23" t="n">
        <v>46035</v>
      </c>
      <c r="B26" s="17" t="n">
        <v>398176.76</v>
      </c>
      <c r="C26" s="17" t="n">
        <v>3877.98</v>
      </c>
      <c r="D26" s="17" t="n">
        <v>0</v>
      </c>
      <c r="E26" s="17">
        <f>B26-C26-D26</f>
        <v/>
      </c>
      <c r="F26" s="16">
        <f>CHOOSE(WEEKDAY(A26,2),"Lunes","Martes","Miércoles","Jueves","Viernes","Sábado","Domingo")</f>
        <v/>
      </c>
      <c r="G26" s="23" t="n">
        <v>46037</v>
      </c>
      <c r="H26" s="16">
        <f>IF(G26&lt;=$B$7,"Cobrado","Retenido")</f>
        <v/>
      </c>
      <c r="I26" s="17">
        <f>IF(H26="Retenido",E26,0)</f>
        <v/>
      </c>
      <c r="J26" s="16" t="inlineStr">
        <is>
          <t>2026-W03</t>
        </is>
      </c>
    </row>
    <row r="27">
      <c r="A27" s="23" t="n">
        <v>46036</v>
      </c>
      <c r="B27" s="17" t="n">
        <v>382692.26</v>
      </c>
      <c r="C27" s="17" t="n">
        <v>3029.01</v>
      </c>
      <c r="D27" s="17" t="n">
        <v>0</v>
      </c>
      <c r="E27" s="17">
        <f>B27-C27-D27</f>
        <v/>
      </c>
      <c r="F27" s="16">
        <f>CHOOSE(WEEKDAY(A27,2),"Lunes","Martes","Miércoles","Jueves","Viernes","Sábado","Domingo")</f>
        <v/>
      </c>
      <c r="G27" s="23" t="n">
        <v>46038</v>
      </c>
      <c r="H27" s="16">
        <f>IF(G27&lt;=$B$7,"Cobrado","Retenido")</f>
        <v/>
      </c>
      <c r="I27" s="17">
        <f>IF(H27="Retenido",E27,0)</f>
        <v/>
      </c>
      <c r="J27" s="16" t="inlineStr">
        <is>
          <t>2026-W03</t>
        </is>
      </c>
    </row>
    <row r="28">
      <c r="A28" s="23" t="n">
        <v>46037</v>
      </c>
      <c r="B28" s="17" t="n">
        <v>391985.21</v>
      </c>
      <c r="C28" s="17" t="n">
        <v>2485.31</v>
      </c>
      <c r="D28" s="17" t="n">
        <v>0</v>
      </c>
      <c r="E28" s="17">
        <f>B28-C28-D28</f>
        <v/>
      </c>
      <c r="F28" s="16">
        <f>CHOOSE(WEEKDAY(A28,2),"Lunes","Martes","Miércoles","Jueves","Viernes","Sábado","Domingo")</f>
        <v/>
      </c>
      <c r="G28" s="23" t="n">
        <v>46041</v>
      </c>
      <c r="H28" s="16">
        <f>IF(G28&lt;=$B$7,"Cobrado","Retenido")</f>
        <v/>
      </c>
      <c r="I28" s="17">
        <f>IF(H28="Retenido",E28,0)</f>
        <v/>
      </c>
      <c r="J28" s="16" t="inlineStr">
        <is>
          <t>2026-W03</t>
        </is>
      </c>
    </row>
    <row r="29">
      <c r="A29" s="23" t="n">
        <v>46038</v>
      </c>
      <c r="B29" s="17" t="n">
        <v>293470.12</v>
      </c>
      <c r="C29" s="17" t="n">
        <v>7009.23</v>
      </c>
      <c r="D29" s="17" t="n">
        <v>0</v>
      </c>
      <c r="E29" s="17">
        <f>B29-C29-D29</f>
        <v/>
      </c>
      <c r="F29" s="16">
        <f>CHOOSE(WEEKDAY(A29,2),"Lunes","Martes","Miércoles","Jueves","Viernes","Sábado","Domingo")</f>
        <v/>
      </c>
      <c r="G29" s="23" t="n">
        <v>46042</v>
      </c>
      <c r="H29" s="16">
        <f>IF(G29&lt;=$B$7,"Cobrado","Retenido")</f>
        <v/>
      </c>
      <c r="I29" s="17">
        <f>IF(H29="Retenido",E29,0)</f>
        <v/>
      </c>
      <c r="J29" s="16" t="inlineStr">
        <is>
          <t>2026-W03</t>
        </is>
      </c>
    </row>
    <row r="30">
      <c r="A30" s="23" t="n">
        <v>46039</v>
      </c>
      <c r="B30" s="17" t="n">
        <v>212354.17</v>
      </c>
      <c r="C30" s="17" t="n">
        <v>0</v>
      </c>
      <c r="D30" s="17" t="n">
        <v>0</v>
      </c>
      <c r="E30" s="17">
        <f>B30-C30-D30</f>
        <v/>
      </c>
      <c r="F30" s="16">
        <f>CHOOSE(WEEKDAY(A30,2),"Lunes","Martes","Miércoles","Jueves","Viernes","Sábado","Domingo")</f>
        <v/>
      </c>
      <c r="G30" s="23" t="n">
        <v>46042</v>
      </c>
      <c r="H30" s="16">
        <f>IF(G30&lt;=$B$7,"Cobrado","Retenido")</f>
        <v/>
      </c>
      <c r="I30" s="17">
        <f>IF(H30="Retenido",E30,0)</f>
        <v/>
      </c>
      <c r="J30" s="16" t="inlineStr">
        <is>
          <t>2026-W03</t>
        </is>
      </c>
    </row>
    <row r="31">
      <c r="A31" s="23" t="n">
        <v>46040</v>
      </c>
      <c r="B31" s="17" t="n">
        <v>235113.45</v>
      </c>
      <c r="C31" s="17" t="n">
        <v>0</v>
      </c>
      <c r="D31" s="17" t="n">
        <v>0</v>
      </c>
      <c r="E31" s="17">
        <f>B31-C31-D31</f>
        <v/>
      </c>
      <c r="F31" s="16">
        <f>CHOOSE(WEEKDAY(A31,2),"Lunes","Martes","Miércoles","Jueves","Viernes","Sábado","Domingo")</f>
        <v/>
      </c>
      <c r="G31" s="23" t="n">
        <v>46042</v>
      </c>
      <c r="H31" s="16">
        <f>IF(G31&lt;=$B$7,"Cobrado","Retenido")</f>
        <v/>
      </c>
      <c r="I31" s="17">
        <f>IF(H31="Retenido",E31,0)</f>
        <v/>
      </c>
      <c r="J31" s="16" t="inlineStr">
        <is>
          <t>2026-W03</t>
        </is>
      </c>
    </row>
    <row r="32">
      <c r="A32" s="23" t="n">
        <v>46041</v>
      </c>
      <c r="B32" s="17" t="n">
        <v>341770</v>
      </c>
      <c r="C32" s="17" t="n">
        <v>1998</v>
      </c>
      <c r="D32" s="17" t="n">
        <v>0</v>
      </c>
      <c r="E32" s="17">
        <f>B32-C32-D32</f>
        <v/>
      </c>
      <c r="F32" s="16">
        <f>CHOOSE(WEEKDAY(A32,2),"Lunes","Martes","Miércoles","Jueves","Viernes","Sábado","Domingo")</f>
        <v/>
      </c>
      <c r="G32" s="23" t="n">
        <v>46043</v>
      </c>
      <c r="H32" s="16">
        <f>IF(G32&lt;=$B$7,"Cobrado","Retenido")</f>
        <v/>
      </c>
      <c r="I32" s="17">
        <f>IF(H32="Retenido",E32,0)</f>
        <v/>
      </c>
      <c r="J32" s="16" t="inlineStr">
        <is>
          <t>2026-W04</t>
        </is>
      </c>
    </row>
    <row r="33">
      <c r="A33" s="23" t="n">
        <v>46042</v>
      </c>
      <c r="B33" s="17" t="n">
        <v>381862.52</v>
      </c>
      <c r="C33" s="17" t="n">
        <v>2399.1</v>
      </c>
      <c r="D33" s="17" t="n">
        <v>0</v>
      </c>
      <c r="E33" s="17">
        <f>B33-C33-D33</f>
        <v/>
      </c>
      <c r="F33" s="16">
        <f>CHOOSE(WEEKDAY(A33,2),"Lunes","Martes","Miércoles","Jueves","Viernes","Sábado","Domingo")</f>
        <v/>
      </c>
      <c r="G33" s="23" t="n">
        <v>46044</v>
      </c>
      <c r="H33" s="16">
        <f>IF(G33&lt;=$B$7,"Cobrado","Retenido")</f>
        <v/>
      </c>
      <c r="I33" s="17">
        <f>IF(H33="Retenido",E33,0)</f>
        <v/>
      </c>
      <c r="J33" s="16" t="inlineStr">
        <is>
          <t>2026-W04</t>
        </is>
      </c>
    </row>
    <row r="34">
      <c r="A34" s="23" t="n">
        <v>46043</v>
      </c>
      <c r="B34" s="17" t="n">
        <v>403145.69</v>
      </c>
      <c r="C34" s="17" t="n">
        <v>3446.86</v>
      </c>
      <c r="D34" s="17" t="n">
        <v>0</v>
      </c>
      <c r="E34" s="17">
        <f>B34-C34-D34</f>
        <v/>
      </c>
      <c r="F34" s="16">
        <f>CHOOSE(WEEKDAY(A34,2),"Lunes","Martes","Miércoles","Jueves","Viernes","Sábado","Domingo")</f>
        <v/>
      </c>
      <c r="G34" s="23" t="n">
        <v>46045</v>
      </c>
      <c r="H34" s="16">
        <f>IF(G34&lt;=$B$7,"Cobrado","Retenido")</f>
        <v/>
      </c>
      <c r="I34" s="17">
        <f>IF(H34="Retenido",E34,0)</f>
        <v/>
      </c>
      <c r="J34" s="16" t="inlineStr">
        <is>
          <t>2026-W04</t>
        </is>
      </c>
    </row>
    <row r="35">
      <c r="A35" s="23" t="n">
        <v>46044</v>
      </c>
      <c r="B35" s="17" t="n">
        <v>373105.06</v>
      </c>
      <c r="C35" s="17" t="n">
        <v>4175.36</v>
      </c>
      <c r="D35" s="17" t="n">
        <v>0</v>
      </c>
      <c r="E35" s="17">
        <f>B35-C35-D35</f>
        <v/>
      </c>
      <c r="F35" s="16">
        <f>CHOOSE(WEEKDAY(A35,2),"Lunes","Martes","Miércoles","Jueves","Viernes","Sábado","Domingo")</f>
        <v/>
      </c>
      <c r="G35" s="23" t="n">
        <v>46048</v>
      </c>
      <c r="H35" s="16">
        <f>IF(G35&lt;=$B$7,"Cobrado","Retenido")</f>
        <v/>
      </c>
      <c r="I35" s="17">
        <f>IF(H35="Retenido",E35,0)</f>
        <v/>
      </c>
      <c r="J35" s="16" t="inlineStr">
        <is>
          <t>2026-W04</t>
        </is>
      </c>
    </row>
    <row r="36">
      <c r="A36" s="23" t="n">
        <v>46045</v>
      </c>
      <c r="B36" s="17" t="n">
        <v>347829.35</v>
      </c>
      <c r="C36" s="17" t="n">
        <v>7487.24</v>
      </c>
      <c r="D36" s="17" t="n">
        <v>0</v>
      </c>
      <c r="E36" s="17">
        <f>B36-C36-D36</f>
        <v/>
      </c>
      <c r="F36" s="16">
        <f>CHOOSE(WEEKDAY(A36,2),"Lunes","Martes","Miércoles","Jueves","Viernes","Sábado","Domingo")</f>
        <v/>
      </c>
      <c r="G36" s="23" t="n">
        <v>46049</v>
      </c>
      <c r="H36" s="16">
        <f>IF(G36&lt;=$B$7,"Cobrado","Retenido")</f>
        <v/>
      </c>
      <c r="I36" s="17">
        <f>IF(H36="Retenido",E36,0)</f>
        <v/>
      </c>
      <c r="J36" s="16" t="inlineStr">
        <is>
          <t>2026-W04</t>
        </is>
      </c>
    </row>
    <row r="37">
      <c r="A37" s="23" t="n">
        <v>46046</v>
      </c>
      <c r="B37" s="17" t="n">
        <v>251964.97</v>
      </c>
      <c r="C37" s="17" t="n">
        <v>0</v>
      </c>
      <c r="D37" s="17" t="n">
        <v>0</v>
      </c>
      <c r="E37" s="17">
        <f>B37-C37-D37</f>
        <v/>
      </c>
      <c r="F37" s="16">
        <f>CHOOSE(WEEKDAY(A37,2),"Lunes","Martes","Miércoles","Jueves","Viernes","Sábado","Domingo")</f>
        <v/>
      </c>
      <c r="G37" s="23" t="n">
        <v>46049</v>
      </c>
      <c r="H37" s="16">
        <f>IF(G37&lt;=$B$7,"Cobrado","Retenido")</f>
        <v/>
      </c>
      <c r="I37" s="17">
        <f>IF(H37="Retenido",E37,0)</f>
        <v/>
      </c>
      <c r="J37" s="16" t="inlineStr">
        <is>
          <t>2026-W04</t>
        </is>
      </c>
    </row>
    <row r="38">
      <c r="A38" s="23" t="n">
        <v>46047</v>
      </c>
      <c r="B38" s="17" t="n">
        <v>258491.56</v>
      </c>
      <c r="C38" s="17" t="n">
        <v>0</v>
      </c>
      <c r="D38" s="17" t="n">
        <v>0</v>
      </c>
      <c r="E38" s="17">
        <f>B38-C38-D38</f>
        <v/>
      </c>
      <c r="F38" s="16">
        <f>CHOOSE(WEEKDAY(A38,2),"Lunes","Martes","Miércoles","Jueves","Viernes","Sábado","Domingo")</f>
        <v/>
      </c>
      <c r="G38" s="23" t="n">
        <v>46049</v>
      </c>
      <c r="H38" s="16">
        <f>IF(G38&lt;=$B$7,"Cobrado","Retenido")</f>
        <v/>
      </c>
      <c r="I38" s="17">
        <f>IF(H38="Retenido",E38,0)</f>
        <v/>
      </c>
      <c r="J38" s="16" t="inlineStr">
        <is>
          <t>2026-W04</t>
        </is>
      </c>
    </row>
    <row r="39">
      <c r="A39" s="23" t="n">
        <v>46048</v>
      </c>
      <c r="B39" s="17" t="n">
        <v>386373.75</v>
      </c>
      <c r="C39" s="17" t="n">
        <v>3345.67</v>
      </c>
      <c r="D39" s="17" t="n">
        <v>0</v>
      </c>
      <c r="E39" s="17">
        <f>B39-C39-D39</f>
        <v/>
      </c>
      <c r="F39" s="16">
        <f>CHOOSE(WEEKDAY(A39,2),"Lunes","Martes","Miércoles","Jueves","Viernes","Sábado","Domingo")</f>
        <v/>
      </c>
      <c r="G39" s="23" t="n">
        <v>46050</v>
      </c>
      <c r="H39" s="16">
        <f>IF(G39&lt;=$B$7,"Cobrado","Retenido")</f>
        <v/>
      </c>
      <c r="I39" s="17">
        <f>IF(H39="Retenido",E39,0)</f>
        <v/>
      </c>
      <c r="J39" s="16" t="inlineStr">
        <is>
          <t>2026-W05</t>
        </is>
      </c>
    </row>
    <row r="40">
      <c r="A40" s="23" t="n">
        <v>46049</v>
      </c>
      <c r="B40" s="17" t="n">
        <v>447731.72</v>
      </c>
      <c r="C40" s="17" t="n">
        <v>1530.6</v>
      </c>
      <c r="D40" s="17" t="n">
        <v>0</v>
      </c>
      <c r="E40" s="17">
        <f>B40-C40-D40</f>
        <v/>
      </c>
      <c r="F40" s="16">
        <f>CHOOSE(WEEKDAY(A40,2),"Lunes","Martes","Miércoles","Jueves","Viernes","Sábado","Domingo")</f>
        <v/>
      </c>
      <c r="G40" s="23" t="n">
        <v>46051</v>
      </c>
      <c r="H40" s="16">
        <f>IF(G40&lt;=$B$7,"Cobrado","Retenido")</f>
        <v/>
      </c>
      <c r="I40" s="17">
        <f>IF(H40="Retenido",E40,0)</f>
        <v/>
      </c>
      <c r="J40" s="16" t="inlineStr">
        <is>
          <t>2026-W05</t>
        </is>
      </c>
    </row>
    <row r="41">
      <c r="A41" s="23" t="n">
        <v>46050</v>
      </c>
      <c r="B41" s="17" t="n">
        <v>429817.66</v>
      </c>
      <c r="C41" s="17" t="n">
        <v>3947.78</v>
      </c>
      <c r="D41" s="17" t="n">
        <v>0</v>
      </c>
      <c r="E41" s="17">
        <f>B41-C41-D41</f>
        <v/>
      </c>
      <c r="F41" s="16">
        <f>CHOOSE(WEEKDAY(A41,2),"Lunes","Martes","Miércoles","Jueves","Viernes","Sábado","Domingo")</f>
        <v/>
      </c>
      <c r="G41" s="23" t="n">
        <v>46052</v>
      </c>
      <c r="H41" s="16">
        <f>IF(G41&lt;=$B$7,"Cobrado","Retenido")</f>
        <v/>
      </c>
      <c r="I41" s="17">
        <f>IF(H41="Retenido",E41,0)</f>
        <v/>
      </c>
      <c r="J41" s="16" t="inlineStr">
        <is>
          <t>2026-W05</t>
        </is>
      </c>
    </row>
    <row r="42">
      <c r="A42" s="23" t="n">
        <v>46051</v>
      </c>
      <c r="B42" s="17" t="n">
        <v>425026.54</v>
      </c>
      <c r="C42" s="17" t="n">
        <v>3416.54</v>
      </c>
      <c r="D42" s="17" t="n">
        <v>0</v>
      </c>
      <c r="E42" s="17">
        <f>B42-C42-D42</f>
        <v/>
      </c>
      <c r="F42" s="16">
        <f>CHOOSE(WEEKDAY(A42,2),"Lunes","Martes","Miércoles","Jueves","Viernes","Sábado","Domingo")</f>
        <v/>
      </c>
      <c r="G42" s="23" t="n">
        <v>46055</v>
      </c>
      <c r="H42" s="16">
        <f>IF(G42&lt;=$B$7,"Cobrado","Retenido")</f>
        <v/>
      </c>
      <c r="I42" s="17">
        <f>IF(H42="Retenido",E42,0)</f>
        <v/>
      </c>
      <c r="J42" s="16" t="inlineStr">
        <is>
          <t>2026-W05</t>
        </is>
      </c>
    </row>
    <row r="43">
      <c r="A43" s="23" t="n">
        <v>46052</v>
      </c>
      <c r="B43" s="17" t="n">
        <v>375840.51</v>
      </c>
      <c r="C43" s="17" t="n">
        <v>4839.66</v>
      </c>
      <c r="D43" s="17" t="n">
        <v>0</v>
      </c>
      <c r="E43" s="17">
        <f>B43-C43-D43</f>
        <v/>
      </c>
      <c r="F43" s="16">
        <f>CHOOSE(WEEKDAY(A43,2),"Lunes","Martes","Miércoles","Jueves","Viernes","Sábado","Domingo")</f>
        <v/>
      </c>
      <c r="G43" s="23" t="n">
        <v>46056</v>
      </c>
      <c r="H43" s="16">
        <f>IF(G43&lt;=$B$7,"Cobrado","Retenido")</f>
        <v/>
      </c>
      <c r="I43" s="17">
        <f>IF(H43="Retenido",E43,0)</f>
        <v/>
      </c>
      <c r="J43" s="16" t="inlineStr">
        <is>
          <t>2026-W05</t>
        </is>
      </c>
    </row>
    <row r="44">
      <c r="A44" s="23" t="n">
        <v>46053</v>
      </c>
      <c r="B44" s="17" t="n">
        <v>294067.04</v>
      </c>
      <c r="C44" s="17" t="n">
        <v>0</v>
      </c>
      <c r="D44" s="17" t="n">
        <v>0</v>
      </c>
      <c r="E44" s="17">
        <f>B44-C44-D44</f>
        <v/>
      </c>
      <c r="F44" s="16">
        <f>CHOOSE(WEEKDAY(A44,2),"Lunes","Martes","Miércoles","Jueves","Viernes","Sábado","Domingo")</f>
        <v/>
      </c>
      <c r="G44" s="23" t="n">
        <v>46056</v>
      </c>
      <c r="H44" s="16">
        <f>IF(G44&lt;=$B$7,"Cobrado","Retenido")</f>
        <v/>
      </c>
      <c r="I44" s="17">
        <f>IF(H44="Retenido",E44,0)</f>
        <v/>
      </c>
      <c r="J44" s="16" t="inlineStr">
        <is>
          <t>2026-W05</t>
        </is>
      </c>
    </row>
    <row r="45">
      <c r="A45" s="23" t="n">
        <v>46054</v>
      </c>
      <c r="B45" s="17" t="n">
        <v>343804.89</v>
      </c>
      <c r="C45" s="17" t="n">
        <v>0</v>
      </c>
      <c r="D45" s="17" t="n">
        <v>0</v>
      </c>
      <c r="E45" s="17">
        <f>B45-C45-D45</f>
        <v/>
      </c>
      <c r="F45" s="16">
        <f>CHOOSE(WEEKDAY(A45,2),"Lunes","Martes","Miércoles","Jueves","Viernes","Sábado","Domingo")</f>
        <v/>
      </c>
      <c r="G45" s="23" t="n">
        <v>46056</v>
      </c>
      <c r="H45" s="16">
        <f>IF(G45&lt;=$B$7,"Cobrado","Retenido")</f>
        <v/>
      </c>
      <c r="I45" s="17">
        <f>IF(H45="Retenido",E45,0)</f>
        <v/>
      </c>
      <c r="J45" s="16" t="inlineStr">
        <is>
          <t>2026-W05</t>
        </is>
      </c>
    </row>
    <row r="46">
      <c r="A46" s="23" t="n">
        <v>46055</v>
      </c>
      <c r="B46" s="17" t="n">
        <v>535795.6899999999</v>
      </c>
      <c r="C46" s="17" t="n">
        <v>5820.74</v>
      </c>
      <c r="D46" s="17" t="n">
        <v>0</v>
      </c>
      <c r="E46" s="17">
        <f>B46-C46-D46</f>
        <v/>
      </c>
      <c r="F46" s="16">
        <f>CHOOSE(WEEKDAY(A46,2),"Lunes","Martes","Miércoles","Jueves","Viernes","Sábado","Domingo")</f>
        <v/>
      </c>
      <c r="G46" s="23" t="n">
        <v>46057</v>
      </c>
      <c r="H46" s="16">
        <f>IF(G46&lt;=$B$7,"Cobrado","Retenido")</f>
        <v/>
      </c>
      <c r="I46" s="17">
        <f>IF(H46="Retenido",E46,0)</f>
        <v/>
      </c>
      <c r="J46" s="16" t="inlineStr">
        <is>
          <t>2026-W06</t>
        </is>
      </c>
    </row>
    <row r="47">
      <c r="A47" s="23" t="n">
        <v>46056</v>
      </c>
      <c r="B47" s="17" t="n">
        <v>587346.3</v>
      </c>
      <c r="C47" s="17" t="n">
        <v>3865.42</v>
      </c>
      <c r="D47" s="17" t="n">
        <v>0</v>
      </c>
      <c r="E47" s="17">
        <f>B47-C47-D47</f>
        <v/>
      </c>
      <c r="F47" s="16">
        <f>CHOOSE(WEEKDAY(A47,2),"Lunes","Martes","Miércoles","Jueves","Viernes","Sábado","Domingo")</f>
        <v/>
      </c>
      <c r="G47" s="23" t="n">
        <v>46058</v>
      </c>
      <c r="H47" s="16">
        <f>IF(G47&lt;=$B$7,"Cobrado","Retenido")</f>
        <v/>
      </c>
      <c r="I47" s="17">
        <f>IF(H47="Retenido",E47,0)</f>
        <v/>
      </c>
      <c r="J47" s="16" t="inlineStr">
        <is>
          <t>2026-W06</t>
        </is>
      </c>
    </row>
    <row r="48">
      <c r="A48" s="23" t="n">
        <v>46057</v>
      </c>
      <c r="B48" s="17" t="n">
        <v>606485.61</v>
      </c>
      <c r="C48" s="17" t="n">
        <v>15611.47</v>
      </c>
      <c r="D48" s="17" t="n">
        <v>0</v>
      </c>
      <c r="E48" s="17">
        <f>B48-C48-D48</f>
        <v/>
      </c>
      <c r="F48" s="16">
        <f>CHOOSE(WEEKDAY(A48,2),"Lunes","Martes","Miércoles","Jueves","Viernes","Sábado","Domingo")</f>
        <v/>
      </c>
      <c r="G48" s="23" t="n">
        <v>46059</v>
      </c>
      <c r="H48" s="16">
        <f>IF(G48&lt;=$B$7,"Cobrado","Retenido")</f>
        <v/>
      </c>
      <c r="I48" s="17">
        <f>IF(H48="Retenido",E48,0)</f>
        <v/>
      </c>
      <c r="J48" s="16" t="inlineStr">
        <is>
          <t>2026-W06</t>
        </is>
      </c>
    </row>
    <row r="49">
      <c r="A49" s="23" t="n">
        <v>46058</v>
      </c>
      <c r="B49" s="17" t="n">
        <v>487079.71</v>
      </c>
      <c r="C49" s="17" t="n">
        <v>5228.34</v>
      </c>
      <c r="D49" s="17" t="n">
        <v>0</v>
      </c>
      <c r="E49" s="17">
        <f>B49-C49-D49</f>
        <v/>
      </c>
      <c r="F49" s="16">
        <f>CHOOSE(WEEKDAY(A49,2),"Lunes","Martes","Miércoles","Jueves","Viernes","Sábado","Domingo")</f>
        <v/>
      </c>
      <c r="G49" s="23" t="n">
        <v>46062</v>
      </c>
      <c r="H49" s="16">
        <f>IF(G49&lt;=$B$7,"Cobrado","Retenido")</f>
        <v/>
      </c>
      <c r="I49" s="17">
        <f>IF(H49="Retenido",E49,0)</f>
        <v/>
      </c>
      <c r="J49" s="16" t="inlineStr">
        <is>
          <t>2026-W06</t>
        </is>
      </c>
    </row>
    <row r="50">
      <c r="A50" s="23" t="n">
        <v>46059</v>
      </c>
      <c r="B50" s="17" t="n">
        <v>489964.09</v>
      </c>
      <c r="C50" s="17" t="n">
        <v>10163.5</v>
      </c>
      <c r="D50" s="17" t="n">
        <v>0</v>
      </c>
      <c r="E50" s="17">
        <f>B50-C50-D50</f>
        <v/>
      </c>
      <c r="F50" s="16">
        <f>CHOOSE(WEEKDAY(A50,2),"Lunes","Martes","Miércoles","Jueves","Viernes","Sábado","Domingo")</f>
        <v/>
      </c>
      <c r="G50" s="23" t="n">
        <v>46063</v>
      </c>
      <c r="H50" s="16">
        <f>IF(G50&lt;=$B$7,"Cobrado","Retenido")</f>
        <v/>
      </c>
      <c r="I50" s="17">
        <f>IF(H50="Retenido",E50,0)</f>
        <v/>
      </c>
      <c r="J50" s="16" t="inlineStr">
        <is>
          <t>2026-W06</t>
        </is>
      </c>
    </row>
    <row r="51">
      <c r="A51" s="23" t="n">
        <v>46060</v>
      </c>
      <c r="B51" s="17" t="n">
        <v>313590.25</v>
      </c>
      <c r="C51" s="17" t="n">
        <v>0</v>
      </c>
      <c r="D51" s="17" t="n">
        <v>0</v>
      </c>
      <c r="E51" s="17">
        <f>B51-C51-D51</f>
        <v/>
      </c>
      <c r="F51" s="16">
        <f>CHOOSE(WEEKDAY(A51,2),"Lunes","Martes","Miércoles","Jueves","Viernes","Sábado","Domingo")</f>
        <v/>
      </c>
      <c r="G51" s="23" t="n">
        <v>46063</v>
      </c>
      <c r="H51" s="16">
        <f>IF(G51&lt;=$B$7,"Cobrado","Retenido")</f>
        <v/>
      </c>
      <c r="I51" s="17">
        <f>IF(H51="Retenido",E51,0)</f>
        <v/>
      </c>
      <c r="J51" s="16" t="inlineStr">
        <is>
          <t>2026-W06</t>
        </is>
      </c>
    </row>
    <row r="52">
      <c r="A52" s="23" t="n">
        <v>46061</v>
      </c>
      <c r="B52" s="17" t="n">
        <v>307924.35</v>
      </c>
      <c r="C52" s="17" t="n">
        <v>0</v>
      </c>
      <c r="D52" s="17" t="n">
        <v>0</v>
      </c>
      <c r="E52" s="17">
        <f>B52-C52-D52</f>
        <v/>
      </c>
      <c r="F52" s="16">
        <f>CHOOSE(WEEKDAY(A52,2),"Lunes","Martes","Miércoles","Jueves","Viernes","Sábado","Domingo")</f>
        <v/>
      </c>
      <c r="G52" s="23" t="n">
        <v>46063</v>
      </c>
      <c r="H52" s="16">
        <f>IF(G52&lt;=$B$7,"Cobrado","Retenido")</f>
        <v/>
      </c>
      <c r="I52" s="17">
        <f>IF(H52="Retenido",E52,0)</f>
        <v/>
      </c>
      <c r="J52" s="16" t="inlineStr">
        <is>
          <t>2026-W06</t>
        </is>
      </c>
    </row>
    <row r="53">
      <c r="A53" s="23" t="n">
        <v>46062</v>
      </c>
      <c r="B53" s="17" t="n">
        <v>517818.47</v>
      </c>
      <c r="C53" s="17" t="n">
        <v>3511.78</v>
      </c>
      <c r="D53" s="17" t="n">
        <v>0</v>
      </c>
      <c r="E53" s="17">
        <f>B53-C53-D53</f>
        <v/>
      </c>
      <c r="F53" s="16">
        <f>CHOOSE(WEEKDAY(A53,2),"Lunes","Martes","Miércoles","Jueves","Viernes","Sábado","Domingo")</f>
        <v/>
      </c>
      <c r="G53" s="23" t="n">
        <v>46064</v>
      </c>
      <c r="H53" s="16">
        <f>IF(G53&lt;=$B$7,"Cobrado","Retenido")</f>
        <v/>
      </c>
      <c r="I53" s="17">
        <f>IF(H53="Retenido",E53,0)</f>
        <v/>
      </c>
      <c r="J53" s="16" t="inlineStr">
        <is>
          <t>2026-W07</t>
        </is>
      </c>
    </row>
    <row r="54">
      <c r="A54" s="23" t="n">
        <v>46063</v>
      </c>
      <c r="B54" s="17" t="n">
        <v>570880.42</v>
      </c>
      <c r="C54" s="17" t="n">
        <v>5156.31</v>
      </c>
      <c r="D54" s="17" t="n">
        <v>0</v>
      </c>
      <c r="E54" s="17">
        <f>B54-C54-D54</f>
        <v/>
      </c>
      <c r="F54" s="16">
        <f>CHOOSE(WEEKDAY(A54,2),"Lunes","Martes","Miércoles","Jueves","Viernes","Sábado","Domingo")</f>
        <v/>
      </c>
      <c r="G54" s="23" t="n">
        <v>46065</v>
      </c>
      <c r="H54" s="16">
        <f>IF(G54&lt;=$B$7,"Cobrado","Retenido")</f>
        <v/>
      </c>
      <c r="I54" s="17">
        <f>IF(H54="Retenido",E54,0)</f>
        <v/>
      </c>
      <c r="J54" s="16" t="inlineStr">
        <is>
          <t>2026-W07</t>
        </is>
      </c>
    </row>
    <row r="55">
      <c r="A55" s="23" t="n">
        <v>46064</v>
      </c>
      <c r="B55" s="17" t="n">
        <v>528980.98</v>
      </c>
      <c r="C55" s="17" t="n">
        <v>5248.89</v>
      </c>
      <c r="D55" s="17" t="n">
        <v>0</v>
      </c>
      <c r="E55" s="17">
        <f>B55-C55-D55</f>
        <v/>
      </c>
      <c r="F55" s="16">
        <f>CHOOSE(WEEKDAY(A55,2),"Lunes","Martes","Miércoles","Jueves","Viernes","Sábado","Domingo")</f>
        <v/>
      </c>
      <c r="G55" s="23" t="n">
        <v>46066</v>
      </c>
      <c r="H55" s="16">
        <f>IF(G55&lt;=$B$7,"Cobrado","Retenido")</f>
        <v/>
      </c>
      <c r="I55" s="17">
        <f>IF(H55="Retenido",E55,0)</f>
        <v/>
      </c>
      <c r="J55" s="16" t="inlineStr">
        <is>
          <t>2026-W07</t>
        </is>
      </c>
    </row>
    <row r="56">
      <c r="A56" s="23" t="n">
        <v>46065</v>
      </c>
      <c r="B56" s="17" t="n">
        <v>473185.79</v>
      </c>
      <c r="C56" s="17" t="n">
        <v>3192.12</v>
      </c>
      <c r="D56" s="17" t="n">
        <v>0</v>
      </c>
      <c r="E56" s="17">
        <f>B56-C56-D56</f>
        <v/>
      </c>
      <c r="F56" s="16">
        <f>CHOOSE(WEEKDAY(A56,2),"Lunes","Martes","Miércoles","Jueves","Viernes","Sábado","Domingo")</f>
        <v/>
      </c>
      <c r="G56" s="23" t="n">
        <v>46069</v>
      </c>
      <c r="H56" s="16">
        <f>IF(G56&lt;=$B$7,"Cobrado","Retenido")</f>
        <v/>
      </c>
      <c r="I56" s="17">
        <f>IF(H56="Retenido",E56,0)</f>
        <v/>
      </c>
      <c r="J56" s="16" t="inlineStr">
        <is>
          <t>2026-W07</t>
        </is>
      </c>
    </row>
    <row r="57">
      <c r="A57" s="23" t="n">
        <v>46066</v>
      </c>
      <c r="B57" s="17" t="n">
        <v>485443.57</v>
      </c>
      <c r="C57" s="17" t="n">
        <v>13613.46</v>
      </c>
      <c r="D57" s="17" t="n">
        <v>0</v>
      </c>
      <c r="E57" s="17">
        <f>B57-C57-D57</f>
        <v/>
      </c>
      <c r="F57" s="16">
        <f>CHOOSE(WEEKDAY(A57,2),"Lunes","Martes","Miércoles","Jueves","Viernes","Sábado","Domingo")</f>
        <v/>
      </c>
      <c r="G57" s="23" t="n">
        <v>46070</v>
      </c>
      <c r="H57" s="16">
        <f>IF(G57&lt;=$B$7,"Cobrado","Retenido")</f>
        <v/>
      </c>
      <c r="I57" s="17">
        <f>IF(H57="Retenido",E57,0)</f>
        <v/>
      </c>
      <c r="J57" s="16" t="inlineStr">
        <is>
          <t>2026-W07</t>
        </is>
      </c>
    </row>
    <row r="58">
      <c r="A58" s="23" t="n">
        <v>46067</v>
      </c>
      <c r="B58" s="17" t="n">
        <v>287070.43</v>
      </c>
      <c r="C58" s="17" t="n">
        <v>0</v>
      </c>
      <c r="D58" s="17" t="n">
        <v>0</v>
      </c>
      <c r="E58" s="17">
        <f>B58-C58-D58</f>
        <v/>
      </c>
      <c r="F58" s="16">
        <f>CHOOSE(WEEKDAY(A58,2),"Lunes","Martes","Miércoles","Jueves","Viernes","Sábado","Domingo")</f>
        <v/>
      </c>
      <c r="G58" s="23" t="n">
        <v>46070</v>
      </c>
      <c r="H58" s="16">
        <f>IF(G58&lt;=$B$7,"Cobrado","Retenido")</f>
        <v/>
      </c>
      <c r="I58" s="17">
        <f>IF(H58="Retenido",E58,0)</f>
        <v/>
      </c>
      <c r="J58" s="16" t="inlineStr">
        <is>
          <t>2026-W07</t>
        </is>
      </c>
    </row>
    <row r="59">
      <c r="A59" s="23" t="n">
        <v>46068</v>
      </c>
      <c r="B59" s="17" t="n">
        <v>279192.04</v>
      </c>
      <c r="C59" s="17" t="n">
        <v>0</v>
      </c>
      <c r="D59" s="17" t="n">
        <v>0</v>
      </c>
      <c r="E59" s="17">
        <f>B59-C59-D59</f>
        <v/>
      </c>
      <c r="F59" s="16">
        <f>CHOOSE(WEEKDAY(A59,2),"Lunes","Martes","Miércoles","Jueves","Viernes","Sábado","Domingo")</f>
        <v/>
      </c>
      <c r="G59" s="23" t="n">
        <v>46070</v>
      </c>
      <c r="H59" s="16">
        <f>IF(G59&lt;=$B$7,"Cobrado","Retenido")</f>
        <v/>
      </c>
      <c r="I59" s="17">
        <f>IF(H59="Retenido",E59,0)</f>
        <v/>
      </c>
      <c r="J59" s="16" t="inlineStr">
        <is>
          <t>2026-W07</t>
        </is>
      </c>
    </row>
    <row r="60">
      <c r="A60" s="23" t="n">
        <v>46069</v>
      </c>
      <c r="B60" s="17" t="n">
        <v>496233.53</v>
      </c>
      <c r="C60" s="17" t="n">
        <v>5314.9</v>
      </c>
      <c r="D60" s="17" t="n">
        <v>0</v>
      </c>
      <c r="E60" s="17">
        <f>B60-C60-D60</f>
        <v/>
      </c>
      <c r="F60" s="16">
        <f>CHOOSE(WEEKDAY(A60,2),"Lunes","Martes","Miércoles","Jueves","Viernes","Sábado","Domingo")</f>
        <v/>
      </c>
      <c r="G60" s="23" t="n">
        <v>46071</v>
      </c>
      <c r="H60" s="16">
        <f>IF(G60&lt;=$B$7,"Cobrado","Retenido")</f>
        <v/>
      </c>
      <c r="I60" s="17">
        <f>IF(H60="Retenido",E60,0)</f>
        <v/>
      </c>
      <c r="J60" s="16" t="inlineStr">
        <is>
          <t>2026-W08</t>
        </is>
      </c>
    </row>
    <row r="61">
      <c r="A61" s="23" t="n">
        <v>46070</v>
      </c>
      <c r="B61" s="17" t="n">
        <v>522551.84</v>
      </c>
      <c r="C61" s="17" t="n">
        <v>4394.3</v>
      </c>
      <c r="D61" s="17" t="n">
        <v>0</v>
      </c>
      <c r="E61" s="17">
        <f>B61-C61-D61</f>
        <v/>
      </c>
      <c r="F61" s="16">
        <f>CHOOSE(WEEKDAY(A61,2),"Lunes","Martes","Miércoles","Jueves","Viernes","Sábado","Domingo")</f>
        <v/>
      </c>
      <c r="G61" s="23" t="n">
        <v>46072</v>
      </c>
      <c r="H61" s="16">
        <f>IF(G61&lt;=$B$7,"Cobrado","Retenido")</f>
        <v/>
      </c>
      <c r="I61" s="17">
        <f>IF(H61="Retenido",E61,0)</f>
        <v/>
      </c>
      <c r="J61" s="16" t="inlineStr">
        <is>
          <t>2026-W08</t>
        </is>
      </c>
    </row>
    <row r="62">
      <c r="A62" s="23" t="n">
        <v>46071</v>
      </c>
      <c r="B62" s="17" t="n">
        <v>479662.96</v>
      </c>
      <c r="C62" s="17" t="n">
        <v>5001.21</v>
      </c>
      <c r="D62" s="17" t="n">
        <v>0</v>
      </c>
      <c r="E62" s="17">
        <f>B62-C62-D62</f>
        <v/>
      </c>
      <c r="F62" s="16">
        <f>CHOOSE(WEEKDAY(A62,2),"Lunes","Martes","Miércoles","Jueves","Viernes","Sábado","Domingo")</f>
        <v/>
      </c>
      <c r="G62" s="23" t="n">
        <v>46073</v>
      </c>
      <c r="H62" s="16">
        <f>IF(G62&lt;=$B$7,"Cobrado","Retenido")</f>
        <v/>
      </c>
      <c r="I62" s="17">
        <f>IF(H62="Retenido",E62,0)</f>
        <v/>
      </c>
      <c r="J62" s="16" t="inlineStr">
        <is>
          <t>2026-W08</t>
        </is>
      </c>
    </row>
    <row r="63">
      <c r="A63" s="23" t="n">
        <v>46072</v>
      </c>
      <c r="B63" s="17" t="n">
        <v>490432.75</v>
      </c>
      <c r="C63" s="17" t="n">
        <v>5445.08</v>
      </c>
      <c r="D63" s="17" t="n">
        <v>0</v>
      </c>
      <c r="E63" s="17">
        <f>B63-C63-D63</f>
        <v/>
      </c>
      <c r="F63" s="16">
        <f>CHOOSE(WEEKDAY(A63,2),"Lunes","Martes","Miércoles","Jueves","Viernes","Sábado","Domingo")</f>
        <v/>
      </c>
      <c r="G63" s="23" t="n">
        <v>46076</v>
      </c>
      <c r="H63" s="16">
        <f>IF(G63&lt;=$B$7,"Cobrado","Retenido")</f>
        <v/>
      </c>
      <c r="I63" s="17">
        <f>IF(H63="Retenido",E63,0)</f>
        <v/>
      </c>
      <c r="J63" s="16" t="inlineStr">
        <is>
          <t>2026-W08</t>
        </is>
      </c>
    </row>
    <row r="64">
      <c r="A64" s="23" t="n">
        <v>46073</v>
      </c>
      <c r="B64" s="17" t="n">
        <v>464598.32</v>
      </c>
      <c r="C64" s="17" t="n">
        <v>11938.83</v>
      </c>
      <c r="D64" s="17" t="n">
        <v>0</v>
      </c>
      <c r="E64" s="17">
        <f>B64-C64-D64</f>
        <v/>
      </c>
      <c r="F64" s="16">
        <f>CHOOSE(WEEKDAY(A64,2),"Lunes","Martes","Miércoles","Jueves","Viernes","Sábado","Domingo")</f>
        <v/>
      </c>
      <c r="G64" s="23" t="n">
        <v>46077</v>
      </c>
      <c r="H64" s="16">
        <f>IF(G64&lt;=$B$7,"Cobrado","Retenido")</f>
        <v/>
      </c>
      <c r="I64" s="17">
        <f>IF(H64="Retenido",E64,0)</f>
        <v/>
      </c>
      <c r="J64" s="16" t="inlineStr">
        <is>
          <t>2026-W08</t>
        </is>
      </c>
    </row>
    <row r="65">
      <c r="A65" s="23" t="n">
        <v>46074</v>
      </c>
      <c r="B65" s="17" t="n">
        <v>286313.46</v>
      </c>
      <c r="C65" s="17" t="n">
        <v>0</v>
      </c>
      <c r="D65" s="17" t="n">
        <v>0</v>
      </c>
      <c r="E65" s="17">
        <f>B65-C65-D65</f>
        <v/>
      </c>
      <c r="F65" s="16">
        <f>CHOOSE(WEEKDAY(A65,2),"Lunes","Martes","Miércoles","Jueves","Viernes","Sábado","Domingo")</f>
        <v/>
      </c>
      <c r="G65" s="23" t="n">
        <v>46077</v>
      </c>
      <c r="H65" s="16">
        <f>IF(G65&lt;=$B$7,"Cobrado","Retenido")</f>
        <v/>
      </c>
      <c r="I65" s="17">
        <f>IF(H65="Retenido",E65,0)</f>
        <v/>
      </c>
      <c r="J65" s="16" t="inlineStr">
        <is>
          <t>2026-W08</t>
        </is>
      </c>
    </row>
    <row r="66">
      <c r="A66" s="23" t="n">
        <v>46075</v>
      </c>
      <c r="B66" s="17" t="n">
        <v>283122.47</v>
      </c>
      <c r="C66" s="17" t="n">
        <v>0</v>
      </c>
      <c r="D66" s="17" t="n">
        <v>0</v>
      </c>
      <c r="E66" s="17">
        <f>B66-C66-D66</f>
        <v/>
      </c>
      <c r="F66" s="16">
        <f>CHOOSE(WEEKDAY(A66,2),"Lunes","Martes","Miércoles","Jueves","Viernes","Sábado","Domingo")</f>
        <v/>
      </c>
      <c r="G66" s="23" t="n">
        <v>46077</v>
      </c>
      <c r="H66" s="16">
        <f>IF(G66&lt;=$B$7,"Cobrado","Retenido")</f>
        <v/>
      </c>
      <c r="I66" s="17">
        <f>IF(H66="Retenido",E66,0)</f>
        <v/>
      </c>
      <c r="J66" s="16" t="inlineStr">
        <is>
          <t>2026-W08</t>
        </is>
      </c>
    </row>
    <row r="67">
      <c r="A67" s="23" t="n">
        <v>46076</v>
      </c>
      <c r="B67" s="17" t="n">
        <v>518522.43</v>
      </c>
      <c r="C67" s="17" t="n">
        <v>6743.43</v>
      </c>
      <c r="D67" s="17" t="n">
        <v>0</v>
      </c>
      <c r="E67" s="17">
        <f>B67-C67-D67</f>
        <v/>
      </c>
      <c r="F67" s="16">
        <f>CHOOSE(WEEKDAY(A67,2),"Lunes","Martes","Miércoles","Jueves","Viernes","Sábado","Domingo")</f>
        <v/>
      </c>
      <c r="G67" s="23" t="n">
        <v>46078</v>
      </c>
      <c r="H67" s="16">
        <f>IF(G67&lt;=$B$7,"Cobrado","Retenido")</f>
        <v/>
      </c>
      <c r="I67" s="17">
        <f>IF(H67="Retenido",E67,0)</f>
        <v/>
      </c>
      <c r="J67" s="16" t="inlineStr">
        <is>
          <t>2026-W09</t>
        </is>
      </c>
    </row>
    <row r="68">
      <c r="A68" s="23" t="n">
        <v>46077</v>
      </c>
      <c r="B68" s="17" t="n">
        <v>508926.54</v>
      </c>
      <c r="C68" s="17" t="n">
        <v>8758.690000000001</v>
      </c>
      <c r="D68" s="17" t="n">
        <v>0</v>
      </c>
      <c r="E68" s="17">
        <f>B68-C68-D68</f>
        <v/>
      </c>
      <c r="F68" s="16">
        <f>CHOOSE(WEEKDAY(A68,2),"Lunes","Martes","Miércoles","Jueves","Viernes","Sábado","Domingo")</f>
        <v/>
      </c>
      <c r="G68" s="23" t="n">
        <v>46079</v>
      </c>
      <c r="H68" s="16">
        <f>IF(G68&lt;=$B$7,"Cobrado","Retenido")</f>
        <v/>
      </c>
      <c r="I68" s="17">
        <f>IF(H68="Retenido",E68,0)</f>
        <v/>
      </c>
      <c r="J68" s="16" t="inlineStr">
        <is>
          <t>2026-W09</t>
        </is>
      </c>
    </row>
    <row r="69">
      <c r="A69" s="23" t="n">
        <v>46078</v>
      </c>
      <c r="B69" s="17" t="n">
        <v>515520.48</v>
      </c>
      <c r="C69" s="17" t="n">
        <v>3687.56</v>
      </c>
      <c r="D69" s="17" t="n">
        <v>0</v>
      </c>
      <c r="E69" s="17">
        <f>B69-C69-D69</f>
        <v/>
      </c>
      <c r="F69" s="16">
        <f>CHOOSE(WEEKDAY(A69,2),"Lunes","Martes","Miércoles","Jueves","Viernes","Sábado","Domingo")</f>
        <v/>
      </c>
      <c r="G69" s="23" t="n">
        <v>46080</v>
      </c>
      <c r="H69" s="16">
        <f>IF(G69&lt;=$B$7,"Cobrado","Retenido")</f>
        <v/>
      </c>
      <c r="I69" s="17">
        <f>IF(H69="Retenido",E69,0)</f>
        <v/>
      </c>
      <c r="J69" s="16" t="inlineStr">
        <is>
          <t>2026-W09</t>
        </is>
      </c>
    </row>
    <row r="70">
      <c r="A70" s="23" t="n">
        <v>46079</v>
      </c>
      <c r="B70" s="17" t="n">
        <v>484015.85</v>
      </c>
      <c r="C70" s="17" t="n">
        <v>4562.71</v>
      </c>
      <c r="D70" s="17" t="n">
        <v>0</v>
      </c>
      <c r="E70" s="17">
        <f>B70-C70-D70</f>
        <v/>
      </c>
      <c r="F70" s="16">
        <f>CHOOSE(WEEKDAY(A70,2),"Lunes","Martes","Miércoles","Jueves","Viernes","Sábado","Domingo")</f>
        <v/>
      </c>
      <c r="G70" s="23" t="n">
        <v>46083</v>
      </c>
      <c r="H70" s="16">
        <f>IF(G70&lt;=$B$7,"Cobrado","Retenido")</f>
        <v/>
      </c>
      <c r="I70" s="17">
        <f>IF(H70="Retenido",E70,0)</f>
        <v/>
      </c>
      <c r="J70" s="16" t="inlineStr">
        <is>
          <t>2026-W09</t>
        </is>
      </c>
    </row>
    <row r="71">
      <c r="A71" s="23" t="n">
        <v>46080</v>
      </c>
      <c r="B71" s="17" t="n">
        <v>513244.48</v>
      </c>
      <c r="C71" s="17" t="n">
        <v>6713.88</v>
      </c>
      <c r="D71" s="17" t="n">
        <v>0</v>
      </c>
      <c r="E71" s="17">
        <f>B71-C71-D71</f>
        <v/>
      </c>
      <c r="F71" s="16">
        <f>CHOOSE(WEEKDAY(A71,2),"Lunes","Martes","Miércoles","Jueves","Viernes","Sábado","Domingo")</f>
        <v/>
      </c>
      <c r="G71" s="23" t="n">
        <v>46084</v>
      </c>
      <c r="H71" s="16">
        <f>IF(G71&lt;=$B$7,"Cobrado","Retenido")</f>
        <v/>
      </c>
      <c r="I71" s="17">
        <f>IF(H71="Retenido",E71,0)</f>
        <v/>
      </c>
      <c r="J71" s="16" t="inlineStr">
        <is>
          <t>2026-W09</t>
        </is>
      </c>
    </row>
    <row r="72">
      <c r="A72" s="23" t="n">
        <v>46081</v>
      </c>
      <c r="B72" s="17" t="n">
        <v>332884.05</v>
      </c>
      <c r="C72" s="17" t="n">
        <v>0</v>
      </c>
      <c r="D72" s="17" t="n">
        <v>0</v>
      </c>
      <c r="E72" s="17">
        <f>B72-C72-D72</f>
        <v/>
      </c>
      <c r="F72" s="16">
        <f>CHOOSE(WEEKDAY(A72,2),"Lunes","Martes","Miércoles","Jueves","Viernes","Sábado","Domingo")</f>
        <v/>
      </c>
      <c r="G72" s="23" t="n">
        <v>46084</v>
      </c>
      <c r="H72" s="16">
        <f>IF(G72&lt;=$B$7,"Cobrado","Retenido")</f>
        <v/>
      </c>
      <c r="I72" s="17">
        <f>IF(H72="Retenido",E72,0)</f>
        <v/>
      </c>
      <c r="J72" s="16" t="inlineStr">
        <is>
          <t>2026-W09</t>
        </is>
      </c>
    </row>
    <row r="73">
      <c r="A73" s="23" t="n">
        <v>46082</v>
      </c>
      <c r="B73" s="17" t="n">
        <v>389985.81</v>
      </c>
      <c r="C73" s="17" t="n">
        <v>0</v>
      </c>
      <c r="D73" s="17" t="n">
        <v>0</v>
      </c>
      <c r="E73" s="17">
        <f>B73-C73-D73</f>
        <v/>
      </c>
      <c r="F73" s="16">
        <f>CHOOSE(WEEKDAY(A73,2),"Lunes","Martes","Miércoles","Jueves","Viernes","Sábado","Domingo")</f>
        <v/>
      </c>
      <c r="G73" s="23" t="n">
        <v>46084</v>
      </c>
      <c r="H73" s="16">
        <f>IF(G73&lt;=$B$7,"Cobrado","Retenido")</f>
        <v/>
      </c>
      <c r="I73" s="17">
        <f>IF(H73="Retenido",E73,0)</f>
        <v/>
      </c>
      <c r="J73" s="16" t="inlineStr">
        <is>
          <t>2026-W09</t>
        </is>
      </c>
    </row>
    <row r="74">
      <c r="A74" s="23" t="n">
        <v>46083</v>
      </c>
      <c r="B74" s="17" t="n">
        <v>644335.5699999999</v>
      </c>
      <c r="C74" s="17" t="n">
        <v>5339.81</v>
      </c>
      <c r="D74" s="17" t="n">
        <v>0</v>
      </c>
      <c r="E74" s="17">
        <f>B74-C74-D74</f>
        <v/>
      </c>
      <c r="F74" s="16">
        <f>CHOOSE(WEEKDAY(A74,2),"Lunes","Martes","Miércoles","Jueves","Viernes","Sábado","Domingo")</f>
        <v/>
      </c>
      <c r="G74" s="23" t="n">
        <v>46085</v>
      </c>
      <c r="H74" s="16">
        <f>IF(G74&lt;=$B$7,"Cobrado","Retenido")</f>
        <v/>
      </c>
      <c r="I74" s="17">
        <f>IF(H74="Retenido",E74,0)</f>
        <v/>
      </c>
      <c r="J74" s="16" t="inlineStr">
        <is>
          <t>2026-W10</t>
        </is>
      </c>
    </row>
    <row r="75">
      <c r="A75" s="23" t="n">
        <v>46084</v>
      </c>
      <c r="B75" s="17" t="n">
        <v>649448.8100000001</v>
      </c>
      <c r="C75" s="17" t="n">
        <v>5146.88</v>
      </c>
      <c r="D75" s="17" t="n">
        <v>0</v>
      </c>
      <c r="E75" s="17">
        <f>B75-C75-D75</f>
        <v/>
      </c>
      <c r="F75" s="16">
        <f>CHOOSE(WEEKDAY(A75,2),"Lunes","Martes","Miércoles","Jueves","Viernes","Sábado","Domingo")</f>
        <v/>
      </c>
      <c r="G75" s="23" t="n">
        <v>46086</v>
      </c>
      <c r="H75" s="16">
        <f>IF(G75&lt;=$B$7,"Cobrado","Retenido")</f>
        <v/>
      </c>
      <c r="I75" s="17">
        <f>IF(H75="Retenido",E75,0)</f>
        <v/>
      </c>
      <c r="J75" s="16" t="inlineStr">
        <is>
          <t>2026-W10</t>
        </is>
      </c>
    </row>
    <row r="76">
      <c r="A76" s="23" t="n">
        <v>46085</v>
      </c>
      <c r="B76" s="17" t="n">
        <v>649071.76</v>
      </c>
      <c r="C76" s="17" t="n">
        <v>6137.15</v>
      </c>
      <c r="D76" s="17" t="n">
        <v>0</v>
      </c>
      <c r="E76" s="17">
        <f>B76-C76-D76</f>
        <v/>
      </c>
      <c r="F76" s="16">
        <f>CHOOSE(WEEKDAY(A76,2),"Lunes","Martes","Miércoles","Jueves","Viernes","Sábado","Domingo")</f>
        <v/>
      </c>
      <c r="G76" s="23" t="n">
        <v>46087</v>
      </c>
      <c r="H76" s="16">
        <f>IF(G76&lt;=$B$7,"Cobrado","Retenido")</f>
        <v/>
      </c>
      <c r="I76" s="17">
        <f>IF(H76="Retenido",E76,0)</f>
        <v/>
      </c>
      <c r="J76" s="16" t="inlineStr">
        <is>
          <t>2026-W10</t>
        </is>
      </c>
    </row>
    <row r="77">
      <c r="A77" s="23" t="n">
        <v>46086</v>
      </c>
      <c r="B77" s="17" t="n">
        <v>616320.9</v>
      </c>
      <c r="C77" s="17" t="n">
        <v>9464.16</v>
      </c>
      <c r="D77" s="17" t="n">
        <v>0</v>
      </c>
      <c r="E77" s="17">
        <f>B77-C77-D77</f>
        <v/>
      </c>
      <c r="F77" s="16">
        <f>CHOOSE(WEEKDAY(A77,2),"Lunes","Martes","Miércoles","Jueves","Viernes","Sábado","Domingo")</f>
        <v/>
      </c>
      <c r="G77" s="23" t="n">
        <v>46090</v>
      </c>
      <c r="H77" s="16">
        <f>IF(G77&lt;=$B$7,"Cobrado","Retenido")</f>
        <v/>
      </c>
      <c r="I77" s="17">
        <f>IF(H77="Retenido",E77,0)</f>
        <v/>
      </c>
      <c r="J77" s="16" t="inlineStr">
        <is>
          <t>2026-W10</t>
        </is>
      </c>
    </row>
    <row r="78">
      <c r="A78" s="23" t="n">
        <v>46087</v>
      </c>
      <c r="B78" s="17" t="n">
        <v>580363.28</v>
      </c>
      <c r="C78" s="17" t="n">
        <v>11022.85</v>
      </c>
      <c r="D78" s="17" t="n">
        <v>0</v>
      </c>
      <c r="E78" s="17">
        <f>B78-C78-D78</f>
        <v/>
      </c>
      <c r="F78" s="16">
        <f>CHOOSE(WEEKDAY(A78,2),"Lunes","Martes","Miércoles","Jueves","Viernes","Sábado","Domingo")</f>
        <v/>
      </c>
      <c r="G78" s="23" t="n">
        <v>46091</v>
      </c>
      <c r="H78" s="16">
        <f>IF(G78&lt;=$B$7,"Cobrado","Retenido")</f>
        <v/>
      </c>
      <c r="I78" s="17">
        <f>IF(H78="Retenido",E78,0)</f>
        <v/>
      </c>
      <c r="J78" s="16" t="inlineStr">
        <is>
          <t>2026-W10</t>
        </is>
      </c>
    </row>
    <row r="79">
      <c r="A79" s="23" t="n">
        <v>46088</v>
      </c>
      <c r="B79" s="17" t="n">
        <v>394768.87</v>
      </c>
      <c r="C79" s="17" t="n">
        <v>0</v>
      </c>
      <c r="D79" s="17" t="n">
        <v>0</v>
      </c>
      <c r="E79" s="17">
        <f>B79-C79-D79</f>
        <v/>
      </c>
      <c r="F79" s="16">
        <f>CHOOSE(WEEKDAY(A79,2),"Lunes","Martes","Miércoles","Jueves","Viernes","Sábado","Domingo")</f>
        <v/>
      </c>
      <c r="G79" s="23" t="n">
        <v>46091</v>
      </c>
      <c r="H79" s="16">
        <f>IF(G79&lt;=$B$7,"Cobrado","Retenido")</f>
        <v/>
      </c>
      <c r="I79" s="17">
        <f>IF(H79="Retenido",E79,0)</f>
        <v/>
      </c>
      <c r="J79" s="16" t="inlineStr">
        <is>
          <t>2026-W10</t>
        </is>
      </c>
    </row>
    <row r="80">
      <c r="A80" s="23" t="n">
        <v>46089</v>
      </c>
      <c r="B80" s="17" t="n">
        <v>397658.15</v>
      </c>
      <c r="C80" s="17" t="n">
        <v>0</v>
      </c>
      <c r="D80" s="17" t="n">
        <v>0</v>
      </c>
      <c r="E80" s="17">
        <f>B80-C80-D80</f>
        <v/>
      </c>
      <c r="F80" s="16">
        <f>CHOOSE(WEEKDAY(A80,2),"Lunes","Martes","Miércoles","Jueves","Viernes","Sábado","Domingo")</f>
        <v/>
      </c>
      <c r="G80" s="23" t="n">
        <v>46091</v>
      </c>
      <c r="H80" s="16">
        <f>IF(G80&lt;=$B$7,"Cobrado","Retenido")</f>
        <v/>
      </c>
      <c r="I80" s="17">
        <f>IF(H80="Retenido",E80,0)</f>
        <v/>
      </c>
      <c r="J80" s="16" t="inlineStr">
        <is>
          <t>2026-W10</t>
        </is>
      </c>
    </row>
    <row r="81">
      <c r="A81" s="23" t="n">
        <v>46090</v>
      </c>
      <c r="B81" s="17" t="n">
        <v>674229.02</v>
      </c>
      <c r="C81" s="17" t="n">
        <v>7461.19</v>
      </c>
      <c r="D81" s="17" t="n">
        <v>0</v>
      </c>
      <c r="E81" s="17">
        <f>B81-C81-D81</f>
        <v/>
      </c>
      <c r="F81" s="16">
        <f>CHOOSE(WEEKDAY(A81,2),"Lunes","Martes","Miércoles","Jueves","Viernes","Sábado","Domingo")</f>
        <v/>
      </c>
      <c r="G81" s="23" t="n">
        <v>46092</v>
      </c>
      <c r="H81" s="16">
        <f>IF(G81&lt;=$B$7,"Cobrado","Retenido")</f>
        <v/>
      </c>
      <c r="I81" s="17">
        <f>IF(H81="Retenido",E81,0)</f>
        <v/>
      </c>
      <c r="J81" s="16" t="inlineStr">
        <is>
          <t>2026-W11</t>
        </is>
      </c>
    </row>
    <row r="82">
      <c r="A82" s="23" t="n">
        <v>46091</v>
      </c>
      <c r="B82" s="17" t="n">
        <v>727960.79</v>
      </c>
      <c r="C82" s="17" t="n">
        <v>6791.23</v>
      </c>
      <c r="D82" s="17" t="n">
        <v>0</v>
      </c>
      <c r="E82" s="17">
        <f>B82-C82-D82</f>
        <v/>
      </c>
      <c r="F82" s="16">
        <f>CHOOSE(WEEKDAY(A82,2),"Lunes","Martes","Miércoles","Jueves","Viernes","Sábado","Domingo")</f>
        <v/>
      </c>
      <c r="G82" s="23" t="n">
        <v>46093</v>
      </c>
      <c r="H82" s="16">
        <f>IF(G82&lt;=$B$7,"Cobrado","Retenido")</f>
        <v/>
      </c>
      <c r="I82" s="17">
        <f>IF(H82="Retenido",E82,0)</f>
        <v/>
      </c>
      <c r="J82" s="16" t="inlineStr">
        <is>
          <t>2026-W11</t>
        </is>
      </c>
    </row>
    <row r="83">
      <c r="A83" s="23" t="n">
        <v>46092</v>
      </c>
      <c r="B83" s="17" t="n">
        <v>714717.66</v>
      </c>
      <c r="C83" s="17" t="n">
        <v>7213.14</v>
      </c>
      <c r="D83" s="17" t="n">
        <v>0</v>
      </c>
      <c r="E83" s="17">
        <f>B83-C83-D83</f>
        <v/>
      </c>
      <c r="F83" s="16">
        <f>CHOOSE(WEEKDAY(A83,2),"Lunes","Martes","Miércoles","Jueves","Viernes","Sábado","Domingo")</f>
        <v/>
      </c>
      <c r="G83" s="23" t="n">
        <v>46094</v>
      </c>
      <c r="H83" s="16">
        <f>IF(G83&lt;=$B$7,"Cobrado","Retenido")</f>
        <v/>
      </c>
      <c r="I83" s="17">
        <f>IF(H83="Retenido",E83,0)</f>
        <v/>
      </c>
      <c r="J83" s="16" t="inlineStr">
        <is>
          <t>2026-W11</t>
        </is>
      </c>
    </row>
    <row r="84">
      <c r="A84" s="23" t="n">
        <v>46093</v>
      </c>
      <c r="B84" s="17" t="n">
        <v>631655.47</v>
      </c>
      <c r="C84" s="17" t="n">
        <v>10017.8</v>
      </c>
      <c r="D84" s="17" t="n">
        <v>0</v>
      </c>
      <c r="E84" s="17">
        <f>B84-C84-D84</f>
        <v/>
      </c>
      <c r="F84" s="16">
        <f>CHOOSE(WEEKDAY(A84,2),"Lunes","Martes","Miércoles","Jueves","Viernes","Sábado","Domingo")</f>
        <v/>
      </c>
      <c r="G84" s="23" t="n">
        <v>46097</v>
      </c>
      <c r="H84" s="16">
        <f>IF(G84&lt;=$B$7,"Cobrado","Retenido")</f>
        <v/>
      </c>
      <c r="I84" s="17">
        <f>IF(H84="Retenido",E84,0)</f>
        <v/>
      </c>
      <c r="J84" s="16" t="inlineStr">
        <is>
          <t>2026-W11</t>
        </is>
      </c>
    </row>
    <row r="85">
      <c r="A85" s="23" t="n">
        <v>46094</v>
      </c>
      <c r="B85" s="17" t="n">
        <v>575247.0600000001</v>
      </c>
      <c r="C85" s="17" t="n">
        <v>33447.94</v>
      </c>
      <c r="D85" s="17" t="n">
        <v>0</v>
      </c>
      <c r="E85" s="17">
        <f>B85-C85-D85</f>
        <v/>
      </c>
      <c r="F85" s="16">
        <f>CHOOSE(WEEKDAY(A85,2),"Lunes","Martes","Miércoles","Jueves","Viernes","Sábado","Domingo")</f>
        <v/>
      </c>
      <c r="G85" s="23" t="n">
        <v>46098</v>
      </c>
      <c r="H85" s="16">
        <f>IF(G85&lt;=$B$7,"Cobrado","Retenido")</f>
        <v/>
      </c>
      <c r="I85" s="17">
        <f>IF(H85="Retenido",E85,0)</f>
        <v/>
      </c>
      <c r="J85" s="16" t="inlineStr">
        <is>
          <t>2026-W11</t>
        </is>
      </c>
    </row>
    <row r="86">
      <c r="A86" s="23" t="n">
        <v>46095</v>
      </c>
      <c r="B86" s="17" t="n">
        <v>407773.37</v>
      </c>
      <c r="C86" s="17" t="n">
        <v>0</v>
      </c>
      <c r="D86" s="17" t="n">
        <v>0</v>
      </c>
      <c r="E86" s="17">
        <f>B86-C86-D86</f>
        <v/>
      </c>
      <c r="F86" s="16">
        <f>CHOOSE(WEEKDAY(A86,2),"Lunes","Martes","Miércoles","Jueves","Viernes","Sábado","Domingo")</f>
        <v/>
      </c>
      <c r="G86" s="23" t="n">
        <v>46098</v>
      </c>
      <c r="H86" s="16">
        <f>IF(G86&lt;=$B$7,"Cobrado","Retenido")</f>
        <v/>
      </c>
      <c r="I86" s="17">
        <f>IF(H86="Retenido",E86,0)</f>
        <v/>
      </c>
      <c r="J86" s="16" t="inlineStr">
        <is>
          <t>2026-W11</t>
        </is>
      </c>
    </row>
    <row r="87">
      <c r="A87" s="23" t="n">
        <v>46096</v>
      </c>
      <c r="B87" s="17" t="n">
        <v>402394.66</v>
      </c>
      <c r="C87" s="17" t="n">
        <v>0</v>
      </c>
      <c r="D87" s="17" t="n">
        <v>0</v>
      </c>
      <c r="E87" s="17">
        <f>B87-C87-D87</f>
        <v/>
      </c>
      <c r="F87" s="16">
        <f>CHOOSE(WEEKDAY(A87,2),"Lunes","Martes","Miércoles","Jueves","Viernes","Sábado","Domingo")</f>
        <v/>
      </c>
      <c r="G87" s="23" t="n">
        <v>46098</v>
      </c>
      <c r="H87" s="16">
        <f>IF(G87&lt;=$B$7,"Cobrado","Retenido")</f>
        <v/>
      </c>
      <c r="I87" s="17">
        <f>IF(H87="Retenido",E87,0)</f>
        <v/>
      </c>
      <c r="J87" s="16" t="inlineStr">
        <is>
          <t>2026-W11</t>
        </is>
      </c>
    </row>
    <row r="88">
      <c r="A88" s="23" t="n">
        <v>46097</v>
      </c>
      <c r="B88" s="17" t="n">
        <v>568016.88</v>
      </c>
      <c r="C88" s="17" t="n">
        <v>11951.52</v>
      </c>
      <c r="D88" s="17" t="n">
        <v>0</v>
      </c>
      <c r="E88" s="17">
        <f>B88-C88-D88</f>
        <v/>
      </c>
      <c r="F88" s="16">
        <f>CHOOSE(WEEKDAY(A88,2),"Lunes","Martes","Miércoles","Jueves","Viernes","Sábado","Domingo")</f>
        <v/>
      </c>
      <c r="G88" s="23" t="n">
        <v>46099</v>
      </c>
      <c r="H88" s="16">
        <f>IF(G88&lt;=$B$7,"Cobrado","Retenido")</f>
        <v/>
      </c>
      <c r="I88" s="17">
        <f>IF(H88="Retenido",E88,0)</f>
        <v/>
      </c>
      <c r="J88" s="16" t="inlineStr">
        <is>
          <t>2026-W12</t>
        </is>
      </c>
    </row>
    <row r="89">
      <c r="A89" s="23" t="n">
        <v>46098</v>
      </c>
      <c r="B89" s="17" t="n">
        <v>685539.77</v>
      </c>
      <c r="C89" s="17" t="n">
        <v>6589.15</v>
      </c>
      <c r="D89" s="17" t="n">
        <v>0</v>
      </c>
      <c r="E89" s="17">
        <f>B89-C89-D89</f>
        <v/>
      </c>
      <c r="F89" s="16">
        <f>CHOOSE(WEEKDAY(A89,2),"Lunes","Martes","Miércoles","Jueves","Viernes","Sábado","Domingo")</f>
        <v/>
      </c>
      <c r="G89" s="23" t="n">
        <v>46100</v>
      </c>
      <c r="H89" s="16">
        <f>IF(G89&lt;=$B$7,"Cobrado","Retenido")</f>
        <v/>
      </c>
      <c r="I89" s="17">
        <f>IF(H89="Retenido",E89,0)</f>
        <v/>
      </c>
      <c r="J89" s="16" t="inlineStr">
        <is>
          <t>2026-W12</t>
        </is>
      </c>
    </row>
    <row r="90">
      <c r="A90" s="23" t="n">
        <v>46099</v>
      </c>
      <c r="B90" s="17" t="n">
        <v>772468.4</v>
      </c>
      <c r="C90" s="17" t="n">
        <v>4989.78</v>
      </c>
      <c r="D90" s="17" t="n">
        <v>0</v>
      </c>
      <c r="E90" s="17">
        <f>B90-C90-D90</f>
        <v/>
      </c>
      <c r="F90" s="16">
        <f>CHOOSE(WEEKDAY(A90,2),"Lunes","Martes","Miércoles","Jueves","Viernes","Sábado","Domingo")</f>
        <v/>
      </c>
      <c r="G90" s="23" t="n">
        <v>46101</v>
      </c>
      <c r="H90" s="16">
        <f>IF(G90&lt;=$B$7,"Cobrado","Retenido")</f>
        <v/>
      </c>
      <c r="I90" s="17">
        <f>IF(H90="Retenido",E90,0)</f>
        <v/>
      </c>
      <c r="J90" s="16" t="inlineStr">
        <is>
          <t>2026-W12</t>
        </is>
      </c>
    </row>
    <row r="91">
      <c r="A91" s="23" t="n">
        <v>46100</v>
      </c>
      <c r="B91" s="17" t="n">
        <v>590835.72</v>
      </c>
      <c r="C91" s="17" t="n">
        <v>3408.53</v>
      </c>
      <c r="D91" s="17" t="n">
        <v>0</v>
      </c>
      <c r="E91" s="17">
        <f>B91-C91-D91</f>
        <v/>
      </c>
      <c r="F91" s="16">
        <f>CHOOSE(WEEKDAY(A91,2),"Lunes","Martes","Miércoles","Jueves","Viernes","Sábado","Domingo")</f>
        <v/>
      </c>
      <c r="G91" s="23" t="n">
        <v>46104</v>
      </c>
      <c r="H91" s="16">
        <f>IF(G91&lt;=$B$7,"Cobrado","Retenido")</f>
        <v/>
      </c>
      <c r="I91" s="17">
        <f>IF(H91="Retenido",E91,0)</f>
        <v/>
      </c>
      <c r="J91" s="16" t="inlineStr">
        <is>
          <t>2026-W12</t>
        </is>
      </c>
    </row>
    <row r="92">
      <c r="A92" s="23" t="n">
        <v>46101</v>
      </c>
      <c r="B92" s="17" t="n">
        <v>590152</v>
      </c>
      <c r="C92" s="17" t="n">
        <v>20196.42</v>
      </c>
      <c r="D92" s="17" t="n">
        <v>0</v>
      </c>
      <c r="E92" s="17">
        <f>B92-C92-D92</f>
        <v/>
      </c>
      <c r="F92" s="16">
        <f>CHOOSE(WEEKDAY(A92,2),"Lunes","Martes","Miércoles","Jueves","Viernes","Sábado","Domingo")</f>
        <v/>
      </c>
      <c r="G92" s="23" t="n">
        <v>46105</v>
      </c>
      <c r="H92" s="16">
        <f>IF(G92&lt;=$B$7,"Cobrado","Retenido")</f>
        <v/>
      </c>
      <c r="I92" s="17">
        <f>IF(H92="Retenido",E92,0)</f>
        <v/>
      </c>
      <c r="J92" s="16" t="inlineStr">
        <is>
          <t>2026-W12</t>
        </is>
      </c>
    </row>
    <row r="93">
      <c r="A93" s="23" t="n">
        <v>46102</v>
      </c>
      <c r="B93" s="17" t="n">
        <v>378893.96</v>
      </c>
      <c r="C93" s="17" t="n">
        <v>0</v>
      </c>
      <c r="D93" s="17" t="n">
        <v>0</v>
      </c>
      <c r="E93" s="17">
        <f>B93-C93-D93</f>
        <v/>
      </c>
      <c r="F93" s="16">
        <f>CHOOSE(WEEKDAY(A93,2),"Lunes","Martes","Miércoles","Jueves","Viernes","Sábado","Domingo")</f>
        <v/>
      </c>
      <c r="G93" s="23" t="n">
        <v>46105</v>
      </c>
      <c r="H93" s="16">
        <f>IF(G93&lt;=$B$7,"Cobrado","Retenido")</f>
        <v/>
      </c>
      <c r="I93" s="17">
        <f>IF(H93="Retenido",E93,0)</f>
        <v/>
      </c>
      <c r="J93" s="16" t="inlineStr">
        <is>
          <t>2026-W12</t>
        </is>
      </c>
    </row>
    <row r="94">
      <c r="A94" s="23" t="n">
        <v>46103</v>
      </c>
      <c r="B94" s="17" t="n">
        <v>440096.72</v>
      </c>
      <c r="C94" s="17" t="n">
        <v>0</v>
      </c>
      <c r="D94" s="17" t="n">
        <v>0</v>
      </c>
      <c r="E94" s="17">
        <f>B94-C94-D94</f>
        <v/>
      </c>
      <c r="F94" s="16">
        <f>CHOOSE(WEEKDAY(A94,2),"Lunes","Martes","Miércoles","Jueves","Viernes","Sábado","Domingo")</f>
        <v/>
      </c>
      <c r="G94" s="23" t="n">
        <v>46105</v>
      </c>
      <c r="H94" s="16">
        <f>IF(G94&lt;=$B$7,"Cobrado","Retenido")</f>
        <v/>
      </c>
      <c r="I94" s="17">
        <f>IF(H94="Retenido",E94,0)</f>
        <v/>
      </c>
      <c r="J94" s="16" t="inlineStr">
        <is>
          <t>2026-W12</t>
        </is>
      </c>
    </row>
    <row r="95">
      <c r="A95" s="23" t="n">
        <v>46104</v>
      </c>
      <c r="B95" s="17" t="n">
        <v>678215.1</v>
      </c>
      <c r="C95" s="17" t="n">
        <v>22456.39</v>
      </c>
      <c r="D95" s="17" t="n">
        <v>0</v>
      </c>
      <c r="E95" s="17">
        <f>B95-C95-D95</f>
        <v/>
      </c>
      <c r="F95" s="16">
        <f>CHOOSE(WEEKDAY(A95,2),"Lunes","Martes","Miércoles","Jueves","Viernes","Sábado","Domingo")</f>
        <v/>
      </c>
      <c r="G95" s="23" t="n">
        <v>46106</v>
      </c>
      <c r="H95" s="16">
        <f>IF(G95&lt;=$B$7,"Cobrado","Retenido")</f>
        <v/>
      </c>
      <c r="I95" s="17">
        <f>IF(H95="Retenido",E95,0)</f>
        <v/>
      </c>
      <c r="J95" s="16" t="inlineStr">
        <is>
          <t>2026-W13</t>
        </is>
      </c>
    </row>
    <row r="96">
      <c r="A96" s="23" t="n">
        <v>46105</v>
      </c>
      <c r="B96" s="17" t="n">
        <v>622533.28</v>
      </c>
      <c r="C96" s="17" t="n">
        <v>0</v>
      </c>
      <c r="D96" s="17" t="n">
        <v>0</v>
      </c>
      <c r="E96" s="17">
        <f>B96-C96-D96</f>
        <v/>
      </c>
      <c r="F96" s="16">
        <f>CHOOSE(WEEKDAY(A96,2),"Lunes","Martes","Miércoles","Jueves","Viernes","Sábado","Domingo")</f>
        <v/>
      </c>
      <c r="G96" s="23" t="n">
        <v>46107</v>
      </c>
      <c r="H96" s="16">
        <f>IF(G96&lt;=$B$7,"Cobrado","Retenido")</f>
        <v/>
      </c>
      <c r="I96" s="17">
        <f>IF(H96="Retenido",E96,0)</f>
        <v/>
      </c>
      <c r="J96" s="16" t="inlineStr">
        <is>
          <t>2026-W13</t>
        </is>
      </c>
    </row>
    <row r="97">
      <c r="A97" s="23" t="n">
        <v>46106</v>
      </c>
      <c r="B97" s="17" t="n">
        <v>669364</v>
      </c>
      <c r="C97" s="17" t="n">
        <v>9983.16</v>
      </c>
      <c r="D97" s="17" t="n">
        <v>0</v>
      </c>
      <c r="E97" s="17">
        <f>B97-C97-D97</f>
        <v/>
      </c>
      <c r="F97" s="16">
        <f>CHOOSE(WEEKDAY(A97,2),"Lunes","Martes","Miércoles","Jueves","Viernes","Sábado","Domingo")</f>
        <v/>
      </c>
      <c r="G97" s="23" t="n">
        <v>46108</v>
      </c>
      <c r="H97" s="16">
        <f>IF(G97&lt;=$B$7,"Cobrado","Retenido")</f>
        <v/>
      </c>
      <c r="I97" s="17">
        <f>IF(H97="Retenido",E97,0)</f>
        <v/>
      </c>
      <c r="J97" s="16" t="inlineStr">
        <is>
          <t>2026-W13</t>
        </is>
      </c>
    </row>
    <row r="98">
      <c r="A98" s="23" t="n">
        <v>46107</v>
      </c>
      <c r="B98" s="17" t="n">
        <v>548558.3100000001</v>
      </c>
      <c r="C98" s="17" t="n">
        <v>10381.44</v>
      </c>
      <c r="D98" s="17" t="n">
        <v>0</v>
      </c>
      <c r="E98" s="17">
        <f>B98-C98-D98</f>
        <v/>
      </c>
      <c r="F98" s="16">
        <f>CHOOSE(WEEKDAY(A98,2),"Lunes","Martes","Miércoles","Jueves","Viernes","Sábado","Domingo")</f>
        <v/>
      </c>
      <c r="G98" s="23" t="n">
        <v>46111</v>
      </c>
      <c r="H98" s="16">
        <f>IF(G98&lt;=$B$7,"Cobrado","Retenido")</f>
        <v/>
      </c>
      <c r="I98" s="17">
        <f>IF(H98="Retenido",E98,0)</f>
        <v/>
      </c>
      <c r="J98" s="16" t="inlineStr">
        <is>
          <t>2026-W13</t>
        </is>
      </c>
    </row>
    <row r="99">
      <c r="A99" s="23" t="n">
        <v>46108</v>
      </c>
      <c r="B99" s="17" t="n">
        <v>489242.76</v>
      </c>
      <c r="C99" s="17" t="n">
        <v>9613.940000000001</v>
      </c>
      <c r="D99" s="17" t="n">
        <v>0</v>
      </c>
      <c r="E99" s="17">
        <f>B99-C99-D99</f>
        <v/>
      </c>
      <c r="F99" s="16">
        <f>CHOOSE(WEEKDAY(A99,2),"Lunes","Martes","Miércoles","Jueves","Viernes","Sábado","Domingo")</f>
        <v/>
      </c>
      <c r="G99" s="23" t="n">
        <v>46112</v>
      </c>
      <c r="H99" s="16">
        <f>IF(G99&lt;=$B$7,"Cobrado","Retenido")</f>
        <v/>
      </c>
      <c r="I99" s="17">
        <f>IF(H99="Retenido",E99,0)</f>
        <v/>
      </c>
      <c r="J99" s="16" t="inlineStr">
        <is>
          <t>2026-W13</t>
        </is>
      </c>
    </row>
    <row r="100">
      <c r="A100" s="23" t="n">
        <v>46109</v>
      </c>
      <c r="B100" s="17" t="n">
        <v>365978.31</v>
      </c>
      <c r="C100" s="17" t="n">
        <v>0</v>
      </c>
      <c r="D100" s="17" t="n">
        <v>0</v>
      </c>
      <c r="E100" s="17">
        <f>B100-C100-D100</f>
        <v/>
      </c>
      <c r="F100" s="16">
        <f>CHOOSE(WEEKDAY(A100,2),"Lunes","Martes","Miércoles","Jueves","Viernes","Sábado","Domingo")</f>
        <v/>
      </c>
      <c r="G100" s="23" t="n">
        <v>46112</v>
      </c>
      <c r="H100" s="16">
        <f>IF(G100&lt;=$B$7,"Cobrado","Retenido")</f>
        <v/>
      </c>
      <c r="I100" s="17">
        <f>IF(H100="Retenido",E100,0)</f>
        <v/>
      </c>
      <c r="J100" s="16" t="inlineStr">
        <is>
          <t>2026-W13</t>
        </is>
      </c>
    </row>
    <row r="101">
      <c r="A101" s="23" t="n">
        <v>46110</v>
      </c>
      <c r="B101" s="17" t="n">
        <v>340249.53</v>
      </c>
      <c r="C101" s="17" t="n">
        <v>0</v>
      </c>
      <c r="D101" s="17" t="n">
        <v>0</v>
      </c>
      <c r="E101" s="17">
        <f>B101-C101-D101</f>
        <v/>
      </c>
      <c r="F101" s="16">
        <f>CHOOSE(WEEKDAY(A101,2),"Lunes","Martes","Miércoles","Jueves","Viernes","Sábado","Domingo")</f>
        <v/>
      </c>
      <c r="G101" s="23" t="n">
        <v>46112</v>
      </c>
      <c r="H101" s="16">
        <f>IF(G101&lt;=$B$7,"Cobrado","Retenido")</f>
        <v/>
      </c>
      <c r="I101" s="17">
        <f>IF(H101="Retenido",E101,0)</f>
        <v/>
      </c>
      <c r="J101" s="16" t="inlineStr">
        <is>
          <t>2026-W13</t>
        </is>
      </c>
    </row>
    <row r="102">
      <c r="A102" s="23" t="n">
        <v>46111</v>
      </c>
      <c r="B102" s="17" t="n">
        <v>607701.89</v>
      </c>
      <c r="C102" s="17" t="n">
        <v>11030.86</v>
      </c>
      <c r="D102" s="17" t="n">
        <v>0</v>
      </c>
      <c r="E102" s="17">
        <f>B102-C102-D102</f>
        <v/>
      </c>
      <c r="F102" s="16">
        <f>CHOOSE(WEEKDAY(A102,2),"Lunes","Martes","Miércoles","Jueves","Viernes","Sábado","Domingo")</f>
        <v/>
      </c>
      <c r="G102" s="23" t="n">
        <v>46113</v>
      </c>
      <c r="H102" s="16">
        <f>IF(G102&lt;=$B$7,"Cobrado","Retenido")</f>
        <v/>
      </c>
      <c r="I102" s="17">
        <f>IF(H102="Retenido",E102,0)</f>
        <v/>
      </c>
      <c r="J102" s="16" t="inlineStr">
        <is>
          <t>2026-W14</t>
        </is>
      </c>
    </row>
    <row r="103">
      <c r="A103" s="23" t="n">
        <v>46112</v>
      </c>
      <c r="B103" s="17" t="n">
        <v>628129.0699999999</v>
      </c>
      <c r="C103" s="17" t="n">
        <v>8568.27</v>
      </c>
      <c r="D103" s="17" t="n">
        <v>0</v>
      </c>
      <c r="E103" s="17">
        <f>B103-C103-D103</f>
        <v/>
      </c>
      <c r="F103" s="16">
        <f>CHOOSE(WEEKDAY(A103,2),"Lunes","Martes","Miércoles","Jueves","Viernes","Sábado","Domingo")</f>
        <v/>
      </c>
      <c r="G103" s="23" t="n">
        <v>46114</v>
      </c>
      <c r="H103" s="16">
        <f>IF(G103&lt;=$B$7,"Cobrado","Retenido")</f>
        <v/>
      </c>
      <c r="I103" s="17">
        <f>IF(H103="Retenido",E103,0)</f>
        <v/>
      </c>
      <c r="J103" s="16" t="inlineStr">
        <is>
          <t>2026-W14</t>
        </is>
      </c>
    </row>
    <row r="104">
      <c r="A104" s="23" t="n">
        <v>46113</v>
      </c>
      <c r="B104" s="17" t="n">
        <v>840747.41</v>
      </c>
      <c r="C104" s="17" t="n">
        <v>13581.13</v>
      </c>
      <c r="D104" s="17" t="n">
        <v>0</v>
      </c>
      <c r="E104" s="17">
        <f>B104-C104-D104</f>
        <v/>
      </c>
      <c r="F104" s="16">
        <f>CHOOSE(WEEKDAY(A104,2),"Lunes","Martes","Miércoles","Jueves","Viernes","Sábado","Domingo")</f>
        <v/>
      </c>
      <c r="G104" s="23" t="n">
        <v>46115</v>
      </c>
      <c r="H104" s="16">
        <f>IF(G104&lt;=$B$7,"Cobrado","Retenido")</f>
        <v/>
      </c>
      <c r="I104" s="17">
        <f>IF(H104="Retenido",E104,0)</f>
        <v/>
      </c>
      <c r="J104" s="16" t="inlineStr">
        <is>
          <t>2026-W14</t>
        </is>
      </c>
    </row>
    <row r="105">
      <c r="A105" s="23" t="n">
        <v>46114</v>
      </c>
      <c r="B105" s="17" t="n">
        <v>692969.84</v>
      </c>
      <c r="C105" s="17" t="n">
        <v>299153.28</v>
      </c>
      <c r="D105" s="17" t="n">
        <v>0</v>
      </c>
      <c r="E105" s="17">
        <f>B105-C105-D105</f>
        <v/>
      </c>
      <c r="F105" s="16">
        <f>CHOOSE(WEEKDAY(A105,2),"Lunes","Martes","Miércoles","Jueves","Viernes","Sábado","Domingo")</f>
        <v/>
      </c>
      <c r="G105" s="23" t="n">
        <v>46118</v>
      </c>
      <c r="H105" s="16">
        <f>IF(G105&lt;=$B$7,"Cobrado","Retenido")</f>
        <v/>
      </c>
      <c r="I105" s="17">
        <f>IF(H105="Retenido",E105,0)</f>
        <v/>
      </c>
      <c r="J105" s="16" t="inlineStr">
        <is>
          <t>2026-W14</t>
        </is>
      </c>
    </row>
    <row r="106">
      <c r="A106" s="23" t="n">
        <v>46115</v>
      </c>
      <c r="B106" s="17" t="n">
        <v>560307.6</v>
      </c>
      <c r="C106" s="17" t="n">
        <v>0</v>
      </c>
      <c r="D106" s="17" t="n">
        <v>0</v>
      </c>
      <c r="E106" s="17">
        <f>B106-C106-D106</f>
        <v/>
      </c>
      <c r="F106" s="16">
        <f>CHOOSE(WEEKDAY(A106,2),"Lunes","Martes","Miércoles","Jueves","Viernes","Sábado","Domingo")</f>
        <v/>
      </c>
      <c r="G106" s="23" t="n">
        <v>46119</v>
      </c>
      <c r="H106" s="16">
        <f>IF(G106&lt;=$B$7,"Cobrado","Retenido")</f>
        <v/>
      </c>
      <c r="I106" s="17">
        <f>IF(H106="Retenido",E106,0)</f>
        <v/>
      </c>
      <c r="J106" s="16" t="inlineStr">
        <is>
          <t>2026-W14</t>
        </is>
      </c>
    </row>
    <row r="107">
      <c r="A107" s="23" t="n">
        <v>46116</v>
      </c>
      <c r="B107" s="17" t="n">
        <v>346894.16</v>
      </c>
      <c r="C107" s="17" t="n">
        <v>0</v>
      </c>
      <c r="D107" s="17" t="n">
        <v>0</v>
      </c>
      <c r="E107" s="17">
        <f>B107-C107-D107</f>
        <v/>
      </c>
      <c r="F107" s="16">
        <f>CHOOSE(WEEKDAY(A107,2),"Lunes","Martes","Miércoles","Jueves","Viernes","Sábado","Domingo")</f>
        <v/>
      </c>
      <c r="G107" s="23" t="n">
        <v>46119</v>
      </c>
      <c r="H107" s="16">
        <f>IF(G107&lt;=$B$7,"Cobrado","Retenido")</f>
        <v/>
      </c>
      <c r="I107" s="17">
        <f>IF(H107="Retenido",E107,0)</f>
        <v/>
      </c>
      <c r="J107" s="16" t="inlineStr">
        <is>
          <t>2026-W14</t>
        </is>
      </c>
    </row>
    <row r="108">
      <c r="A108" s="23" t="n">
        <v>46117</v>
      </c>
      <c r="B108" s="17" t="n">
        <v>320474.85</v>
      </c>
      <c r="C108" s="17" t="n">
        <v>0</v>
      </c>
      <c r="D108" s="17" t="n">
        <v>0</v>
      </c>
      <c r="E108" s="17">
        <f>B108-C108-D108</f>
        <v/>
      </c>
      <c r="F108" s="16">
        <f>CHOOSE(WEEKDAY(A108,2),"Lunes","Martes","Miércoles","Jueves","Viernes","Sábado","Domingo")</f>
        <v/>
      </c>
      <c r="G108" s="23" t="n">
        <v>46119</v>
      </c>
      <c r="H108" s="16">
        <f>IF(G108&lt;=$B$7,"Cobrado","Retenido")</f>
        <v/>
      </c>
      <c r="I108" s="17">
        <f>IF(H108="Retenido",E108,0)</f>
        <v/>
      </c>
      <c r="J108" s="16" t="inlineStr">
        <is>
          <t>2026-W14</t>
        </is>
      </c>
    </row>
    <row r="109">
      <c r="A109" s="23" t="n">
        <v>46118</v>
      </c>
      <c r="B109" s="17" t="n">
        <v>409702.5</v>
      </c>
      <c r="C109" s="17" t="n">
        <v>0</v>
      </c>
      <c r="D109" s="17" t="n">
        <v>0</v>
      </c>
      <c r="E109" s="17">
        <f>B109-C109-D109</f>
        <v/>
      </c>
      <c r="F109" s="16">
        <f>CHOOSE(WEEKDAY(A109,2),"Lunes","Martes","Miércoles","Jueves","Viernes","Sábado","Domingo")</f>
        <v/>
      </c>
      <c r="G109" s="23" t="n">
        <v>46120</v>
      </c>
      <c r="H109" s="16">
        <f>IF(G109&lt;=$B$7,"Cobrado","Retenido")</f>
        <v/>
      </c>
      <c r="I109" s="17">
        <f>IF(H109="Retenido",E109,0)</f>
        <v/>
      </c>
      <c r="J109" s="16" t="inlineStr">
        <is>
          <t>2026-W15</t>
        </is>
      </c>
    </row>
    <row r="110">
      <c r="A110" s="23" t="n">
        <v>46119</v>
      </c>
      <c r="B110" s="17" t="n">
        <v>655588.46</v>
      </c>
      <c r="C110" s="17" t="n">
        <v>271581.05</v>
      </c>
      <c r="D110" s="17" t="n">
        <v>0</v>
      </c>
      <c r="E110" s="17">
        <f>B110-C110-D110</f>
        <v/>
      </c>
      <c r="F110" s="16">
        <f>CHOOSE(WEEKDAY(A110,2),"Lunes","Martes","Miércoles","Jueves","Viernes","Sábado","Domingo")</f>
        <v/>
      </c>
      <c r="G110" s="23" t="n">
        <v>46121</v>
      </c>
      <c r="H110" s="16">
        <f>IF(G110&lt;=$B$7,"Cobrado","Retenido")</f>
        <v/>
      </c>
      <c r="I110" s="17">
        <f>IF(H110="Retenido",E110,0)</f>
        <v/>
      </c>
      <c r="J110" s="16" t="inlineStr">
        <is>
          <t>2026-W15</t>
        </is>
      </c>
    </row>
    <row r="111">
      <c r="A111" s="23" t="n">
        <v>46120</v>
      </c>
      <c r="B111" s="17" t="n">
        <v>747289.76</v>
      </c>
      <c r="C111" s="17" t="n">
        <v>13465.9</v>
      </c>
      <c r="D111" s="17" t="n">
        <v>0</v>
      </c>
      <c r="E111" s="17">
        <f>B111-C111-D111</f>
        <v/>
      </c>
      <c r="F111" s="16">
        <f>CHOOSE(WEEKDAY(A111,2),"Lunes","Martes","Miércoles","Jueves","Viernes","Sábado","Domingo")</f>
        <v/>
      </c>
      <c r="G111" s="23" t="n">
        <v>46122</v>
      </c>
      <c r="H111" s="16">
        <f>IF(G111&lt;=$B$7,"Cobrado","Retenido")</f>
        <v/>
      </c>
      <c r="I111" s="17">
        <f>IF(H111="Retenido",E111,0)</f>
        <v/>
      </c>
      <c r="J111" s="16" t="inlineStr">
        <is>
          <t>2026-W15</t>
        </is>
      </c>
    </row>
    <row r="112">
      <c r="A112" s="23" t="n">
        <v>46121</v>
      </c>
      <c r="B112" s="17" t="n">
        <v>716009.62</v>
      </c>
      <c r="C112" s="17" t="n">
        <v>15979.95</v>
      </c>
      <c r="D112" s="17" t="n">
        <v>0</v>
      </c>
      <c r="E112" s="17">
        <f>B112-C112-D112</f>
        <v/>
      </c>
      <c r="F112" s="16">
        <f>CHOOSE(WEEKDAY(A112,2),"Lunes","Martes","Miércoles","Jueves","Viernes","Sábado","Domingo")</f>
        <v/>
      </c>
      <c r="G112" s="23" t="n">
        <v>46125</v>
      </c>
      <c r="H112" s="16">
        <f>IF(G112&lt;=$B$7,"Cobrado","Retenido")</f>
        <v/>
      </c>
      <c r="I112" s="17">
        <f>IF(H112="Retenido",E112,0)</f>
        <v/>
      </c>
      <c r="J112" s="16" t="inlineStr">
        <is>
          <t>2026-W15</t>
        </is>
      </c>
    </row>
    <row r="113">
      <c r="A113" s="23" t="n">
        <v>46122</v>
      </c>
      <c r="B113" s="17" t="n">
        <v>635341.55</v>
      </c>
      <c r="C113" s="17" t="n">
        <v>11454.41</v>
      </c>
      <c r="D113" s="17" t="n">
        <v>0</v>
      </c>
      <c r="E113" s="17">
        <f>B113-C113-D113</f>
        <v/>
      </c>
      <c r="F113" s="16">
        <f>CHOOSE(WEEKDAY(A113,2),"Lunes","Martes","Miércoles","Jueves","Viernes","Sábado","Domingo")</f>
        <v/>
      </c>
      <c r="G113" s="23" t="n">
        <v>46126</v>
      </c>
      <c r="H113" s="16">
        <f>IF(G113&lt;=$B$7,"Cobrado","Retenido")</f>
        <v/>
      </c>
      <c r="I113" s="17">
        <f>IF(H113="Retenido",E113,0)</f>
        <v/>
      </c>
      <c r="J113" s="16" t="inlineStr">
        <is>
          <t>2026-W15</t>
        </is>
      </c>
    </row>
    <row r="114">
      <c r="A114" s="23" t="n">
        <v>46123</v>
      </c>
      <c r="B114" s="17" t="n">
        <v>439553.79</v>
      </c>
      <c r="C114" s="17" t="n">
        <v>0</v>
      </c>
      <c r="D114" s="17" t="n">
        <v>0</v>
      </c>
      <c r="E114" s="17">
        <f>B114-C114-D114</f>
        <v/>
      </c>
      <c r="F114" s="16">
        <f>CHOOSE(WEEKDAY(A114,2),"Lunes","Martes","Miércoles","Jueves","Viernes","Sábado","Domingo")</f>
        <v/>
      </c>
      <c r="G114" s="23" t="n">
        <v>46126</v>
      </c>
      <c r="H114" s="16">
        <f>IF(G114&lt;=$B$7,"Cobrado","Retenido")</f>
        <v/>
      </c>
      <c r="I114" s="17">
        <f>IF(H114="Retenido",E114,0)</f>
        <v/>
      </c>
      <c r="J114" s="16" t="inlineStr">
        <is>
          <t>2026-W15</t>
        </is>
      </c>
    </row>
    <row r="115">
      <c r="A115" s="23" t="n">
        <v>46124</v>
      </c>
      <c r="B115" s="17" t="n">
        <v>460973.89</v>
      </c>
      <c r="C115" s="17" t="n">
        <v>0</v>
      </c>
      <c r="D115" s="17" t="n">
        <v>0</v>
      </c>
      <c r="E115" s="17">
        <f>B115-C115-D115</f>
        <v/>
      </c>
      <c r="F115" s="16">
        <f>CHOOSE(WEEKDAY(A115,2),"Lunes","Martes","Miércoles","Jueves","Viernes","Sábado","Domingo")</f>
        <v/>
      </c>
      <c r="G115" s="23" t="n">
        <v>46126</v>
      </c>
      <c r="H115" s="16">
        <f>IF(G115&lt;=$B$7,"Cobrado","Retenido")</f>
        <v/>
      </c>
      <c r="I115" s="17">
        <f>IF(H115="Retenido",E115,0)</f>
        <v/>
      </c>
      <c r="J115" s="16" t="inlineStr">
        <is>
          <t>2026-W15</t>
        </is>
      </c>
    </row>
    <row r="116">
      <c r="A116" s="23" t="n">
        <v>46125</v>
      </c>
      <c r="B116" s="17" t="n">
        <v>714364.74</v>
      </c>
      <c r="C116" s="17" t="n">
        <v>13626.07</v>
      </c>
      <c r="D116" s="17" t="n">
        <v>0</v>
      </c>
      <c r="E116" s="17">
        <f>B116-C116-D116</f>
        <v/>
      </c>
      <c r="F116" s="16">
        <f>CHOOSE(WEEKDAY(A116,2),"Lunes","Martes","Miércoles","Jueves","Viernes","Sábado","Domingo")</f>
        <v/>
      </c>
      <c r="G116" s="23" t="n">
        <v>46127</v>
      </c>
      <c r="H116" s="16">
        <f>IF(G116&lt;=$B$7,"Cobrado","Retenido")</f>
        <v/>
      </c>
      <c r="I116" s="17">
        <f>IF(H116="Retenido",E116,0)</f>
        <v/>
      </c>
      <c r="J116" s="16" t="inlineStr">
        <is>
          <t>2026-W16</t>
        </is>
      </c>
    </row>
    <row r="117">
      <c r="A117" s="23" t="n">
        <v>46126</v>
      </c>
      <c r="B117" s="17" t="n">
        <v>711991.41</v>
      </c>
      <c r="C117" s="17" t="n">
        <v>14883.54</v>
      </c>
      <c r="D117" s="17" t="n">
        <v>0</v>
      </c>
      <c r="E117" s="17">
        <f>B117-C117-D117</f>
        <v/>
      </c>
      <c r="F117" s="16">
        <f>CHOOSE(WEEKDAY(A117,2),"Lunes","Martes","Miércoles","Jueves","Viernes","Sábado","Domingo")</f>
        <v/>
      </c>
      <c r="G117" s="23" t="n">
        <v>46128</v>
      </c>
      <c r="H117" s="16">
        <f>IF(G117&lt;=$B$7,"Cobrado","Retenido")</f>
        <v/>
      </c>
      <c r="I117" s="17">
        <f>IF(H117="Retenido",E117,0)</f>
        <v/>
      </c>
      <c r="J117" s="16" t="inlineStr">
        <is>
          <t>2026-W16</t>
        </is>
      </c>
    </row>
    <row r="118">
      <c r="A118" s="23" t="n">
        <v>46127</v>
      </c>
      <c r="B118" s="17" t="n">
        <v>683197.34</v>
      </c>
      <c r="C118" s="17" t="n">
        <v>24705.83</v>
      </c>
      <c r="D118" s="17" t="n">
        <v>0</v>
      </c>
      <c r="E118" s="17">
        <f>B118-C118-D118</f>
        <v/>
      </c>
      <c r="F118" s="16">
        <f>CHOOSE(WEEKDAY(A118,2),"Lunes","Martes","Miércoles","Jueves","Viernes","Sábado","Domingo")</f>
        <v/>
      </c>
      <c r="G118" s="23" t="n">
        <v>46129</v>
      </c>
      <c r="H118" s="16">
        <f>IF(G118&lt;=$B$7,"Cobrado","Retenido")</f>
        <v/>
      </c>
      <c r="I118" s="17">
        <f>IF(H118="Retenido",E118,0)</f>
        <v/>
      </c>
      <c r="J118" s="16" t="inlineStr">
        <is>
          <t>2026-W16</t>
        </is>
      </c>
    </row>
    <row r="119">
      <c r="A119" s="23" t="n">
        <v>46128</v>
      </c>
      <c r="B119" s="17" t="n">
        <v>507842.07</v>
      </c>
      <c r="C119" s="17" t="n">
        <v>3655.41</v>
      </c>
      <c r="D119" s="17" t="n">
        <v>0</v>
      </c>
      <c r="E119" s="17">
        <f>B119-C119-D119</f>
        <v/>
      </c>
      <c r="F119" s="16">
        <f>CHOOSE(WEEKDAY(A119,2),"Lunes","Martes","Miércoles","Jueves","Viernes","Sábado","Domingo")</f>
        <v/>
      </c>
      <c r="G119" s="23" t="n">
        <v>46132</v>
      </c>
      <c r="H119" s="16">
        <f>IF(G119&lt;=$B$7,"Cobrado","Retenido")</f>
        <v/>
      </c>
      <c r="I119" s="17">
        <f>IF(H119="Retenido",E119,0)</f>
        <v/>
      </c>
      <c r="J119" s="16" t="inlineStr">
        <is>
          <t>2026-W16</t>
        </is>
      </c>
    </row>
    <row r="120">
      <c r="A120" s="23" t="n">
        <v>46129</v>
      </c>
      <c r="B120" s="17" t="n">
        <v>774248.38</v>
      </c>
      <c r="C120" s="17" t="n">
        <v>14831.28</v>
      </c>
      <c r="D120" s="17" t="n">
        <v>0</v>
      </c>
      <c r="E120" s="17">
        <f>B120-C120-D120</f>
        <v/>
      </c>
      <c r="F120" s="16">
        <f>CHOOSE(WEEKDAY(A120,2),"Lunes","Martes","Miércoles","Jueves","Viernes","Sábado","Domingo")</f>
        <v/>
      </c>
      <c r="G120" s="23" t="n">
        <v>46133</v>
      </c>
      <c r="H120" s="16">
        <f>IF(G120&lt;=$B$7,"Cobrado","Retenido")</f>
        <v/>
      </c>
      <c r="I120" s="17">
        <f>IF(H120="Retenido",E120,0)</f>
        <v/>
      </c>
      <c r="J120" s="16" t="inlineStr">
        <is>
          <t>2026-W16</t>
        </is>
      </c>
    </row>
    <row r="121">
      <c r="A121" s="23" t="n">
        <v>46130</v>
      </c>
      <c r="B121" s="17" t="n">
        <v>455578.26</v>
      </c>
      <c r="C121" s="17" t="n">
        <v>0</v>
      </c>
      <c r="D121" s="17" t="n">
        <v>0</v>
      </c>
      <c r="E121" s="17">
        <f>B121-C121-D121</f>
        <v/>
      </c>
      <c r="F121" s="16">
        <f>CHOOSE(WEEKDAY(A121,2),"Lunes","Martes","Miércoles","Jueves","Viernes","Sábado","Domingo")</f>
        <v/>
      </c>
      <c r="G121" s="23" t="n">
        <v>46133</v>
      </c>
      <c r="H121" s="16">
        <f>IF(G121&lt;=$B$7,"Cobrado","Retenido")</f>
        <v/>
      </c>
      <c r="I121" s="17">
        <f>IF(H121="Retenido",E121,0)</f>
        <v/>
      </c>
      <c r="J121" s="16" t="inlineStr">
        <is>
          <t>2026-W16</t>
        </is>
      </c>
    </row>
    <row r="122">
      <c r="A122" s="23" t="n">
        <v>46131</v>
      </c>
      <c r="B122" s="17" t="n">
        <v>439843.53</v>
      </c>
      <c r="C122" s="17" t="n">
        <v>0</v>
      </c>
      <c r="D122" s="17" t="n">
        <v>0</v>
      </c>
      <c r="E122" s="17">
        <f>B122-C122-D122</f>
        <v/>
      </c>
      <c r="F122" s="16">
        <f>CHOOSE(WEEKDAY(A122,2),"Lunes","Martes","Miércoles","Jueves","Viernes","Sábado","Domingo")</f>
        <v/>
      </c>
      <c r="G122" s="23" t="n">
        <v>46133</v>
      </c>
      <c r="H122" s="16">
        <f>IF(G122&lt;=$B$7,"Cobrado","Retenido")</f>
        <v/>
      </c>
      <c r="I122" s="17">
        <f>IF(H122="Retenido",E122,0)</f>
        <v/>
      </c>
      <c r="J122" s="16" t="inlineStr">
        <is>
          <t>2026-W16</t>
        </is>
      </c>
    </row>
    <row r="123">
      <c r="A123" s="23" t="n">
        <v>46132</v>
      </c>
      <c r="B123" s="17" t="n">
        <v>808697.21</v>
      </c>
      <c r="C123" s="17" t="n">
        <v>7975.86</v>
      </c>
      <c r="D123" s="17" t="n">
        <v>0</v>
      </c>
      <c r="E123" s="17">
        <f>B123-C123-D123</f>
        <v/>
      </c>
      <c r="F123" s="16">
        <f>CHOOSE(WEEKDAY(A123,2),"Lunes","Martes","Miércoles","Jueves","Viernes","Sábado","Domingo")</f>
        <v/>
      </c>
      <c r="G123" s="23" t="n">
        <v>46134</v>
      </c>
      <c r="H123" s="16">
        <f>IF(G123&lt;=$B$7,"Cobrado","Retenido")</f>
        <v/>
      </c>
      <c r="I123" s="17">
        <f>IF(H123="Retenido",E123,0)</f>
        <v/>
      </c>
      <c r="J123" s="16" t="inlineStr">
        <is>
          <t>2026-W17</t>
        </is>
      </c>
    </row>
    <row r="124">
      <c r="A124" s="23" t="n">
        <v>46133</v>
      </c>
      <c r="B124" s="17" t="n">
        <v>757631.4</v>
      </c>
      <c r="C124" s="17" t="n">
        <v>37082.39</v>
      </c>
      <c r="D124" s="17" t="n">
        <v>0</v>
      </c>
      <c r="E124" s="17">
        <f>B124-C124-D124</f>
        <v/>
      </c>
      <c r="F124" s="16">
        <f>CHOOSE(WEEKDAY(A124,2),"Lunes","Martes","Miércoles","Jueves","Viernes","Sábado","Domingo")</f>
        <v/>
      </c>
      <c r="G124" s="23" t="n">
        <v>46135</v>
      </c>
      <c r="H124" s="16">
        <f>IF(G124&lt;=$B$7,"Cobrado","Retenido")</f>
        <v/>
      </c>
      <c r="I124" s="17">
        <f>IF(H124="Retenido",E124,0)</f>
        <v/>
      </c>
      <c r="J124" s="16" t="inlineStr">
        <is>
          <t>2026-W17</t>
        </is>
      </c>
    </row>
    <row r="125">
      <c r="A125" s="23" t="n">
        <v>46134</v>
      </c>
      <c r="B125" s="17" t="n">
        <v>742000.6899999999</v>
      </c>
      <c r="C125" s="17" t="n">
        <v>9485.67</v>
      </c>
      <c r="D125" s="17" t="n">
        <v>0</v>
      </c>
      <c r="E125" s="17">
        <f>B125-C125-D125</f>
        <v/>
      </c>
      <c r="F125" s="16">
        <f>CHOOSE(WEEKDAY(A125,2),"Lunes","Martes","Miércoles","Jueves","Viernes","Sábado","Domingo")</f>
        <v/>
      </c>
      <c r="G125" s="23" t="n">
        <v>46136</v>
      </c>
      <c r="H125" s="16">
        <f>IF(G125&lt;=$B$7,"Cobrado","Retenido")</f>
        <v/>
      </c>
      <c r="I125" s="17">
        <f>IF(H125="Retenido",E125,0)</f>
        <v/>
      </c>
      <c r="J125" s="16" t="inlineStr">
        <is>
          <t>2026-W17</t>
        </is>
      </c>
    </row>
    <row r="126">
      <c r="A126" s="23" t="n">
        <v>46135</v>
      </c>
      <c r="B126" s="17" t="n">
        <v>679087.04</v>
      </c>
      <c r="C126" s="17" t="n">
        <v>67629.22</v>
      </c>
      <c r="D126" s="17" t="n">
        <v>0</v>
      </c>
      <c r="E126" s="17">
        <f>B126-C126-D126</f>
        <v/>
      </c>
      <c r="F126" s="16">
        <f>CHOOSE(WEEKDAY(A126,2),"Lunes","Martes","Miércoles","Jueves","Viernes","Sábado","Domingo")</f>
        <v/>
      </c>
      <c r="G126" s="23" t="n">
        <v>46139</v>
      </c>
      <c r="H126" s="16">
        <f>IF(G126&lt;=$B$7,"Cobrado","Retenido")</f>
        <v/>
      </c>
      <c r="I126" s="17">
        <f>IF(H126="Retenido",E126,0)</f>
        <v/>
      </c>
      <c r="J126" s="16" t="inlineStr">
        <is>
          <t>2026-W17</t>
        </is>
      </c>
    </row>
    <row r="127">
      <c r="A127" s="23" t="n">
        <v>46136</v>
      </c>
      <c r="B127" s="17" t="n">
        <v>589666.9399999999</v>
      </c>
      <c r="C127" s="17" t="n">
        <v>122123</v>
      </c>
      <c r="D127" s="17" t="n">
        <v>0</v>
      </c>
      <c r="E127" s="17">
        <f>B127-C127-D127</f>
        <v/>
      </c>
      <c r="F127" s="16">
        <f>CHOOSE(WEEKDAY(A127,2),"Lunes","Martes","Miércoles","Jueves","Viernes","Sábado","Domingo")</f>
        <v/>
      </c>
      <c r="G127" s="23" t="n">
        <v>46140</v>
      </c>
      <c r="H127" s="16">
        <f>IF(G127&lt;=$B$7,"Cobrado","Retenido")</f>
        <v/>
      </c>
      <c r="I127" s="17">
        <f>IF(H127="Retenido",E127,0)</f>
        <v/>
      </c>
      <c r="J127" s="16" t="inlineStr">
        <is>
          <t>2026-W17</t>
        </is>
      </c>
    </row>
    <row r="128">
      <c r="A128" s="23" t="n">
        <v>46137</v>
      </c>
      <c r="B128" s="17" t="n">
        <v>477459.62</v>
      </c>
      <c r="C128" s="17" t="n">
        <v>0</v>
      </c>
      <c r="D128" s="17" t="n">
        <v>0</v>
      </c>
      <c r="E128" s="17">
        <f>B128-C128-D128</f>
        <v/>
      </c>
      <c r="F128" s="16">
        <f>CHOOSE(WEEKDAY(A128,2),"Lunes","Martes","Miércoles","Jueves","Viernes","Sábado","Domingo")</f>
        <v/>
      </c>
      <c r="G128" s="23" t="n">
        <v>46140</v>
      </c>
      <c r="H128" s="16">
        <f>IF(G128&lt;=$B$7,"Cobrado","Retenido")</f>
        <v/>
      </c>
      <c r="I128" s="17">
        <f>IF(H128="Retenido",E128,0)</f>
        <v/>
      </c>
      <c r="J128" s="16" t="inlineStr">
        <is>
          <t>2026-W17</t>
        </is>
      </c>
    </row>
    <row r="129">
      <c r="A129" s="23" t="n">
        <v>46138</v>
      </c>
      <c r="B129" s="17" t="n">
        <v>468281.61</v>
      </c>
      <c r="C129" s="17" t="n">
        <v>0</v>
      </c>
      <c r="D129" s="17" t="n">
        <v>0</v>
      </c>
      <c r="E129" s="17">
        <f>B129-C129-D129</f>
        <v/>
      </c>
      <c r="F129" s="16">
        <f>CHOOSE(WEEKDAY(A129,2),"Lunes","Martes","Miércoles","Jueves","Viernes","Sábado","Domingo")</f>
        <v/>
      </c>
      <c r="G129" s="23" t="n">
        <v>46140</v>
      </c>
      <c r="H129" s="16">
        <f>IF(G129&lt;=$B$7,"Cobrado","Retenido")</f>
        <v/>
      </c>
      <c r="I129" s="17">
        <f>IF(H129="Retenido",E129,0)</f>
        <v/>
      </c>
      <c r="J129" s="16" t="inlineStr">
        <is>
          <t>2026-W17</t>
        </is>
      </c>
    </row>
    <row r="130">
      <c r="A130" s="23" t="n">
        <v>46139</v>
      </c>
      <c r="B130" s="17" t="n">
        <v>790203.73</v>
      </c>
      <c r="C130" s="17" t="n">
        <v>104447.44</v>
      </c>
      <c r="D130" s="17" t="n">
        <v>0</v>
      </c>
      <c r="E130" s="17">
        <f>B130-C130-D130</f>
        <v/>
      </c>
      <c r="F130" s="16">
        <f>CHOOSE(WEEKDAY(A130,2),"Lunes","Martes","Miércoles","Jueves","Viernes","Sábado","Domingo")</f>
        <v/>
      </c>
      <c r="G130" s="23" t="n">
        <v>46141</v>
      </c>
      <c r="H130" s="16">
        <f>IF(G130&lt;=$B$7,"Cobrado","Retenido")</f>
        <v/>
      </c>
      <c r="I130" s="17">
        <f>IF(H130="Retenido",E130,0)</f>
        <v/>
      </c>
      <c r="J130" s="16" t="inlineStr">
        <is>
          <t>2026-W18</t>
        </is>
      </c>
    </row>
    <row r="131">
      <c r="A131" s="23" t="n">
        <v>46140</v>
      </c>
      <c r="B131" s="17" t="n">
        <v>759238.8199999999</v>
      </c>
      <c r="C131" s="17" t="n">
        <v>6788.13</v>
      </c>
      <c r="D131" s="17" t="n">
        <v>0</v>
      </c>
      <c r="E131" s="17">
        <f>B131-C131-D131</f>
        <v/>
      </c>
      <c r="F131" s="16">
        <f>CHOOSE(WEEKDAY(A131,2),"Lunes","Martes","Miércoles","Jueves","Viernes","Sábado","Domingo")</f>
        <v/>
      </c>
      <c r="G131" s="23" t="n">
        <v>46142</v>
      </c>
      <c r="H131" s="16">
        <f>IF(G131&lt;=$B$7,"Cobrado","Retenido")</f>
        <v/>
      </c>
      <c r="I131" s="17">
        <f>IF(H131="Retenido",E131,0)</f>
        <v/>
      </c>
      <c r="J131" s="16" t="inlineStr">
        <is>
          <t>2026-W18</t>
        </is>
      </c>
    </row>
    <row r="132">
      <c r="A132" s="23" t="n">
        <v>46141</v>
      </c>
      <c r="B132" s="17" t="n">
        <v>733771.7</v>
      </c>
      <c r="C132" s="17" t="n">
        <v>747830.52</v>
      </c>
      <c r="D132" s="17" t="n">
        <v>0</v>
      </c>
      <c r="E132" s="17">
        <f>B132-C132-D132</f>
        <v/>
      </c>
      <c r="F132" s="16">
        <f>CHOOSE(WEEKDAY(A132,2),"Lunes","Martes","Miércoles","Jueves","Viernes","Sábado","Domingo")</f>
        <v/>
      </c>
      <c r="G132" s="23" t="n">
        <v>46143</v>
      </c>
      <c r="H132" s="16">
        <f>IF(G132&lt;=$B$7,"Cobrado","Retenido")</f>
        <v/>
      </c>
      <c r="I132" s="17">
        <f>IF(H132="Retenido",E132,0)</f>
        <v/>
      </c>
      <c r="J132" s="16" t="inlineStr">
        <is>
          <t>2026-W18</t>
        </is>
      </c>
    </row>
    <row r="133">
      <c r="A133" s="23" t="n">
        <v>46142</v>
      </c>
      <c r="B133" s="17" t="n">
        <v>733547.8100000001</v>
      </c>
      <c r="C133" s="17" t="n">
        <v>0</v>
      </c>
      <c r="D133" s="17" t="n">
        <v>0</v>
      </c>
      <c r="E133" s="17">
        <f>B133-C133-D133</f>
        <v/>
      </c>
      <c r="F133" s="16">
        <f>CHOOSE(WEEKDAY(A133,2),"Lunes","Martes","Miércoles","Jueves","Viernes","Sábado","Domingo")</f>
        <v/>
      </c>
      <c r="G133" s="23" t="n">
        <v>46146</v>
      </c>
      <c r="H133" s="16">
        <f>IF(G133&lt;=$B$7,"Cobrado","Retenido")</f>
        <v/>
      </c>
      <c r="I133" s="17">
        <f>IF(H133="Retenido",E133,0)</f>
        <v/>
      </c>
      <c r="J133" s="16" t="inlineStr">
        <is>
          <t>2026-W18</t>
        </is>
      </c>
    </row>
    <row r="134">
      <c r="A134" s="23" t="n">
        <v>46143</v>
      </c>
      <c r="B134" s="17" t="n">
        <v>489464.28</v>
      </c>
      <c r="C134" s="17" t="n">
        <v>230395.97</v>
      </c>
      <c r="D134" s="17" t="n">
        <v>0</v>
      </c>
      <c r="E134" s="17">
        <f>B134-C134-D134</f>
        <v/>
      </c>
      <c r="F134" s="16">
        <f>CHOOSE(WEEKDAY(A134,2),"Lunes","Martes","Miércoles","Jueves","Viernes","Sábado","Domingo")</f>
        <v/>
      </c>
      <c r="G134" s="23" t="n">
        <v>46147</v>
      </c>
      <c r="H134" s="16">
        <f>IF(G134&lt;=$B$7,"Cobrado","Retenido")</f>
        <v/>
      </c>
      <c r="I134" s="17">
        <f>IF(H134="Retenido",E134,0)</f>
        <v/>
      </c>
      <c r="J134" s="16" t="inlineStr">
        <is>
          <t>2026-W18</t>
        </is>
      </c>
    </row>
    <row r="135">
      <c r="A135" s="23" t="n">
        <v>46144</v>
      </c>
      <c r="B135" s="17" t="n">
        <v>450447.03</v>
      </c>
      <c r="C135" s="17" t="n">
        <v>0</v>
      </c>
      <c r="D135" s="17" t="n">
        <v>0</v>
      </c>
      <c r="E135" s="17">
        <f>B135-C135-D135</f>
        <v/>
      </c>
      <c r="F135" s="16">
        <f>CHOOSE(WEEKDAY(A135,2),"Lunes","Martes","Miércoles","Jueves","Viernes","Sábado","Domingo")</f>
        <v/>
      </c>
      <c r="G135" s="23" t="n">
        <v>46147</v>
      </c>
      <c r="H135" s="16">
        <f>IF(G135&lt;=$B$7,"Cobrado","Retenido")</f>
        <v/>
      </c>
      <c r="I135" s="17">
        <f>IF(H135="Retenido",E135,0)</f>
        <v/>
      </c>
      <c r="J135" s="16" t="inlineStr">
        <is>
          <t>2026-W18</t>
        </is>
      </c>
    </row>
    <row r="136">
      <c r="A136" s="23" t="n">
        <v>46145</v>
      </c>
      <c r="B136" s="17" t="n">
        <v>466688.98</v>
      </c>
      <c r="C136" s="17" t="n">
        <v>0</v>
      </c>
      <c r="D136" s="17" t="n">
        <v>0</v>
      </c>
      <c r="E136" s="17">
        <f>B136-C136-D136</f>
        <v/>
      </c>
      <c r="F136" s="16">
        <f>CHOOSE(WEEKDAY(A136,2),"Lunes","Martes","Miércoles","Jueves","Viernes","Sábado","Domingo")</f>
        <v/>
      </c>
      <c r="G136" s="23" t="n">
        <v>46147</v>
      </c>
      <c r="H136" s="16">
        <f>IF(G136&lt;=$B$7,"Cobrado","Retenido")</f>
        <v/>
      </c>
      <c r="I136" s="17">
        <f>IF(H136="Retenido",E136,0)</f>
        <v/>
      </c>
      <c r="J136" s="16" t="inlineStr">
        <is>
          <t>2026-W18</t>
        </is>
      </c>
    </row>
    <row r="137">
      <c r="A137" s="23" t="n">
        <v>46146</v>
      </c>
      <c r="B137" s="17" t="n">
        <v>839767.87</v>
      </c>
      <c r="C137" s="17" t="n">
        <v>922535.0600000001</v>
      </c>
      <c r="D137" s="17" t="n">
        <v>0</v>
      </c>
      <c r="E137" s="17">
        <f>B137-C137-D137</f>
        <v/>
      </c>
      <c r="F137" s="16">
        <f>CHOOSE(WEEKDAY(A137,2),"Lunes","Martes","Miércoles","Jueves","Viernes","Sábado","Domingo")</f>
        <v/>
      </c>
      <c r="G137" s="23" t="n">
        <v>46148</v>
      </c>
      <c r="H137" s="16">
        <f>IF(G137&lt;=$B$7,"Cobrado","Retenido")</f>
        <v/>
      </c>
      <c r="I137" s="17">
        <f>IF(H137="Retenido",E137,0)</f>
        <v/>
      </c>
      <c r="J137" s="16" t="inlineStr">
        <is>
          <t>2026-W19</t>
        </is>
      </c>
    </row>
    <row r="138">
      <c r="A138" s="23" t="n">
        <v>46147</v>
      </c>
      <c r="B138" s="17" t="n">
        <v>861829.01</v>
      </c>
      <c r="C138" s="17" t="n">
        <v>8912.559999999999</v>
      </c>
      <c r="D138" s="17" t="n">
        <v>0</v>
      </c>
      <c r="E138" s="17">
        <f>B138-C138-D138</f>
        <v/>
      </c>
      <c r="F138" s="16">
        <f>CHOOSE(WEEKDAY(A138,2),"Lunes","Martes","Miércoles","Jueves","Viernes","Sábado","Domingo")</f>
        <v/>
      </c>
      <c r="G138" s="23" t="n">
        <v>46149</v>
      </c>
      <c r="H138" s="16">
        <f>IF(G138&lt;=$B$7,"Cobrado","Retenido")</f>
        <v/>
      </c>
      <c r="I138" s="17">
        <f>IF(H138="Retenido",E138,0)</f>
        <v/>
      </c>
      <c r="J138" s="16" t="inlineStr">
        <is>
          <t>2026-W19</t>
        </is>
      </c>
    </row>
    <row r="139">
      <c r="A139" s="23" t="n">
        <v>46148</v>
      </c>
      <c r="B139" s="17" t="n">
        <v>786502.73</v>
      </c>
      <c r="C139" s="17" t="n">
        <v>5447.19</v>
      </c>
      <c r="D139" s="17" t="n">
        <v>0</v>
      </c>
      <c r="E139" s="17">
        <f>B139-C139-D139</f>
        <v/>
      </c>
      <c r="F139" s="16">
        <f>CHOOSE(WEEKDAY(A139,2),"Lunes","Martes","Miércoles","Jueves","Viernes","Sábado","Domingo")</f>
        <v/>
      </c>
      <c r="G139" s="23" t="n">
        <v>46150</v>
      </c>
      <c r="H139" s="16">
        <f>IF(G139&lt;=$B$7,"Cobrado","Retenido")</f>
        <v/>
      </c>
      <c r="I139" s="17">
        <f>IF(H139="Retenido",E139,0)</f>
        <v/>
      </c>
      <c r="J139" s="16" t="inlineStr">
        <is>
          <t>2026-W19</t>
        </is>
      </c>
    </row>
    <row r="140">
      <c r="A140" s="23" t="n">
        <v>46149</v>
      </c>
      <c r="B140" s="17" t="n">
        <v>761287.2</v>
      </c>
      <c r="C140" s="17" t="n">
        <v>6207.25</v>
      </c>
      <c r="D140" s="17" t="n">
        <v>0</v>
      </c>
      <c r="E140" s="17">
        <f>B140-C140-D140</f>
        <v/>
      </c>
      <c r="F140" s="16">
        <f>CHOOSE(WEEKDAY(A140,2),"Lunes","Martes","Miércoles","Jueves","Viernes","Sábado","Domingo")</f>
        <v/>
      </c>
      <c r="G140" s="23" t="n">
        <v>46153</v>
      </c>
      <c r="H140" s="16">
        <f>IF(G140&lt;=$B$7,"Cobrado","Retenido")</f>
        <v/>
      </c>
      <c r="I140" s="17">
        <f>IF(H140="Retenido",E140,0)</f>
        <v/>
      </c>
      <c r="J140" s="16" t="inlineStr">
        <is>
          <t>2026-W19</t>
        </is>
      </c>
    </row>
    <row r="141">
      <c r="A141" s="23" t="n">
        <v>46150</v>
      </c>
      <c r="B141" s="17" t="n">
        <v>651546.84</v>
      </c>
      <c r="C141" s="17" t="n">
        <v>660088.04</v>
      </c>
      <c r="D141" s="17" t="n">
        <v>0</v>
      </c>
      <c r="E141" s="17">
        <f>B141-C141-D141</f>
        <v/>
      </c>
      <c r="F141" s="16">
        <f>CHOOSE(WEEKDAY(A141,2),"Lunes","Martes","Miércoles","Jueves","Viernes","Sábado","Domingo")</f>
        <v/>
      </c>
      <c r="G141" s="23" t="n">
        <v>46154</v>
      </c>
      <c r="H141" s="16">
        <f>IF(G141&lt;=$B$7,"Cobrado","Retenido")</f>
        <v/>
      </c>
      <c r="I141" s="17">
        <f>IF(H141="Retenido",E141,0)</f>
        <v/>
      </c>
      <c r="J141" s="16" t="inlineStr">
        <is>
          <t>2026-W19</t>
        </is>
      </c>
    </row>
    <row r="142">
      <c r="A142" s="23" t="n">
        <v>46151</v>
      </c>
      <c r="B142" s="17" t="n">
        <v>453673.12</v>
      </c>
      <c r="C142" s="17" t="n">
        <v>0</v>
      </c>
      <c r="D142" s="17" t="n">
        <v>0</v>
      </c>
      <c r="E142" s="17">
        <f>B142-C142-D142</f>
        <v/>
      </c>
      <c r="F142" s="16">
        <f>CHOOSE(WEEKDAY(A142,2),"Lunes","Martes","Miércoles","Jueves","Viernes","Sábado","Domingo")</f>
        <v/>
      </c>
      <c r="G142" s="23" t="n">
        <v>46154</v>
      </c>
      <c r="H142" s="16">
        <f>IF(G142&lt;=$B$7,"Cobrado","Retenido")</f>
        <v/>
      </c>
      <c r="I142" s="17">
        <f>IF(H142="Retenido",E142,0)</f>
        <v/>
      </c>
      <c r="J142" s="16" t="inlineStr">
        <is>
          <t>2026-W19</t>
        </is>
      </c>
    </row>
    <row r="143">
      <c r="A143" s="23" t="n">
        <v>46152</v>
      </c>
      <c r="B143" s="17" t="n">
        <v>479123.56</v>
      </c>
      <c r="C143" s="17" t="n">
        <v>0</v>
      </c>
      <c r="D143" s="17" t="n">
        <v>0</v>
      </c>
      <c r="E143" s="17">
        <f>B143-C143-D143</f>
        <v/>
      </c>
      <c r="F143" s="16">
        <f>CHOOSE(WEEKDAY(A143,2),"Lunes","Martes","Miércoles","Jueves","Viernes","Sábado","Domingo")</f>
        <v/>
      </c>
      <c r="G143" s="23" t="n">
        <v>46154</v>
      </c>
      <c r="H143" s="16">
        <f>IF(G143&lt;=$B$7,"Cobrado","Retenido")</f>
        <v/>
      </c>
      <c r="I143" s="17">
        <f>IF(H143="Retenido",E143,0)</f>
        <v/>
      </c>
      <c r="J143" s="16" t="inlineStr">
        <is>
          <t>2026-W19</t>
        </is>
      </c>
    </row>
    <row r="144">
      <c r="A144" s="23" t="n">
        <v>46153</v>
      </c>
      <c r="B144" s="17" t="n">
        <v>771666.95</v>
      </c>
      <c r="C144" s="17" t="n">
        <v>643995.7</v>
      </c>
      <c r="D144" s="17" t="n">
        <v>0</v>
      </c>
      <c r="E144" s="17">
        <f>B144-C144-D144</f>
        <v/>
      </c>
      <c r="F144" s="16">
        <f>CHOOSE(WEEKDAY(A144,2),"Lunes","Martes","Miércoles","Jueves","Viernes","Sábado","Domingo")</f>
        <v/>
      </c>
      <c r="G144" s="23" t="n">
        <v>46155</v>
      </c>
      <c r="H144" s="16">
        <f>IF(G144&lt;=$B$7,"Cobrado","Retenido")</f>
        <v/>
      </c>
      <c r="I144" s="17">
        <f>IF(H144="Retenido",E144,0)</f>
        <v/>
      </c>
      <c r="J144" s="16" t="inlineStr">
        <is>
          <t>2026-W20</t>
        </is>
      </c>
    </row>
    <row r="145">
      <c r="A145" s="23" t="n">
        <v>46154</v>
      </c>
      <c r="B145" s="17" t="n">
        <v>840374.01</v>
      </c>
      <c r="C145" s="17" t="n">
        <v>12966.22</v>
      </c>
      <c r="D145" s="17" t="n">
        <v>0</v>
      </c>
      <c r="E145" s="17">
        <f>B145-C145-D145</f>
        <v/>
      </c>
      <c r="F145" s="16">
        <f>CHOOSE(WEEKDAY(A145,2),"Lunes","Martes","Miércoles","Jueves","Viernes","Sábado","Domingo")</f>
        <v/>
      </c>
      <c r="G145" s="23" t="n">
        <v>46156</v>
      </c>
      <c r="H145" s="16">
        <f>IF(G145&lt;=$B$7,"Cobrado","Retenido")</f>
        <v/>
      </c>
      <c r="I145" s="17">
        <f>IF(H145="Retenido",E145,0)</f>
        <v/>
      </c>
      <c r="J145" s="16" t="inlineStr">
        <is>
          <t>2026-W20</t>
        </is>
      </c>
    </row>
    <row r="146">
      <c r="A146" s="23" t="n">
        <v>46155</v>
      </c>
      <c r="B146" s="17" t="n">
        <v>760023.51</v>
      </c>
      <c r="C146" s="17" t="n">
        <v>7860.71</v>
      </c>
      <c r="D146" s="17" t="n">
        <v>0</v>
      </c>
      <c r="E146" s="17">
        <f>B146-C146-D146</f>
        <v/>
      </c>
      <c r="F146" s="16">
        <f>CHOOSE(WEEKDAY(A146,2),"Lunes","Martes","Miércoles","Jueves","Viernes","Sábado","Domingo")</f>
        <v/>
      </c>
      <c r="G146" s="23" t="n">
        <v>46157</v>
      </c>
      <c r="H146" s="16">
        <f>IF(G146&lt;=$B$7,"Cobrado","Retenido")</f>
        <v/>
      </c>
      <c r="I146" s="17">
        <f>IF(H146="Retenido",E146,0)</f>
        <v/>
      </c>
      <c r="J146" s="16" t="inlineStr">
        <is>
          <t>2026-W20</t>
        </is>
      </c>
    </row>
    <row r="147">
      <c r="A147" s="23" t="n">
        <v>46156</v>
      </c>
      <c r="B147" s="17" t="n">
        <v>677355.7</v>
      </c>
      <c r="C147" s="17" t="n">
        <v>4462.1</v>
      </c>
      <c r="D147" s="17" t="n">
        <v>0</v>
      </c>
      <c r="E147" s="17">
        <f>B147-C147-D147</f>
        <v/>
      </c>
      <c r="F147" s="16">
        <f>CHOOSE(WEEKDAY(A147,2),"Lunes","Martes","Miércoles","Jueves","Viernes","Sábado","Domingo")</f>
        <v/>
      </c>
      <c r="G147" s="23" t="n">
        <v>46160</v>
      </c>
      <c r="H147" s="16">
        <f>IF(G147&lt;=$B$7,"Cobrado","Retenido")</f>
        <v/>
      </c>
      <c r="I147" s="17">
        <f>IF(H147="Retenido",E147,0)</f>
        <v/>
      </c>
      <c r="J147" s="16" t="inlineStr">
        <is>
          <t>2026-W20</t>
        </is>
      </c>
    </row>
    <row r="148">
      <c r="A148" s="23" t="n">
        <v>46157</v>
      </c>
      <c r="B148" s="17" t="n">
        <v>591071.64</v>
      </c>
      <c r="C148" s="17" t="n">
        <v>678558.03</v>
      </c>
      <c r="D148" s="17" t="n">
        <v>0</v>
      </c>
      <c r="E148" s="17">
        <f>B148-C148-D148</f>
        <v/>
      </c>
      <c r="F148" s="16">
        <f>CHOOSE(WEEKDAY(A148,2),"Lunes","Martes","Miércoles","Jueves","Viernes","Sábado","Domingo")</f>
        <v/>
      </c>
      <c r="G148" s="23" t="n">
        <v>46161</v>
      </c>
      <c r="H148" s="16">
        <f>IF(G148&lt;=$B$7,"Cobrado","Retenido")</f>
        <v/>
      </c>
      <c r="I148" s="17">
        <f>IF(H148="Retenido",E148,0)</f>
        <v/>
      </c>
      <c r="J148" s="16" t="inlineStr">
        <is>
          <t>2026-W20</t>
        </is>
      </c>
    </row>
    <row r="149">
      <c r="A149" s="23" t="n">
        <v>46158</v>
      </c>
      <c r="B149" s="17" t="n">
        <v>434565.98</v>
      </c>
      <c r="C149" s="17" t="n">
        <v>0</v>
      </c>
      <c r="D149" s="17" t="n">
        <v>0</v>
      </c>
      <c r="E149" s="17">
        <f>B149-C149-D149</f>
        <v/>
      </c>
      <c r="F149" s="16">
        <f>CHOOSE(WEEKDAY(A149,2),"Lunes","Martes","Miércoles","Jueves","Viernes","Sábado","Domingo")</f>
        <v/>
      </c>
      <c r="G149" s="23" t="n">
        <v>46161</v>
      </c>
      <c r="H149" s="16">
        <f>IF(G149&lt;=$B$7,"Cobrado","Retenido")</f>
        <v/>
      </c>
      <c r="I149" s="17">
        <f>IF(H149="Retenido",E149,0)</f>
        <v/>
      </c>
      <c r="J149" s="16" t="inlineStr">
        <is>
          <t>2026-W20</t>
        </is>
      </c>
    </row>
    <row r="150">
      <c r="A150" s="23" t="n">
        <v>46159</v>
      </c>
      <c r="B150" s="17" t="n">
        <v>488562.15</v>
      </c>
      <c r="C150" s="17" t="n">
        <v>0</v>
      </c>
      <c r="D150" s="17" t="n">
        <v>0</v>
      </c>
      <c r="E150" s="17">
        <f>B150-C150-D150</f>
        <v/>
      </c>
      <c r="F150" s="16">
        <f>CHOOSE(WEEKDAY(A150,2),"Lunes","Martes","Miércoles","Jueves","Viernes","Sábado","Domingo")</f>
        <v/>
      </c>
      <c r="G150" s="23" t="n">
        <v>46161</v>
      </c>
      <c r="H150" s="16">
        <f>IF(G150&lt;=$B$7,"Cobrado","Retenido")</f>
        <v/>
      </c>
      <c r="I150" s="17">
        <f>IF(H150="Retenido",E150,0)</f>
        <v/>
      </c>
      <c r="J150" s="16" t="inlineStr">
        <is>
          <t>2026-W20</t>
        </is>
      </c>
    </row>
    <row r="151">
      <c r="A151" s="23" t="n">
        <v>46160</v>
      </c>
      <c r="B151" s="17" t="n">
        <v>824028.22</v>
      </c>
      <c r="C151" s="17" t="n">
        <v>664655.11</v>
      </c>
      <c r="D151" s="17" t="n">
        <v>0</v>
      </c>
      <c r="E151" s="17">
        <f>B151-C151-D151</f>
        <v/>
      </c>
      <c r="F151" s="16">
        <f>CHOOSE(WEEKDAY(A151,2),"Lunes","Martes","Miércoles","Jueves","Viernes","Sábado","Domingo")</f>
        <v/>
      </c>
      <c r="G151" s="23" t="n">
        <v>46162</v>
      </c>
      <c r="H151" s="16">
        <f>IF(G151&lt;=$B$7,"Cobrado","Retenido")</f>
        <v/>
      </c>
      <c r="I151" s="17">
        <f>IF(H151="Retenido",E151,0)</f>
        <v/>
      </c>
      <c r="J151" s="16" t="inlineStr">
        <is>
          <t>2026-W21</t>
        </is>
      </c>
    </row>
    <row r="152">
      <c r="A152" s="23" t="n">
        <v>46161</v>
      </c>
      <c r="B152" s="17" t="n">
        <v>763278.59</v>
      </c>
      <c r="C152" s="17" t="n">
        <v>24406.79</v>
      </c>
      <c r="D152" s="17" t="n">
        <v>0</v>
      </c>
      <c r="E152" s="17">
        <f>B152-C152-D152</f>
        <v/>
      </c>
      <c r="F152" s="16">
        <f>CHOOSE(WEEKDAY(A152,2),"Lunes","Martes","Miércoles","Jueves","Viernes","Sábado","Domingo")</f>
        <v/>
      </c>
      <c r="G152" s="23" t="n">
        <v>46163</v>
      </c>
      <c r="H152" s="16">
        <f>IF(G152&lt;=$B$7,"Cobrado","Retenido")</f>
        <v/>
      </c>
      <c r="I152" s="17">
        <f>IF(H152="Retenido",E152,0)</f>
        <v/>
      </c>
      <c r="J152" s="16" t="inlineStr">
        <is>
          <t>2026-W21</t>
        </is>
      </c>
    </row>
    <row r="153">
      <c r="A153" s="23" t="n">
        <v>46162</v>
      </c>
      <c r="B153" s="17" t="n">
        <v>769583.87</v>
      </c>
      <c r="C153" s="17" t="n">
        <v>11816.76</v>
      </c>
      <c r="D153" s="17" t="n">
        <v>0</v>
      </c>
      <c r="E153" s="17">
        <f>B153-C153-D153</f>
        <v/>
      </c>
      <c r="F153" s="16">
        <f>CHOOSE(WEEKDAY(A153,2),"Lunes","Martes","Miércoles","Jueves","Viernes","Sábado","Domingo")</f>
        <v/>
      </c>
      <c r="G153" s="23" t="n">
        <v>46164</v>
      </c>
      <c r="H153" s="16">
        <f>IF(G153&lt;=$B$7,"Cobrado","Retenido")</f>
        <v/>
      </c>
      <c r="I153" s="17">
        <f>IF(H153="Retenido",E153,0)</f>
        <v/>
      </c>
      <c r="J153" s="16" t="inlineStr">
        <is>
          <t>2026-W21</t>
        </is>
      </c>
    </row>
    <row r="154">
      <c r="A154" s="23" t="n">
        <v>46163</v>
      </c>
      <c r="B154" s="17" t="n">
        <v>704517.47</v>
      </c>
      <c r="C154" s="17" t="n">
        <v>9397.110000000001</v>
      </c>
      <c r="D154" s="17" t="n">
        <v>0</v>
      </c>
      <c r="E154" s="17">
        <f>B154-C154-D154</f>
        <v/>
      </c>
      <c r="F154" s="16">
        <f>CHOOSE(WEEKDAY(A154,2),"Lunes","Martes","Miércoles","Jueves","Viernes","Sábado","Domingo")</f>
        <v/>
      </c>
      <c r="G154" s="23" t="n">
        <v>46167</v>
      </c>
      <c r="H154" s="16">
        <f>IF(G154&lt;=$B$7,"Cobrado","Retenido")</f>
        <v/>
      </c>
      <c r="I154" s="17">
        <f>IF(H154="Retenido",E154,0)</f>
        <v/>
      </c>
      <c r="J154" s="16" t="inlineStr">
        <is>
          <t>2026-W21</t>
        </is>
      </c>
    </row>
    <row r="155">
      <c r="A155" s="23" t="n">
        <v>46164</v>
      </c>
      <c r="B155" s="17" t="n">
        <v>648728.52</v>
      </c>
      <c r="C155" s="17" t="n">
        <v>7938.42</v>
      </c>
      <c r="D155" s="17" t="n">
        <v>0</v>
      </c>
      <c r="E155" s="17">
        <f>B155-C155-D155</f>
        <v/>
      </c>
      <c r="F155" s="16">
        <f>CHOOSE(WEEKDAY(A155,2),"Lunes","Martes","Miércoles","Jueves","Viernes","Sábado","Domingo")</f>
        <v/>
      </c>
      <c r="G155" s="23" t="n">
        <v>46168</v>
      </c>
      <c r="H155" s="16">
        <f>IF(G155&lt;=$B$7,"Cobrado","Retenido")</f>
        <v/>
      </c>
      <c r="I155" s="17">
        <f>IF(H155="Retenido",E155,0)</f>
        <v/>
      </c>
      <c r="J155" s="16" t="inlineStr">
        <is>
          <t>2026-W21</t>
        </is>
      </c>
    </row>
    <row r="156">
      <c r="A156" s="23" t="n">
        <v>46165</v>
      </c>
      <c r="B156" s="17" t="n">
        <v>438379.2</v>
      </c>
      <c r="C156" s="17" t="n">
        <v>0</v>
      </c>
      <c r="D156" s="17" t="n">
        <v>0</v>
      </c>
      <c r="E156" s="17">
        <f>B156-C156-D156</f>
        <v/>
      </c>
      <c r="F156" s="16">
        <f>CHOOSE(WEEKDAY(A156,2),"Lunes","Martes","Miércoles","Jueves","Viernes","Sábado","Domingo")</f>
        <v/>
      </c>
      <c r="G156" s="23" t="n">
        <v>46168</v>
      </c>
      <c r="H156" s="16">
        <f>IF(G156&lt;=$B$7,"Cobrado","Retenido")</f>
        <v/>
      </c>
      <c r="I156" s="17">
        <f>IF(H156="Retenido",E156,0)</f>
        <v/>
      </c>
      <c r="J156" s="16" t="inlineStr">
        <is>
          <t>2026-W21</t>
        </is>
      </c>
    </row>
    <row r="157">
      <c r="A157" s="23" t="n">
        <v>46166</v>
      </c>
      <c r="B157" s="17" t="n">
        <v>444741.72</v>
      </c>
      <c r="C157" s="17" t="n">
        <v>0</v>
      </c>
      <c r="D157" s="17" t="n">
        <v>0</v>
      </c>
      <c r="E157" s="17">
        <f>B157-C157-D157</f>
        <v/>
      </c>
      <c r="F157" s="16">
        <f>CHOOSE(WEEKDAY(A157,2),"Lunes","Martes","Miércoles","Jueves","Viernes","Sábado","Domingo")</f>
        <v/>
      </c>
      <c r="G157" s="23" t="n">
        <v>46168</v>
      </c>
      <c r="H157" s="16">
        <f>IF(G157&lt;=$B$7,"Cobrado","Retenido")</f>
        <v/>
      </c>
      <c r="I157" s="17">
        <f>IF(H157="Retenido",E157,0)</f>
        <v/>
      </c>
      <c r="J157" s="16" t="inlineStr">
        <is>
          <t>2026-W21</t>
        </is>
      </c>
    </row>
    <row r="158">
      <c r="A158" s="23" t="n">
        <v>46167</v>
      </c>
      <c r="B158" s="17" t="n">
        <v>642690.0600000001</v>
      </c>
      <c r="C158" s="17" t="n">
        <v>4723.42</v>
      </c>
      <c r="D158" s="17" t="n">
        <v>0</v>
      </c>
      <c r="E158" s="17">
        <f>B158-C158-D158</f>
        <v/>
      </c>
      <c r="F158" s="16">
        <f>CHOOSE(WEEKDAY(A158,2),"Lunes","Martes","Miércoles","Jueves","Viernes","Sábado","Domingo")</f>
        <v/>
      </c>
      <c r="G158" s="23" t="n">
        <v>46169</v>
      </c>
      <c r="H158" s="16">
        <f>IF(G158&lt;=$B$7,"Cobrado","Retenido")</f>
        <v/>
      </c>
      <c r="I158" s="17">
        <f>IF(H158="Retenido",E158,0)</f>
        <v/>
      </c>
      <c r="J158" s="16" t="inlineStr">
        <is>
          <t>2026-W22</t>
        </is>
      </c>
    </row>
    <row r="159">
      <c r="A159" s="23" t="n">
        <v>46168</v>
      </c>
      <c r="B159" s="17" t="n">
        <v>790848.3199999999</v>
      </c>
      <c r="C159" s="17" t="n">
        <v>371155.57</v>
      </c>
      <c r="D159" s="17" t="n">
        <v>0</v>
      </c>
      <c r="E159" s="17">
        <f>B159-C159-D159</f>
        <v/>
      </c>
      <c r="F159" s="16">
        <f>CHOOSE(WEEKDAY(A159,2),"Lunes","Martes","Miércoles","Jueves","Viernes","Sábado","Domingo")</f>
        <v/>
      </c>
      <c r="G159" s="23" t="n">
        <v>46170</v>
      </c>
      <c r="H159" s="16">
        <f>IF(G159&lt;=$B$7,"Cobrado","Retenido")</f>
        <v/>
      </c>
      <c r="I159" s="17">
        <f>IF(H159="Retenido",E159,0)</f>
        <v/>
      </c>
      <c r="J159" s="16" t="inlineStr">
        <is>
          <t>2026-W22</t>
        </is>
      </c>
    </row>
    <row r="160">
      <c r="A160" s="23" t="n">
        <v>46169</v>
      </c>
      <c r="B160" s="17" t="n">
        <v>787234.49</v>
      </c>
      <c r="C160" s="17" t="n">
        <v>71540.69</v>
      </c>
      <c r="D160" s="17" t="n">
        <v>0</v>
      </c>
      <c r="E160" s="17">
        <f>B160-C160-D160</f>
        <v/>
      </c>
      <c r="F160" s="16">
        <f>CHOOSE(WEEKDAY(A160,2),"Lunes","Martes","Miércoles","Jueves","Viernes","Sábado","Domingo")</f>
        <v/>
      </c>
      <c r="G160" s="23" t="n">
        <v>46171</v>
      </c>
      <c r="H160" s="16">
        <f>IF(G160&lt;=$B$7,"Cobrado","Retenido")</f>
        <v/>
      </c>
      <c r="I160" s="17">
        <f>IF(H160="Retenido",E160,0)</f>
        <v/>
      </c>
      <c r="J160" s="16" t="inlineStr">
        <is>
          <t>2026-W22</t>
        </is>
      </c>
    </row>
    <row r="161">
      <c r="A161" s="23" t="n">
        <v>46170</v>
      </c>
      <c r="B161" s="17" t="n">
        <v>714549.16</v>
      </c>
      <c r="C161" s="17" t="n">
        <v>425150.56</v>
      </c>
      <c r="D161" s="17" t="n">
        <v>0</v>
      </c>
      <c r="E161" s="17">
        <f>B161-C161-D161</f>
        <v/>
      </c>
      <c r="F161" s="16">
        <f>CHOOSE(WEEKDAY(A161,2),"Lunes","Martes","Miércoles","Jueves","Viernes","Sábado","Domingo")</f>
        <v/>
      </c>
      <c r="G161" s="23" t="n">
        <v>46174</v>
      </c>
      <c r="H161" s="16">
        <f>IF(G161&lt;=$B$7,"Cobrado","Retenido")</f>
        <v/>
      </c>
      <c r="I161" s="17">
        <f>IF(H161="Retenido",E161,0)</f>
        <v/>
      </c>
      <c r="J161" s="16" t="inlineStr">
        <is>
          <t>2026-W22</t>
        </is>
      </c>
    </row>
    <row r="162">
      <c r="A162" s="23" t="n">
        <v>46171</v>
      </c>
      <c r="B162" s="17" t="n">
        <v>716379.23</v>
      </c>
      <c r="C162" s="17" t="n">
        <v>845956.77</v>
      </c>
      <c r="D162" s="17" t="n">
        <v>0</v>
      </c>
      <c r="E162" s="17">
        <f>B162-C162-D162</f>
        <v/>
      </c>
      <c r="F162" s="16">
        <f>CHOOSE(WEEKDAY(A162,2),"Lunes","Martes","Miércoles","Jueves","Viernes","Sábado","Domingo")</f>
        <v/>
      </c>
      <c r="G162" s="23" t="n">
        <v>46175</v>
      </c>
      <c r="H162" s="16">
        <f>IF(G162&lt;=$B$7,"Cobrado","Retenido")</f>
        <v/>
      </c>
      <c r="I162" s="17">
        <f>IF(H162="Retenido",E162,0)</f>
        <v/>
      </c>
      <c r="J162" s="16" t="inlineStr">
        <is>
          <t>2026-W22</t>
        </is>
      </c>
    </row>
    <row r="163">
      <c r="A163" s="23" t="n">
        <v>46172</v>
      </c>
      <c r="B163" s="17" t="n">
        <v>485370.27</v>
      </c>
      <c r="C163" s="17" t="n">
        <v>0</v>
      </c>
      <c r="D163" s="17" t="n">
        <v>0</v>
      </c>
      <c r="E163" s="17">
        <f>B163-C163-D163</f>
        <v/>
      </c>
      <c r="F163" s="16">
        <f>CHOOSE(WEEKDAY(A163,2),"Lunes","Martes","Miércoles","Jueves","Viernes","Sábado","Domingo")</f>
        <v/>
      </c>
      <c r="G163" s="23" t="n">
        <v>46175</v>
      </c>
      <c r="H163" s="16">
        <f>IF(G163&lt;=$B$7,"Cobrado","Retenido")</f>
        <v/>
      </c>
      <c r="I163" s="17">
        <f>IF(H163="Retenido",E163,0)</f>
        <v/>
      </c>
      <c r="J163" s="16" t="inlineStr">
        <is>
          <t>2026-W22</t>
        </is>
      </c>
    </row>
    <row r="164">
      <c r="A164" s="23" t="n">
        <v>46173</v>
      </c>
      <c r="B164" s="17" t="n">
        <v>529472.86</v>
      </c>
      <c r="C164" s="17" t="n">
        <v>0</v>
      </c>
      <c r="D164" s="17" t="n">
        <v>0</v>
      </c>
      <c r="E164" s="17">
        <f>B164-C164-D164</f>
        <v/>
      </c>
      <c r="F164" s="16">
        <f>CHOOSE(WEEKDAY(A164,2),"Lunes","Martes","Miércoles","Jueves","Viernes","Sábado","Domingo")</f>
        <v/>
      </c>
      <c r="G164" s="23" t="n">
        <v>46175</v>
      </c>
      <c r="H164" s="16">
        <f>IF(G164&lt;=$B$7,"Cobrado","Retenido")</f>
        <v/>
      </c>
      <c r="I164" s="17">
        <f>IF(H164="Retenido",E164,0)</f>
        <v/>
      </c>
      <c r="J164" s="16" t="inlineStr">
        <is>
          <t>2026-W22</t>
        </is>
      </c>
    </row>
    <row r="165">
      <c r="A165" s="23" t="n">
        <v>46174</v>
      </c>
      <c r="B165" s="17" t="n">
        <v>880127.59</v>
      </c>
      <c r="C165" s="17" t="n">
        <v>732570.8</v>
      </c>
      <c r="D165" s="17" t="n">
        <v>0</v>
      </c>
      <c r="E165" s="17">
        <f>B165-C165-D165</f>
        <v/>
      </c>
      <c r="F165" s="16">
        <f>CHOOSE(WEEKDAY(A165,2),"Lunes","Martes","Miércoles","Jueves","Viernes","Sábado","Domingo")</f>
        <v/>
      </c>
      <c r="G165" s="23" t="n">
        <v>46176</v>
      </c>
      <c r="H165" s="16">
        <f>IF(G165&lt;=$B$7,"Cobrado","Retenido")</f>
        <v/>
      </c>
      <c r="I165" s="17">
        <f>IF(H165="Retenido",E165,0)</f>
        <v/>
      </c>
      <c r="J165" s="16" t="inlineStr">
        <is>
          <t>2026-W23</t>
        </is>
      </c>
    </row>
    <row r="166">
      <c r="A166" s="23" t="n">
        <v>46175</v>
      </c>
      <c r="B166" s="17" t="n">
        <v>881891.88</v>
      </c>
      <c r="C166" s="17" t="n">
        <v>760891.85</v>
      </c>
      <c r="D166" s="17" t="n">
        <v>0</v>
      </c>
      <c r="E166" s="17">
        <f>B166-C166-D166</f>
        <v/>
      </c>
      <c r="F166" s="16">
        <f>CHOOSE(WEEKDAY(A166,2),"Lunes","Martes","Miércoles","Jueves","Viernes","Sábado","Domingo")</f>
        <v/>
      </c>
      <c r="G166" s="23" t="n">
        <v>46177</v>
      </c>
      <c r="H166" s="16">
        <f>IF(G166&lt;=$B$7,"Cobrado","Retenido")</f>
        <v/>
      </c>
      <c r="I166" s="17">
        <f>IF(H166="Retenido",E166,0)</f>
        <v/>
      </c>
      <c r="J166" s="16" t="inlineStr">
        <is>
          <t>2026-W23</t>
        </is>
      </c>
    </row>
    <row r="167">
      <c r="A167" s="23" t="n">
        <v>46176</v>
      </c>
      <c r="B167" s="17" t="n">
        <v>896871.04</v>
      </c>
      <c r="C167" s="17" t="n">
        <v>26820.23</v>
      </c>
      <c r="D167" s="17" t="n">
        <v>0</v>
      </c>
      <c r="E167" s="17">
        <f>B167-C167-D167</f>
        <v/>
      </c>
      <c r="F167" s="16">
        <f>CHOOSE(WEEKDAY(A167,2),"Lunes","Martes","Miércoles","Jueves","Viernes","Sábado","Domingo")</f>
        <v/>
      </c>
      <c r="G167" s="23" t="n">
        <v>46178</v>
      </c>
      <c r="H167" s="16">
        <f>IF(G167&lt;=$B$7,"Cobrado","Retenido")</f>
        <v/>
      </c>
      <c r="I167" s="17">
        <f>IF(H167="Retenido",E167,0)</f>
        <v/>
      </c>
      <c r="J167" s="16" t="inlineStr">
        <is>
          <t>2026-W23</t>
        </is>
      </c>
    </row>
    <row r="168">
      <c r="A168" s="23" t="n">
        <v>46177</v>
      </c>
      <c r="B168" s="17" t="n">
        <v>856939.25</v>
      </c>
      <c r="C168" s="17" t="n">
        <v>798059.8199999999</v>
      </c>
      <c r="D168" s="17" t="n">
        <v>0</v>
      </c>
      <c r="E168" s="17">
        <f>B168-C168-D168</f>
        <v/>
      </c>
      <c r="F168" s="16">
        <f>CHOOSE(WEEKDAY(A168,2),"Lunes","Martes","Miércoles","Jueves","Viernes","Sábado","Domingo")</f>
        <v/>
      </c>
      <c r="G168" s="23" t="n">
        <v>46181</v>
      </c>
      <c r="H168" s="16">
        <f>IF(G168&lt;=$B$7,"Cobrado","Retenido")</f>
        <v/>
      </c>
      <c r="I168" s="17">
        <f>IF(H168="Retenido",E168,0)</f>
        <v/>
      </c>
      <c r="J168" s="16" t="inlineStr">
        <is>
          <t>2026-W23</t>
        </is>
      </c>
    </row>
    <row r="169">
      <c r="A169" s="23" t="n">
        <v>46178</v>
      </c>
      <c r="B169" s="17" t="n">
        <v>782116.28</v>
      </c>
      <c r="C169" s="17" t="n">
        <v>13139.18</v>
      </c>
      <c r="D169" s="17" t="n">
        <v>0</v>
      </c>
      <c r="E169" s="17">
        <f>B169-C169-D169</f>
        <v/>
      </c>
      <c r="F169" s="16">
        <f>CHOOSE(WEEKDAY(A169,2),"Lunes","Martes","Miércoles","Jueves","Viernes","Sábado","Domingo")</f>
        <v/>
      </c>
      <c r="G169" s="23" t="n">
        <v>46182</v>
      </c>
      <c r="H169" s="16">
        <f>IF(G169&lt;=$B$7,"Cobrado","Retenido")</f>
        <v/>
      </c>
      <c r="I169" s="17">
        <f>IF(H169="Retenido",E169,0)</f>
        <v/>
      </c>
      <c r="J169" s="16" t="inlineStr">
        <is>
          <t>2026-W23</t>
        </is>
      </c>
    </row>
    <row r="170">
      <c r="A170" s="23" t="n">
        <v>46179</v>
      </c>
      <c r="B170" s="17" t="n">
        <v>551397.0699999999</v>
      </c>
      <c r="C170" s="17" t="n">
        <v>0</v>
      </c>
      <c r="D170" s="17" t="n">
        <v>0</v>
      </c>
      <c r="E170" s="17">
        <f>B170-C170-D170</f>
        <v/>
      </c>
      <c r="F170" s="16">
        <f>CHOOSE(WEEKDAY(A170,2),"Lunes","Martes","Miércoles","Jueves","Viernes","Sábado","Domingo")</f>
        <v/>
      </c>
      <c r="G170" s="23" t="n">
        <v>46182</v>
      </c>
      <c r="H170" s="16">
        <f>IF(G170&lt;=$B$7,"Cobrado","Retenido")</f>
        <v/>
      </c>
      <c r="I170" s="17">
        <f>IF(H170="Retenido",E170,0)</f>
        <v/>
      </c>
      <c r="J170" s="16" t="inlineStr">
        <is>
          <t>2026-W23</t>
        </is>
      </c>
    </row>
    <row r="171">
      <c r="A171" s="23" t="n">
        <v>46180</v>
      </c>
      <c r="B171" s="17" t="n">
        <v>583527.71</v>
      </c>
      <c r="C171" s="17" t="n">
        <v>0</v>
      </c>
      <c r="D171" s="17" t="n">
        <v>0</v>
      </c>
      <c r="E171" s="17">
        <f>B171-C171-D171</f>
        <v/>
      </c>
      <c r="F171" s="16">
        <f>CHOOSE(WEEKDAY(A171,2),"Lunes","Martes","Miércoles","Jueves","Viernes","Sábado","Domingo")</f>
        <v/>
      </c>
      <c r="G171" s="23" t="n">
        <v>46182</v>
      </c>
      <c r="H171" s="16">
        <f>IF(G171&lt;=$B$7,"Cobrado","Retenido")</f>
        <v/>
      </c>
      <c r="I171" s="17">
        <f>IF(H171="Retenido",E171,0)</f>
        <v/>
      </c>
      <c r="J171" s="16" t="inlineStr">
        <is>
          <t>2026-W23</t>
        </is>
      </c>
    </row>
    <row r="172">
      <c r="A172" s="23" t="n">
        <v>46181</v>
      </c>
      <c r="B172" s="17" t="n">
        <v>935568.48</v>
      </c>
      <c r="C172" s="17" t="n">
        <v>98330.89999999999</v>
      </c>
      <c r="D172" s="17" t="n">
        <v>0</v>
      </c>
      <c r="E172" s="17">
        <f>B172-C172-D172</f>
        <v/>
      </c>
      <c r="F172" s="16">
        <f>CHOOSE(WEEKDAY(A172,2),"Lunes","Martes","Miércoles","Jueves","Viernes","Sábado","Domingo")</f>
        <v/>
      </c>
      <c r="G172" s="23" t="n">
        <v>46183</v>
      </c>
      <c r="H172" s="16">
        <f>IF(G172&lt;=$B$7,"Cobrado","Retenido")</f>
        <v/>
      </c>
      <c r="I172" s="17">
        <f>IF(H172="Retenido",E172,0)</f>
        <v/>
      </c>
      <c r="J172" s="16" t="inlineStr">
        <is>
          <t>2026-W24</t>
        </is>
      </c>
    </row>
    <row r="173">
      <c r="A173" s="23" t="n">
        <v>46182</v>
      </c>
      <c r="B173" s="17" t="n">
        <v>913160.6800000001</v>
      </c>
      <c r="C173" s="17" t="n">
        <v>81000.06</v>
      </c>
      <c r="D173" s="17" t="n">
        <v>0</v>
      </c>
      <c r="E173" s="17">
        <f>B173-C173-D173</f>
        <v/>
      </c>
      <c r="F173" s="16">
        <f>CHOOSE(WEEKDAY(A173,2),"Lunes","Martes","Miércoles","Jueves","Viernes","Sábado","Domingo")</f>
        <v/>
      </c>
      <c r="G173" s="23" t="n">
        <v>46184</v>
      </c>
      <c r="H173" s="16">
        <f>IF(G173&lt;=$B$7,"Cobrado","Retenido")</f>
        <v/>
      </c>
      <c r="I173" s="17">
        <f>IF(H173="Retenido",E173,0)</f>
        <v/>
      </c>
      <c r="J173" s="16" t="inlineStr">
        <is>
          <t>2026-W24</t>
        </is>
      </c>
    </row>
    <row r="174">
      <c r="A174" s="23" t="n">
        <v>46183</v>
      </c>
      <c r="B174" s="17" t="n">
        <v>927384.86</v>
      </c>
      <c r="C174" s="17" t="n">
        <v>10070.42</v>
      </c>
      <c r="D174" s="17" t="n">
        <v>0</v>
      </c>
      <c r="E174" s="17">
        <f>B174-C174-D174</f>
        <v/>
      </c>
      <c r="F174" s="16">
        <f>CHOOSE(WEEKDAY(A174,2),"Lunes","Martes","Miércoles","Jueves","Viernes","Sábado","Domingo")</f>
        <v/>
      </c>
      <c r="G174" s="23" t="n">
        <v>46185</v>
      </c>
      <c r="H174" s="16">
        <f>IF(G174&lt;=$B$7,"Cobrado","Retenido")</f>
        <v/>
      </c>
      <c r="I174" s="17">
        <f>IF(H174="Retenido",E174,0)</f>
        <v/>
      </c>
      <c r="J174" s="16" t="inlineStr">
        <is>
          <t>2026-W24</t>
        </is>
      </c>
    </row>
    <row r="175">
      <c r="A175" s="23" t="n">
        <v>46184</v>
      </c>
      <c r="B175" s="17" t="n">
        <v>894898.5</v>
      </c>
      <c r="C175" s="17" t="n">
        <v>6798.04</v>
      </c>
      <c r="D175" s="17" t="n">
        <v>0</v>
      </c>
      <c r="E175" s="17">
        <f>B175-C175-D175</f>
        <v/>
      </c>
      <c r="F175" s="16">
        <f>CHOOSE(WEEKDAY(A175,2),"Lunes","Martes","Miércoles","Jueves","Viernes","Sábado","Domingo")</f>
        <v/>
      </c>
      <c r="G175" s="23" t="n">
        <v>46188</v>
      </c>
      <c r="H175" s="16">
        <f>IF(G175&lt;=$B$7,"Cobrado","Retenido")</f>
        <v/>
      </c>
      <c r="I175" s="17">
        <f>IF(H175="Retenido",E175,0)</f>
        <v/>
      </c>
      <c r="J175" s="16" t="inlineStr">
        <is>
          <t>2026-W24</t>
        </is>
      </c>
    </row>
    <row r="176">
      <c r="A176" s="23" t="n">
        <v>46185</v>
      </c>
      <c r="B176" s="17" t="n">
        <v>757528.14</v>
      </c>
      <c r="C176" s="17" t="n">
        <v>28525.81</v>
      </c>
      <c r="D176" s="17" t="n">
        <v>0</v>
      </c>
      <c r="E176" s="17">
        <f>B176-C176-D176</f>
        <v/>
      </c>
      <c r="F176" s="16">
        <f>CHOOSE(WEEKDAY(A176,2),"Lunes","Martes","Miércoles","Jueves","Viernes","Sábado","Domingo")</f>
        <v/>
      </c>
      <c r="G176" s="23" t="n">
        <v>46189</v>
      </c>
      <c r="H176" s="16">
        <f>IF(G176&lt;=$B$7,"Cobrado","Retenido")</f>
        <v/>
      </c>
      <c r="I176" s="17">
        <f>IF(H176="Retenido",E176,0)</f>
        <v/>
      </c>
      <c r="J176" s="16" t="inlineStr">
        <is>
          <t>2026-W24</t>
        </is>
      </c>
    </row>
    <row r="177">
      <c r="A177" s="23" t="n">
        <v>46186</v>
      </c>
      <c r="B177" s="17" t="n">
        <v>518126.08</v>
      </c>
      <c r="C177" s="17" t="n">
        <v>0</v>
      </c>
      <c r="D177" s="17" t="n">
        <v>0</v>
      </c>
      <c r="E177" s="17">
        <f>B177-C177-D177</f>
        <v/>
      </c>
      <c r="F177" s="16">
        <f>CHOOSE(WEEKDAY(A177,2),"Lunes","Martes","Miércoles","Jueves","Viernes","Sábado","Domingo")</f>
        <v/>
      </c>
      <c r="G177" s="23" t="n">
        <v>46189</v>
      </c>
      <c r="H177" s="16">
        <f>IF(G177&lt;=$B$7,"Cobrado","Retenido")</f>
        <v/>
      </c>
      <c r="I177" s="17">
        <f>IF(H177="Retenido",E177,0)</f>
        <v/>
      </c>
      <c r="J177" s="16" t="inlineStr">
        <is>
          <t>2026-W24</t>
        </is>
      </c>
    </row>
    <row r="178">
      <c r="A178" s="23" t="n">
        <v>46187</v>
      </c>
      <c r="B178" s="17" t="n">
        <v>630091.8199999999</v>
      </c>
      <c r="C178" s="17" t="n">
        <v>0</v>
      </c>
      <c r="D178" s="17" t="n">
        <v>0</v>
      </c>
      <c r="E178" s="17">
        <f>B178-C178-D178</f>
        <v/>
      </c>
      <c r="F178" s="16">
        <f>CHOOSE(WEEKDAY(A178,2),"Lunes","Martes","Miércoles","Jueves","Viernes","Sábado","Domingo")</f>
        <v/>
      </c>
      <c r="G178" s="23" t="n">
        <v>46189</v>
      </c>
      <c r="H178" s="16">
        <f>IF(G178&lt;=$B$7,"Cobrado","Retenido")</f>
        <v/>
      </c>
      <c r="I178" s="17">
        <f>IF(H178="Retenido",E178,0)</f>
        <v/>
      </c>
      <c r="J178" s="16" t="inlineStr">
        <is>
          <t>2026-W24</t>
        </is>
      </c>
    </row>
    <row r="179">
      <c r="A179" s="23" t="n">
        <v>46188</v>
      </c>
      <c r="B179" s="17" t="n">
        <v>955554.02</v>
      </c>
      <c r="C179" s="17" t="n">
        <v>6977.16</v>
      </c>
      <c r="D179" s="17" t="n">
        <v>0</v>
      </c>
      <c r="E179" s="17">
        <f>B179-C179-D179</f>
        <v/>
      </c>
      <c r="F179" s="16">
        <f>CHOOSE(WEEKDAY(A179,2),"Lunes","Martes","Miércoles","Jueves","Viernes","Sábado","Domingo")</f>
        <v/>
      </c>
      <c r="G179" s="23" t="n">
        <v>46190</v>
      </c>
      <c r="H179" s="16">
        <f>IF(G179&lt;=$B$7,"Cobrado","Retenido")</f>
        <v/>
      </c>
      <c r="I179" s="17">
        <f>IF(H179="Retenido",E179,0)</f>
        <v/>
      </c>
      <c r="J179" s="16" t="inlineStr">
        <is>
          <t>2026-W25</t>
        </is>
      </c>
    </row>
    <row r="180">
      <c r="A180" s="23" t="n">
        <v>46189</v>
      </c>
      <c r="B180" s="17" t="n">
        <v>917161.95</v>
      </c>
      <c r="C180" s="17" t="n">
        <v>10434.59</v>
      </c>
      <c r="D180" s="17" t="n">
        <v>0</v>
      </c>
      <c r="E180" s="17">
        <f>B180-C180-D180</f>
        <v/>
      </c>
      <c r="F180" s="16">
        <f>CHOOSE(WEEKDAY(A180,2),"Lunes","Martes","Miércoles","Jueves","Viernes","Sábado","Domingo")</f>
        <v/>
      </c>
      <c r="G180" s="23" t="n">
        <v>46191</v>
      </c>
      <c r="H180" s="16">
        <f>IF(G180&lt;=$B$7,"Cobrado","Retenido")</f>
        <v/>
      </c>
      <c r="I180" s="17">
        <f>IF(H180="Retenido",E180,0)</f>
        <v/>
      </c>
      <c r="J180" s="16" t="inlineStr">
        <is>
          <t>2026-W25</t>
        </is>
      </c>
    </row>
    <row r="181">
      <c r="A181" s="23" t="n">
        <v>46190</v>
      </c>
      <c r="B181" s="17" t="n">
        <v>891716.49</v>
      </c>
      <c r="C181" s="17" t="n">
        <v>6041.98</v>
      </c>
      <c r="D181" s="17" t="n">
        <v>0</v>
      </c>
      <c r="E181" s="17">
        <f>B181-C181-D181</f>
        <v/>
      </c>
      <c r="F181" s="16">
        <f>CHOOSE(WEEKDAY(A181,2),"Lunes","Martes","Miércoles","Jueves","Viernes","Sábado","Domingo")</f>
        <v/>
      </c>
      <c r="G181" s="23" t="n">
        <v>46192</v>
      </c>
      <c r="H181" s="16">
        <f>IF(G181&lt;=$B$7,"Cobrado","Retenido")</f>
        <v/>
      </c>
      <c r="I181" s="17">
        <f>IF(H181="Retenido",E181,0)</f>
        <v/>
      </c>
      <c r="J181" s="16" t="inlineStr">
        <is>
          <t>2026-W25</t>
        </is>
      </c>
    </row>
    <row r="182">
      <c r="A182" s="23" t="n">
        <v>46191</v>
      </c>
      <c r="B182" s="17" t="n">
        <v>810693.53</v>
      </c>
      <c r="C182" s="17" t="n">
        <v>6490.62</v>
      </c>
      <c r="D182" s="17" t="n">
        <v>0</v>
      </c>
      <c r="E182" s="17">
        <f>B182-C182-D182</f>
        <v/>
      </c>
      <c r="F182" s="16">
        <f>CHOOSE(WEEKDAY(A182,2),"Lunes","Martes","Miércoles","Jueves","Viernes","Sábado","Domingo")</f>
        <v/>
      </c>
      <c r="G182" s="23" t="n">
        <v>46195</v>
      </c>
      <c r="H182" s="16">
        <f>IF(G182&lt;=$B$7,"Cobrado","Retenido")</f>
        <v/>
      </c>
      <c r="I182" s="17">
        <f>IF(H182="Retenido",E182,0)</f>
        <v/>
      </c>
      <c r="J182" s="16" t="inlineStr">
        <is>
          <t>2026-W25</t>
        </is>
      </c>
    </row>
    <row r="183">
      <c r="A183" s="23" t="n">
        <v>46192</v>
      </c>
      <c r="B183" s="17" t="n">
        <v>789490.8100000001</v>
      </c>
      <c r="C183" s="17" t="n">
        <v>10608.74</v>
      </c>
      <c r="D183" s="17" t="n">
        <v>0</v>
      </c>
      <c r="E183" s="17">
        <f>B183-C183-D183</f>
        <v/>
      </c>
      <c r="F183" s="16">
        <f>CHOOSE(WEEKDAY(A183,2),"Lunes","Martes","Miércoles","Jueves","Viernes","Sábado","Domingo")</f>
        <v/>
      </c>
      <c r="G183" s="23" t="n">
        <v>46196</v>
      </c>
      <c r="H183" s="16">
        <f>IF(G183&lt;=$B$7,"Cobrado","Retenido")</f>
        <v/>
      </c>
      <c r="I183" s="17">
        <f>IF(H183="Retenido",E183,0)</f>
        <v/>
      </c>
      <c r="J183" s="16" t="inlineStr">
        <is>
          <t>2026-W25</t>
        </is>
      </c>
    </row>
    <row r="184">
      <c r="A184" s="23" t="n">
        <v>46193</v>
      </c>
      <c r="B184" s="17" t="n">
        <v>587117.83</v>
      </c>
      <c r="C184" s="17" t="n">
        <v>0</v>
      </c>
      <c r="D184" s="17" t="n">
        <v>0</v>
      </c>
      <c r="E184" s="17">
        <f>B184-C184-D184</f>
        <v/>
      </c>
      <c r="F184" s="16">
        <f>CHOOSE(WEEKDAY(A184,2),"Lunes","Martes","Miércoles","Jueves","Viernes","Sábado","Domingo")</f>
        <v/>
      </c>
      <c r="G184" s="23" t="n">
        <v>46196</v>
      </c>
      <c r="H184" s="16">
        <f>IF(G184&lt;=$B$7,"Cobrado","Retenido")</f>
        <v/>
      </c>
      <c r="I184" s="17">
        <f>IF(H184="Retenido",E184,0)</f>
        <v/>
      </c>
      <c r="J184" s="16" t="inlineStr">
        <is>
          <t>2026-W25</t>
        </is>
      </c>
    </row>
    <row r="185">
      <c r="A185" s="23" t="n">
        <v>46194</v>
      </c>
      <c r="B185" s="17" t="n">
        <v>609858.65</v>
      </c>
      <c r="C185" s="17" t="n">
        <v>0</v>
      </c>
      <c r="D185" s="17" t="n">
        <v>0</v>
      </c>
      <c r="E185" s="17">
        <f>B185-C185-D185</f>
        <v/>
      </c>
      <c r="F185" s="16">
        <f>CHOOSE(WEEKDAY(A185,2),"Lunes","Martes","Miércoles","Jueves","Viernes","Sábado","Domingo")</f>
        <v/>
      </c>
      <c r="G185" s="23" t="n">
        <v>46196</v>
      </c>
      <c r="H185" s="16">
        <f>IF(G185&lt;=$B$7,"Cobrado","Retenido")</f>
        <v/>
      </c>
      <c r="I185" s="17">
        <f>IF(H185="Retenido",E185,0)</f>
        <v/>
      </c>
      <c r="J185" s="16" t="inlineStr">
        <is>
          <t>2026-W25</t>
        </is>
      </c>
    </row>
    <row r="186">
      <c r="A186" s="23" t="n">
        <v>46195</v>
      </c>
      <c r="B186" s="17" t="n">
        <v>922386.16</v>
      </c>
      <c r="C186" s="17" t="n">
        <v>5473.05</v>
      </c>
      <c r="D186" s="17" t="n">
        <v>0</v>
      </c>
      <c r="E186" s="17">
        <f>B186-C186-D186</f>
        <v/>
      </c>
      <c r="F186" s="16">
        <f>CHOOSE(WEEKDAY(A186,2),"Lunes","Martes","Miércoles","Jueves","Viernes","Sábado","Domingo")</f>
        <v/>
      </c>
      <c r="G186" s="23" t="n">
        <v>46197</v>
      </c>
      <c r="H186" s="16">
        <f>IF(G186&lt;=$B$7,"Cobrado","Retenido")</f>
        <v/>
      </c>
      <c r="I186" s="17">
        <f>IF(H186="Retenido",E186,0)</f>
        <v/>
      </c>
      <c r="J186" s="16" t="inlineStr">
        <is>
          <t>2026-W26</t>
        </is>
      </c>
    </row>
    <row r="187">
      <c r="A187" s="23" t="n">
        <v>46196</v>
      </c>
      <c r="B187" s="17" t="n">
        <v>886707.53</v>
      </c>
      <c r="C187" s="17" t="n">
        <v>7281.01</v>
      </c>
      <c r="D187" s="17" t="n">
        <v>0</v>
      </c>
      <c r="E187" s="17">
        <f>B187-C187-D187</f>
        <v/>
      </c>
      <c r="F187" s="16">
        <f>CHOOSE(WEEKDAY(A187,2),"Lunes","Martes","Miércoles","Jueves","Viernes","Sábado","Domingo")</f>
        <v/>
      </c>
      <c r="G187" s="23" t="n">
        <v>46198</v>
      </c>
      <c r="H187" s="16">
        <f>IF(G187&lt;=$B$7,"Cobrado","Retenido")</f>
        <v/>
      </c>
      <c r="I187" s="17">
        <f>IF(H187="Retenido",E187,0)</f>
        <v/>
      </c>
      <c r="J187" s="16" t="inlineStr">
        <is>
          <t>2026-W26</t>
        </is>
      </c>
    </row>
    <row r="188">
      <c r="A188" s="23" t="n">
        <v>46197</v>
      </c>
      <c r="B188" s="17" t="n">
        <v>900872.35</v>
      </c>
      <c r="C188" s="17" t="n">
        <v>58973.16</v>
      </c>
      <c r="D188" s="17" t="n">
        <v>0</v>
      </c>
      <c r="E188" s="17">
        <f>B188-C188-D188</f>
        <v/>
      </c>
      <c r="F188" s="16">
        <f>CHOOSE(WEEKDAY(A188,2),"Lunes","Martes","Miércoles","Jueves","Viernes","Sábado","Domingo")</f>
        <v/>
      </c>
      <c r="G188" s="23" t="n">
        <v>46199</v>
      </c>
      <c r="H188" s="16">
        <f>IF(G188&lt;=$B$7,"Cobrado","Retenido")</f>
        <v/>
      </c>
      <c r="I188" s="17">
        <f>IF(H188="Retenido",E188,0)</f>
        <v/>
      </c>
      <c r="J188" s="16" t="inlineStr">
        <is>
          <t>2026-W26</t>
        </is>
      </c>
    </row>
    <row r="189">
      <c r="A189" s="23" t="n">
        <v>46198</v>
      </c>
      <c r="B189" s="17" t="n">
        <v>798360.6899999999</v>
      </c>
      <c r="C189" s="17" t="n">
        <v>11439.75</v>
      </c>
      <c r="D189" s="17" t="n">
        <v>0</v>
      </c>
      <c r="E189" s="17">
        <f>B189-C189-D189</f>
        <v/>
      </c>
      <c r="F189" s="16">
        <f>CHOOSE(WEEKDAY(A189,2),"Lunes","Martes","Miércoles","Jueves","Viernes","Sábado","Domingo")</f>
        <v/>
      </c>
      <c r="G189" s="23" t="n">
        <v>46202</v>
      </c>
      <c r="H189" s="16">
        <f>IF(G189&lt;=$B$7,"Cobrado","Retenido")</f>
        <v/>
      </c>
      <c r="I189" s="17">
        <f>IF(H189="Retenido",E189,0)</f>
        <v/>
      </c>
      <c r="J189" s="16" t="inlineStr">
        <is>
          <t>2026-W26</t>
        </is>
      </c>
    </row>
    <row r="190">
      <c r="A190" s="23" t="n">
        <v>46199</v>
      </c>
      <c r="B190" s="17" t="n">
        <v>774771.1899999999</v>
      </c>
      <c r="C190" s="17" t="n">
        <v>15149.59</v>
      </c>
      <c r="D190" s="17" t="n">
        <v>0</v>
      </c>
      <c r="E190" s="17">
        <f>B190-C190-D190</f>
        <v/>
      </c>
      <c r="F190" s="16">
        <f>CHOOSE(WEEKDAY(A190,2),"Lunes","Martes","Miércoles","Jueves","Viernes","Sábado","Domingo")</f>
        <v/>
      </c>
      <c r="G190" s="23" t="n">
        <v>46203</v>
      </c>
      <c r="H190" s="16">
        <f>IF(G190&lt;=$B$7,"Cobrado","Retenido")</f>
        <v/>
      </c>
      <c r="I190" s="17">
        <f>IF(H190="Retenido",E190,0)</f>
        <v/>
      </c>
      <c r="J190" s="16" t="inlineStr">
        <is>
          <t>2026-W26</t>
        </is>
      </c>
    </row>
    <row r="191">
      <c r="A191" s="23" t="n">
        <v>46200</v>
      </c>
      <c r="B191" s="17" t="n">
        <v>649242.73</v>
      </c>
      <c r="C191" s="17" t="n">
        <v>0</v>
      </c>
      <c r="D191" s="17" t="n">
        <v>0</v>
      </c>
      <c r="E191" s="17">
        <f>B191-C191-D191</f>
        <v/>
      </c>
      <c r="F191" s="16">
        <f>CHOOSE(WEEKDAY(A191,2),"Lunes","Martes","Miércoles","Jueves","Viernes","Sábado","Domingo")</f>
        <v/>
      </c>
      <c r="G191" s="23" t="n">
        <v>46203</v>
      </c>
      <c r="H191" s="16">
        <f>IF(G191&lt;=$B$7,"Cobrado","Retenido")</f>
        <v/>
      </c>
      <c r="I191" s="17">
        <f>IF(H191="Retenido",E191,0)</f>
        <v/>
      </c>
      <c r="J191" s="16" t="inlineStr">
        <is>
          <t>2026-W26</t>
        </is>
      </c>
    </row>
    <row r="192">
      <c r="A192" s="23" t="n">
        <v>46201</v>
      </c>
      <c r="B192" s="17" t="n">
        <v>678743.3199999999</v>
      </c>
      <c r="C192" s="17" t="n">
        <v>0</v>
      </c>
      <c r="D192" s="17" t="n">
        <v>0</v>
      </c>
      <c r="E192" s="17">
        <f>B192-C192-D192</f>
        <v/>
      </c>
      <c r="F192" s="16">
        <f>CHOOSE(WEEKDAY(A192,2),"Lunes","Martes","Miércoles","Jueves","Viernes","Sábado","Domingo")</f>
        <v/>
      </c>
      <c r="G192" s="23" t="n">
        <v>46203</v>
      </c>
      <c r="H192" s="16">
        <f>IF(G192&lt;=$B$7,"Cobrado","Retenido")</f>
        <v/>
      </c>
      <c r="I192" s="17">
        <f>IF(H192="Retenido",E192,0)</f>
        <v/>
      </c>
      <c r="J192" s="16" t="inlineStr">
        <is>
          <t>2026-W26</t>
        </is>
      </c>
    </row>
    <row r="193">
      <c r="A193" s="23" t="n">
        <v>46202</v>
      </c>
      <c r="B193" s="17" t="n">
        <v>835722.99</v>
      </c>
      <c r="C193" s="17" t="n">
        <v>3915.39</v>
      </c>
      <c r="D193" s="17" t="n">
        <v>0</v>
      </c>
      <c r="E193" s="17">
        <f>B193-C193-D193</f>
        <v/>
      </c>
      <c r="F193" s="16">
        <f>CHOOSE(WEEKDAY(A193,2),"Lunes","Martes","Miércoles","Jueves","Viernes","Sábado","Domingo")</f>
        <v/>
      </c>
      <c r="G193" s="23" t="n">
        <v>46204</v>
      </c>
      <c r="H193" s="16">
        <f>IF(G193&lt;=$B$7,"Cobrado","Retenido")</f>
        <v/>
      </c>
      <c r="I193" s="17">
        <f>IF(H193="Retenido",E193,0)</f>
        <v/>
      </c>
      <c r="J193" s="16" t="inlineStr">
        <is>
          <t>2026-W27</t>
        </is>
      </c>
    </row>
    <row r="194">
      <c r="A194" s="23" t="n">
        <v>46203</v>
      </c>
      <c r="B194" s="17" t="n">
        <v>852826.64</v>
      </c>
      <c r="C194" s="17" t="n">
        <v>5088.47</v>
      </c>
      <c r="D194" s="17" t="n">
        <v>0</v>
      </c>
      <c r="E194" s="17">
        <f>B194-C194-D194</f>
        <v/>
      </c>
      <c r="F194" s="16">
        <f>CHOOSE(WEEKDAY(A194,2),"Lunes","Martes","Miércoles","Jueves","Viernes","Sábado","Domingo")</f>
        <v/>
      </c>
      <c r="G194" s="23" t="n">
        <v>46205</v>
      </c>
      <c r="H194" s="16">
        <f>IF(G194&lt;=$B$7,"Cobrado","Retenido")</f>
        <v/>
      </c>
      <c r="I194" s="17">
        <f>IF(H194="Retenido",E194,0)</f>
        <v/>
      </c>
      <c r="J194" s="16" t="inlineStr">
        <is>
          <t>2026-W27</t>
        </is>
      </c>
    </row>
    <row r="195">
      <c r="A195" s="23" t="n">
        <v>46204</v>
      </c>
      <c r="B195" s="17" t="n">
        <v>906243.51</v>
      </c>
      <c r="C195" s="17" t="n">
        <v>3775.72</v>
      </c>
      <c r="D195" s="17" t="n">
        <v>0</v>
      </c>
      <c r="E195" s="17">
        <f>B195-C195-D195</f>
        <v/>
      </c>
      <c r="F195" s="16">
        <f>CHOOSE(WEEKDAY(A195,2),"Lunes","Martes","Miércoles","Jueves","Viernes","Sábado","Domingo")</f>
        <v/>
      </c>
      <c r="G195" s="23" t="n">
        <v>46206</v>
      </c>
      <c r="H195" s="16">
        <f>IF(G195&lt;=$B$7,"Cobrado","Retenido")</f>
        <v/>
      </c>
      <c r="I195" s="17">
        <f>IF(H195="Retenido",E195,0)</f>
        <v/>
      </c>
      <c r="J195" s="16" t="inlineStr">
        <is>
          <t>2026-W27</t>
        </is>
      </c>
    </row>
    <row r="196">
      <c r="A196" s="23" t="n">
        <v>46205</v>
      </c>
      <c r="B196" s="17" t="n">
        <v>849911.24</v>
      </c>
      <c r="C196" s="17" t="n">
        <v>4525.18</v>
      </c>
      <c r="D196" s="17" t="n">
        <v>0</v>
      </c>
      <c r="E196" s="17">
        <f>B196-C196-D196</f>
        <v/>
      </c>
      <c r="F196" s="16">
        <f>CHOOSE(WEEKDAY(A196,2),"Lunes","Martes","Miércoles","Jueves","Viernes","Sábado","Domingo")</f>
        <v/>
      </c>
      <c r="G196" s="23" t="n">
        <v>46209</v>
      </c>
      <c r="H196" s="16">
        <f>IF(G196&lt;=$B$7,"Cobrado","Retenido")</f>
        <v/>
      </c>
      <c r="I196" s="17">
        <f>IF(H196="Retenido",E196,0)</f>
        <v/>
      </c>
      <c r="J196" s="16" t="inlineStr">
        <is>
          <t>2026-W27</t>
        </is>
      </c>
    </row>
    <row r="197">
      <c r="A197" s="23" t="n">
        <v>46206</v>
      </c>
      <c r="B197" s="17" t="n">
        <v>904243.11</v>
      </c>
      <c r="C197" s="17" t="n">
        <v>19165.61</v>
      </c>
      <c r="D197" s="17" t="n">
        <v>0</v>
      </c>
      <c r="E197" s="17">
        <f>B197-C197-D197</f>
        <v/>
      </c>
      <c r="F197" s="16">
        <f>CHOOSE(WEEKDAY(A197,2),"Lunes","Martes","Miércoles","Jueves","Viernes","Sábado","Domingo")</f>
        <v/>
      </c>
      <c r="G197" s="23" t="n">
        <v>46210</v>
      </c>
      <c r="H197" s="16">
        <f>IF(G197&lt;=$B$7,"Cobrado","Retenido")</f>
        <v/>
      </c>
      <c r="I197" s="17">
        <f>IF(H197="Retenido",E197,0)</f>
        <v/>
      </c>
      <c r="J197" s="16" t="inlineStr">
        <is>
          <t>2026-W27</t>
        </is>
      </c>
    </row>
    <row r="198">
      <c r="A198" s="23" t="n">
        <v>46207</v>
      </c>
      <c r="B198" s="17" t="n">
        <v>760593.5600000001</v>
      </c>
      <c r="C198" s="17" t="n">
        <v>0</v>
      </c>
      <c r="D198" s="17" t="n">
        <v>0</v>
      </c>
      <c r="E198" s="17">
        <f>B198-C198-D198</f>
        <v/>
      </c>
      <c r="F198" s="16">
        <f>CHOOSE(WEEKDAY(A198,2),"Lunes","Martes","Miércoles","Jueves","Viernes","Sábado","Domingo")</f>
        <v/>
      </c>
      <c r="G198" s="23" t="n">
        <v>46210</v>
      </c>
      <c r="H198" s="16">
        <f>IF(G198&lt;=$B$7,"Cobrado","Retenido")</f>
        <v/>
      </c>
      <c r="I198" s="17">
        <f>IF(H198="Retenido",E198,0)</f>
        <v/>
      </c>
      <c r="J198" s="16" t="inlineStr">
        <is>
          <t>2026-W27</t>
        </is>
      </c>
    </row>
    <row r="199">
      <c r="A199" s="23" t="n">
        <v>46208</v>
      </c>
      <c r="B199" s="17" t="n">
        <v>768246.02</v>
      </c>
      <c r="C199" s="17" t="n">
        <v>0</v>
      </c>
      <c r="D199" s="17" t="n">
        <v>0</v>
      </c>
      <c r="E199" s="17">
        <f>B199-C199-D199</f>
        <v/>
      </c>
      <c r="F199" s="16">
        <f>CHOOSE(WEEKDAY(A199,2),"Lunes","Martes","Miércoles","Jueves","Viernes","Sábado","Domingo")</f>
        <v/>
      </c>
      <c r="G199" s="23" t="n">
        <v>46210</v>
      </c>
      <c r="H199" s="16">
        <f>IF(G199&lt;=$B$7,"Cobrado","Retenido")</f>
        <v/>
      </c>
      <c r="I199" s="17">
        <f>IF(H199="Retenido",E199,0)</f>
        <v/>
      </c>
      <c r="J199" s="16" t="inlineStr">
        <is>
          <t>2026-W27</t>
        </is>
      </c>
    </row>
    <row r="200">
      <c r="A200" s="23" t="n">
        <v>46209</v>
      </c>
      <c r="B200" s="17" t="n">
        <v>1159009.91</v>
      </c>
      <c r="C200" s="17" t="n">
        <v>11402.39</v>
      </c>
      <c r="D200" s="17" t="n">
        <v>0</v>
      </c>
      <c r="E200" s="17">
        <f>B200-C200-D200</f>
        <v/>
      </c>
      <c r="F200" s="16">
        <f>CHOOSE(WEEKDAY(A200,2),"Lunes","Martes","Miércoles","Jueves","Viernes","Sábado","Domingo")</f>
        <v/>
      </c>
      <c r="G200" s="23" t="n">
        <v>46211</v>
      </c>
      <c r="H200" s="16">
        <f>IF(G200&lt;=$B$7,"Cobrado","Retenido")</f>
        <v/>
      </c>
      <c r="I200" s="17">
        <f>IF(H200="Retenido",E200,0)</f>
        <v/>
      </c>
      <c r="J200" s="16" t="inlineStr">
        <is>
          <t>2026-W28</t>
        </is>
      </c>
    </row>
    <row r="201">
      <c r="A201" s="23" t="n">
        <v>46210</v>
      </c>
      <c r="B201" s="17" t="n">
        <v>1127635.59</v>
      </c>
      <c r="C201" s="17" t="n">
        <v>0</v>
      </c>
      <c r="D201" s="17" t="n">
        <v>0</v>
      </c>
      <c r="E201" s="17">
        <f>B201-C201-D201</f>
        <v/>
      </c>
      <c r="F201" s="16">
        <f>CHOOSE(WEEKDAY(A201,2),"Lunes","Martes","Miércoles","Jueves","Viernes","Sábado","Domingo")</f>
        <v/>
      </c>
      <c r="G201" s="23" t="n">
        <v>46212</v>
      </c>
      <c r="H201" s="16">
        <f>IF(G201&lt;=$B$7,"Cobrado","Retenido")</f>
        <v/>
      </c>
      <c r="I201" s="17">
        <f>IF(H201="Retenido",E201,0)</f>
        <v/>
      </c>
      <c r="J201" s="16" t="inlineStr">
        <is>
          <t>2026-W28</t>
        </is>
      </c>
    </row>
    <row r="202">
      <c r="A202" s="23" t="n">
        <v>46211</v>
      </c>
      <c r="B202" s="17" t="n">
        <v>1114501.85</v>
      </c>
      <c r="C202" s="17" t="n">
        <v>0</v>
      </c>
      <c r="D202" s="17" t="n">
        <v>0</v>
      </c>
      <c r="E202" s="17">
        <f>B202-C202-D202</f>
        <v/>
      </c>
      <c r="F202" s="16">
        <f>CHOOSE(WEEKDAY(A202,2),"Lunes","Martes","Miércoles","Jueves","Viernes","Sábado","Domingo")</f>
        <v/>
      </c>
      <c r="G202" s="23" t="n">
        <v>46213</v>
      </c>
      <c r="H202" s="16">
        <f>IF(G202&lt;=$B$7,"Cobrado","Retenido")</f>
        <v/>
      </c>
      <c r="I202" s="17">
        <f>IF(H202="Retenido",E202,0)</f>
        <v/>
      </c>
      <c r="J202" s="16" t="inlineStr">
        <is>
          <t>2026-W28</t>
        </is>
      </c>
    </row>
    <row r="203">
      <c r="A203" s="23" t="n">
        <v>46212</v>
      </c>
      <c r="B203" s="17" t="n">
        <v>889655.67</v>
      </c>
      <c r="C203" s="17" t="n">
        <v>0</v>
      </c>
      <c r="D203" s="17" t="n">
        <v>0</v>
      </c>
      <c r="E203" s="17">
        <f>B203-C203-D203</f>
        <v/>
      </c>
      <c r="F203" s="16">
        <f>CHOOSE(WEEKDAY(A203,2),"Lunes","Martes","Miércoles","Jueves","Viernes","Sábado","Domingo")</f>
        <v/>
      </c>
      <c r="G203" s="23" t="n">
        <v>46216</v>
      </c>
      <c r="H203" s="16">
        <f>IF(G203&lt;=$B$7,"Cobrado","Retenido")</f>
        <v/>
      </c>
      <c r="I203" s="17">
        <f>IF(H203="Retenido",E203,0)</f>
        <v/>
      </c>
      <c r="J203" s="16" t="inlineStr">
        <is>
          <t>2026-W28</t>
        </is>
      </c>
    </row>
    <row r="204">
      <c r="A204" s="23" t="n">
        <v>46213</v>
      </c>
      <c r="B204" s="17" t="n">
        <v>1005222.35</v>
      </c>
      <c r="C204" s="17" t="n">
        <v>0</v>
      </c>
      <c r="D204" s="17" t="n">
        <v>0</v>
      </c>
      <c r="E204" s="17">
        <f>B204-C204-D204</f>
        <v/>
      </c>
      <c r="F204" s="16">
        <f>CHOOSE(WEEKDAY(A204,2),"Lunes","Martes","Miércoles","Jueves","Viernes","Sábado","Domingo")</f>
        <v/>
      </c>
      <c r="G204" s="23" t="n">
        <v>46217</v>
      </c>
      <c r="H204" s="16">
        <f>IF(G204&lt;=$B$7,"Cobrado","Retenido")</f>
        <v/>
      </c>
      <c r="I204" s="17">
        <f>IF(H204="Retenido",E204,0)</f>
        <v/>
      </c>
      <c r="J204" s="16" t="inlineStr">
        <is>
          <t>2026-W28</t>
        </is>
      </c>
    </row>
    <row r="205">
      <c r="A205" s="23" t="n">
        <v>46214</v>
      </c>
      <c r="B205" s="17" t="n">
        <v>788848.1</v>
      </c>
      <c r="C205" s="17" t="n">
        <v>0</v>
      </c>
      <c r="D205" s="17" t="n">
        <v>0</v>
      </c>
      <c r="E205" s="17">
        <f>B205-C205-D205</f>
        <v/>
      </c>
      <c r="F205" s="16">
        <f>CHOOSE(WEEKDAY(A205,2),"Lunes","Martes","Miércoles","Jueves","Viernes","Sábado","Domingo")</f>
        <v/>
      </c>
      <c r="G205" s="23" t="n">
        <v>46217</v>
      </c>
      <c r="H205" s="16">
        <f>IF(G205&lt;=$B$7,"Cobrado","Retenido")</f>
        <v/>
      </c>
      <c r="I205" s="17">
        <f>IF(H205="Retenido",E205,0)</f>
        <v/>
      </c>
      <c r="J205" s="16" t="inlineStr">
        <is>
          <t>2026-W28</t>
        </is>
      </c>
    </row>
    <row r="206">
      <c r="A206" s="23" t="n">
        <v>46215</v>
      </c>
      <c r="B206" s="17" t="n">
        <v>785065.87</v>
      </c>
      <c r="C206" s="17" t="n">
        <v>0</v>
      </c>
      <c r="D206" s="17" t="n">
        <v>0</v>
      </c>
      <c r="E206" s="17">
        <f>B206-C206-D206</f>
        <v/>
      </c>
      <c r="F206" s="16">
        <f>CHOOSE(WEEKDAY(A206,2),"Lunes","Martes","Miércoles","Jueves","Viernes","Sábado","Domingo")</f>
        <v/>
      </c>
      <c r="G206" s="23" t="n">
        <v>46217</v>
      </c>
      <c r="H206" s="16">
        <f>IF(G206&lt;=$B$7,"Cobrado","Retenido")</f>
        <v/>
      </c>
      <c r="I206" s="17">
        <f>IF(H206="Retenido",E206,0)</f>
        <v/>
      </c>
      <c r="J206" s="16" t="inlineStr">
        <is>
          <t>2026-W28</t>
        </is>
      </c>
    </row>
    <row r="207">
      <c r="A207" s="23" t="n">
        <v>46216</v>
      </c>
      <c r="B207" s="17" t="n">
        <v>1064905.95</v>
      </c>
      <c r="C207" s="17" t="n">
        <v>0</v>
      </c>
      <c r="D207" s="17" t="n">
        <v>0</v>
      </c>
      <c r="E207" s="17">
        <f>B207-C207-D207</f>
        <v/>
      </c>
      <c r="F207" s="16">
        <f>CHOOSE(WEEKDAY(A207,2),"Lunes","Martes","Miércoles","Jueves","Viernes","Sábado","Domingo")</f>
        <v/>
      </c>
      <c r="G207" s="23" t="n">
        <v>46218</v>
      </c>
      <c r="H207" s="16">
        <f>IF(G207&lt;=$B$7,"Cobrado","Retenido")</f>
        <v/>
      </c>
      <c r="I207" s="17">
        <f>IF(H207="Retenido",E207,0)</f>
        <v/>
      </c>
      <c r="J207" s="16" t="inlineStr">
        <is>
          <t>2026-W29</t>
        </is>
      </c>
    </row>
    <row r="208">
      <c r="A208" s="13" t="inlineStr">
        <is>
          <t>TOTAL</t>
        </is>
      </c>
      <c r="B208" s="14">
        <f>SUM(B11:B207)</f>
        <v/>
      </c>
      <c r="C208" s="14">
        <f>SUM(C11:C207)</f>
        <v/>
      </c>
      <c r="D208" s="14">
        <f>SUM(D11:D207)</f>
        <v/>
      </c>
      <c r="E208" s="14">
        <f>SUM(E11:E207)</f>
        <v/>
      </c>
      <c r="I208" s="14">
        <f>SUM(I11:I207)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3" customWidth="1" min="5" max="5"/>
    <col width="12" customWidth="1" min="6" max="6"/>
    <col width="15" customWidth="1" min="7" max="7"/>
    <col width="11" customWidth="1" min="8" max="8"/>
    <col width="15" customWidth="1" min="9" max="9"/>
    <col width="11" customWidth="1" min="10" max="10"/>
  </cols>
  <sheetData>
    <row r="1">
      <c r="A1" s="24" t="inlineStr">
        <is>
          <t>CALCULADORA DE COBROS — NUVEI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</row>
    <row r="3">
      <c r="A3" s="13" t="inlineStr">
        <is>
          <t>Reglas del procesador (Venta → Settlement)</t>
        </is>
      </c>
    </row>
    <row r="4">
      <c r="A4" s="13" t="inlineStr">
        <is>
          <t>Vta</t>
        </is>
      </c>
      <c r="B4" s="15" t="inlineStr">
        <is>
          <t>Lunes</t>
        </is>
      </c>
      <c r="C4" s="15" t="inlineStr">
        <is>
          <t>Martes</t>
        </is>
      </c>
      <c r="D4" s="15" t="inlineStr">
        <is>
          <t>Miércoles</t>
        </is>
      </c>
      <c r="E4" s="15" t="inlineStr">
        <is>
          <t>Jueves</t>
        </is>
      </c>
      <c r="F4" s="15" t="inlineStr">
        <is>
          <t>Viernes</t>
        </is>
      </c>
      <c r="G4" s="15" t="inlineStr">
        <is>
          <t>Sábado</t>
        </is>
      </c>
      <c r="H4" s="15" t="inlineStr">
        <is>
          <t>Domingo</t>
        </is>
      </c>
    </row>
    <row r="5">
      <c r="A5" s="13" t="inlineStr">
        <is>
          <t>Setle</t>
        </is>
      </c>
      <c r="B5" s="21" t="inlineStr">
        <is>
          <t>Viernes</t>
        </is>
      </c>
      <c r="C5" s="21" t="inlineStr">
        <is>
          <t>Lunes</t>
        </is>
      </c>
      <c r="D5" s="21" t="inlineStr">
        <is>
          <t>Martes</t>
        </is>
      </c>
      <c r="E5" s="21" t="inlineStr">
        <is>
          <t>Miércoles</t>
        </is>
      </c>
      <c r="F5" s="21" t="inlineStr">
        <is>
          <t>Jueves</t>
        </is>
      </c>
      <c r="G5" s="21" t="inlineStr">
        <is>
          <t>Viernes</t>
        </is>
      </c>
      <c r="H5" s="21" t="inlineStr">
        <is>
          <t>Viernes</t>
        </is>
      </c>
    </row>
    <row r="7">
      <c r="A7" s="13" t="inlineStr">
        <is>
          <t>Hoy (fecha de corte):</t>
        </is>
      </c>
      <c r="B7" s="22" t="n">
        <v>46216</v>
      </c>
    </row>
    <row r="8">
      <c r="A8" s="12" t="inlineStr">
        <is>
          <t>Nota: cambia la fecha de corte para recalcular Cobrado/Retenido. Las reglas fijan la Fecha de Settlement.</t>
        </is>
      </c>
    </row>
    <row r="10">
      <c r="A10" s="4" t="inlineStr">
        <is>
          <t>Fecha Venta</t>
        </is>
      </c>
      <c r="B10" s="4" t="inlineStr">
        <is>
          <t>Importe Venta</t>
        </is>
      </c>
      <c r="C10" s="4" t="inlineStr">
        <is>
          <t>Importe Comisión</t>
        </is>
      </c>
      <c r="D10" s="4" t="inlineStr">
        <is>
          <t>Importe Refund</t>
        </is>
      </c>
      <c r="E10" s="4" t="inlineStr">
        <is>
          <t>Importe Neto</t>
        </is>
      </c>
      <c r="F10" s="4" t="inlineStr">
        <is>
          <t>Día de Venta</t>
        </is>
      </c>
      <c r="G10" s="4" t="inlineStr">
        <is>
          <t>Fecha de Settlement</t>
        </is>
      </c>
      <c r="H10" s="4" t="inlineStr">
        <is>
          <t>Estado</t>
        </is>
      </c>
      <c r="I10" s="4" t="inlineStr">
        <is>
          <t>Importe Retenido</t>
        </is>
      </c>
      <c r="J10" s="4" t="inlineStr">
        <is>
          <t>Semana</t>
        </is>
      </c>
    </row>
    <row r="11">
      <c r="A11" s="23" t="n">
        <v>45922</v>
      </c>
      <c r="B11" s="17" t="n">
        <v>-33.65</v>
      </c>
      <c r="C11" s="17" t="n">
        <v>0.41</v>
      </c>
      <c r="D11" s="17" t="n">
        <v>0</v>
      </c>
      <c r="E11" s="17">
        <f>B11-C11-D11</f>
        <v/>
      </c>
      <c r="F11" s="16">
        <f>CHOOSE(WEEKDAY(A11,2),"Lunes","Martes","Miércoles","Jueves","Viernes","Sábado","Domingo")</f>
        <v/>
      </c>
      <c r="G11" s="23" t="n">
        <v>45926</v>
      </c>
      <c r="H11" s="16">
        <f>IF(G11&lt;=$B$7,"Cobrado","Retenido")</f>
        <v/>
      </c>
      <c r="I11" s="17">
        <f>IF(H11="Retenido",E11,0)</f>
        <v/>
      </c>
      <c r="J11" s="16" t="inlineStr">
        <is>
          <t>2025-W39</t>
        </is>
      </c>
    </row>
    <row r="12">
      <c r="A12" s="23" t="n">
        <v>45923</v>
      </c>
      <c r="B12" s="17" t="n">
        <v>56839.02</v>
      </c>
      <c r="C12" s="17" t="n">
        <v>788.65</v>
      </c>
      <c r="D12" s="17" t="n">
        <v>0</v>
      </c>
      <c r="E12" s="17">
        <f>B12-C12-D12</f>
        <v/>
      </c>
      <c r="F12" s="16">
        <f>CHOOSE(WEEKDAY(A12,2),"Lunes","Martes","Miércoles","Jueves","Viernes","Sábado","Domingo")</f>
        <v/>
      </c>
      <c r="G12" s="23" t="n">
        <v>45929</v>
      </c>
      <c r="H12" s="16">
        <f>IF(G12&lt;=$B$7,"Cobrado","Retenido")</f>
        <v/>
      </c>
      <c r="I12" s="17">
        <f>IF(H12="Retenido",E12,0)</f>
        <v/>
      </c>
      <c r="J12" s="16" t="inlineStr">
        <is>
          <t>2025-W39</t>
        </is>
      </c>
    </row>
    <row r="13">
      <c r="A13" s="23" t="n">
        <v>45924</v>
      </c>
      <c r="B13" s="17" t="n">
        <v>48289.18</v>
      </c>
      <c r="C13" s="17" t="n">
        <v>567.4400000000001</v>
      </c>
      <c r="D13" s="17" t="n">
        <v>0</v>
      </c>
      <c r="E13" s="17">
        <f>B13-C13-D13</f>
        <v/>
      </c>
      <c r="F13" s="16">
        <f>CHOOSE(WEEKDAY(A13,2),"Lunes","Martes","Miércoles","Jueves","Viernes","Sábado","Domingo")</f>
        <v/>
      </c>
      <c r="G13" s="23" t="n">
        <v>45930</v>
      </c>
      <c r="H13" s="16">
        <f>IF(G13&lt;=$B$7,"Cobrado","Retenido")</f>
        <v/>
      </c>
      <c r="I13" s="17">
        <f>IF(H13="Retenido",E13,0)</f>
        <v/>
      </c>
      <c r="J13" s="16" t="inlineStr">
        <is>
          <t>2025-W39</t>
        </is>
      </c>
    </row>
    <row r="14">
      <c r="A14" s="23" t="n">
        <v>45925</v>
      </c>
      <c r="B14" s="17" t="n">
        <v>235902.11</v>
      </c>
      <c r="C14" s="17" t="n">
        <v>2725.3</v>
      </c>
      <c r="D14" s="17" t="n">
        <v>0</v>
      </c>
      <c r="E14" s="17">
        <f>B14-C14-D14</f>
        <v/>
      </c>
      <c r="F14" s="16">
        <f>CHOOSE(WEEKDAY(A14,2),"Lunes","Martes","Miércoles","Jueves","Viernes","Sábado","Domingo")</f>
        <v/>
      </c>
      <c r="G14" s="23" t="n">
        <v>45931</v>
      </c>
      <c r="H14" s="16">
        <f>IF(G14&lt;=$B$7,"Cobrado","Retenido")</f>
        <v/>
      </c>
      <c r="I14" s="17">
        <f>IF(H14="Retenido",E14,0)</f>
        <v/>
      </c>
      <c r="J14" s="16" t="inlineStr">
        <is>
          <t>2025-W39</t>
        </is>
      </c>
    </row>
    <row r="15">
      <c r="A15" s="23" t="n">
        <v>45926</v>
      </c>
      <c r="B15" s="17" t="n">
        <v>299469.68</v>
      </c>
      <c r="C15" s="17" t="n">
        <v>3652.83</v>
      </c>
      <c r="D15" s="17" t="n">
        <v>0</v>
      </c>
      <c r="E15" s="17">
        <f>B15-C15-D15</f>
        <v/>
      </c>
      <c r="F15" s="16">
        <f>CHOOSE(WEEKDAY(A15,2),"Lunes","Martes","Miércoles","Jueves","Viernes","Sábado","Domingo")</f>
        <v/>
      </c>
      <c r="G15" s="23" t="n">
        <v>45932</v>
      </c>
      <c r="H15" s="16">
        <f>IF(G15&lt;=$B$7,"Cobrado","Retenido")</f>
        <v/>
      </c>
      <c r="I15" s="17">
        <f>IF(H15="Retenido",E15,0)</f>
        <v/>
      </c>
      <c r="J15" s="16" t="inlineStr">
        <is>
          <t>2025-W39</t>
        </is>
      </c>
    </row>
    <row r="16">
      <c r="A16" s="23" t="n">
        <v>45927</v>
      </c>
      <c r="B16" s="17" t="n">
        <v>249544.46</v>
      </c>
      <c r="C16" s="17" t="n">
        <v>2763</v>
      </c>
      <c r="D16" s="17" t="n">
        <v>0</v>
      </c>
      <c r="E16" s="17">
        <f>B16-C16-D16</f>
        <v/>
      </c>
      <c r="F16" s="16">
        <f>CHOOSE(WEEKDAY(A16,2),"Lunes","Martes","Miércoles","Jueves","Viernes","Sábado","Domingo")</f>
        <v/>
      </c>
      <c r="G16" s="23" t="n">
        <v>45933</v>
      </c>
      <c r="H16" s="16">
        <f>IF(G16&lt;=$B$7,"Cobrado","Retenido")</f>
        <v/>
      </c>
      <c r="I16" s="17">
        <f>IF(H16="Retenido",E16,0)</f>
        <v/>
      </c>
      <c r="J16" s="16" t="inlineStr">
        <is>
          <t>2025-W39</t>
        </is>
      </c>
    </row>
    <row r="17">
      <c r="A17" s="23" t="n">
        <v>45928</v>
      </c>
      <c r="B17" s="17" t="n">
        <v>330552.59</v>
      </c>
      <c r="C17" s="17" t="n">
        <v>3529.85</v>
      </c>
      <c r="D17" s="17" t="n">
        <v>0</v>
      </c>
      <c r="E17" s="17">
        <f>B17-C17-D17</f>
        <v/>
      </c>
      <c r="F17" s="16">
        <f>CHOOSE(WEEKDAY(A17,2),"Lunes","Martes","Miércoles","Jueves","Viernes","Sábado","Domingo")</f>
        <v/>
      </c>
      <c r="G17" s="23" t="n">
        <v>45933</v>
      </c>
      <c r="H17" s="16">
        <f>IF(G17&lt;=$B$7,"Cobrado","Retenido")</f>
        <v/>
      </c>
      <c r="I17" s="17">
        <f>IF(H17="Retenido",E17,0)</f>
        <v/>
      </c>
      <c r="J17" s="16" t="inlineStr">
        <is>
          <t>2025-W39</t>
        </is>
      </c>
    </row>
    <row r="18">
      <c r="A18" s="23" t="n">
        <v>45929</v>
      </c>
      <c r="B18" s="17" t="n">
        <v>356898.85</v>
      </c>
      <c r="C18" s="17" t="n">
        <v>4197.91</v>
      </c>
      <c r="D18" s="17" t="n">
        <v>0</v>
      </c>
      <c r="E18" s="17">
        <f>B18-C18-D18</f>
        <v/>
      </c>
      <c r="F18" s="16">
        <f>CHOOSE(WEEKDAY(A18,2),"Lunes","Martes","Miércoles","Jueves","Viernes","Sábado","Domingo")</f>
        <v/>
      </c>
      <c r="G18" s="23" t="n">
        <v>45933</v>
      </c>
      <c r="H18" s="16">
        <f>IF(G18&lt;=$B$7,"Cobrado","Retenido")</f>
        <v/>
      </c>
      <c r="I18" s="17">
        <f>IF(H18="Retenido",E18,0)</f>
        <v/>
      </c>
      <c r="J18" s="16" t="inlineStr">
        <is>
          <t>2025-W40</t>
        </is>
      </c>
    </row>
    <row r="19">
      <c r="A19" s="23" t="n">
        <v>45930</v>
      </c>
      <c r="B19" s="17" t="n">
        <v>380391.93</v>
      </c>
      <c r="C19" s="17" t="n">
        <v>5281.08</v>
      </c>
      <c r="D19" s="17" t="n">
        <v>0</v>
      </c>
      <c r="E19" s="17">
        <f>B19-C19-D19</f>
        <v/>
      </c>
      <c r="F19" s="16">
        <f>CHOOSE(WEEKDAY(A19,2),"Lunes","Martes","Miércoles","Jueves","Viernes","Sábado","Domingo")</f>
        <v/>
      </c>
      <c r="G19" s="23" t="n">
        <v>45936</v>
      </c>
      <c r="H19" s="16">
        <f>IF(G19&lt;=$B$7,"Cobrado","Retenido")</f>
        <v/>
      </c>
      <c r="I19" s="17">
        <f>IF(H19="Retenido",E19,0)</f>
        <v/>
      </c>
      <c r="J19" s="16" t="inlineStr">
        <is>
          <t>2025-W40</t>
        </is>
      </c>
    </row>
    <row r="20">
      <c r="A20" s="23" t="n">
        <v>45931</v>
      </c>
      <c r="B20" s="17" t="n">
        <v>472384.54</v>
      </c>
      <c r="C20" s="17" t="n">
        <v>5916.07</v>
      </c>
      <c r="D20" s="17" t="n">
        <v>0</v>
      </c>
      <c r="E20" s="17">
        <f>B20-C20-D20</f>
        <v/>
      </c>
      <c r="F20" s="16">
        <f>CHOOSE(WEEKDAY(A20,2),"Lunes","Martes","Miércoles","Jueves","Viernes","Sábado","Domingo")</f>
        <v/>
      </c>
      <c r="G20" s="23" t="n">
        <v>45937</v>
      </c>
      <c r="H20" s="16">
        <f>IF(G20&lt;=$B$7,"Cobrado","Retenido")</f>
        <v/>
      </c>
      <c r="I20" s="17">
        <f>IF(H20="Retenido",E20,0)</f>
        <v/>
      </c>
      <c r="J20" s="16" t="inlineStr">
        <is>
          <t>2025-W40</t>
        </is>
      </c>
    </row>
    <row r="21">
      <c r="A21" s="23" t="n">
        <v>45932</v>
      </c>
      <c r="B21" s="17" t="n">
        <v>405681.66</v>
      </c>
      <c r="C21" s="17" t="n">
        <v>5213.26</v>
      </c>
      <c r="D21" s="17" t="n">
        <v>0</v>
      </c>
      <c r="E21" s="17">
        <f>B21-C21-D21</f>
        <v/>
      </c>
      <c r="F21" s="16">
        <f>CHOOSE(WEEKDAY(A21,2),"Lunes","Martes","Miércoles","Jueves","Viernes","Sábado","Domingo")</f>
        <v/>
      </c>
      <c r="G21" s="23" t="n">
        <v>45938</v>
      </c>
      <c r="H21" s="16">
        <f>IF(G21&lt;=$B$7,"Cobrado","Retenido")</f>
        <v/>
      </c>
      <c r="I21" s="17">
        <f>IF(H21="Retenido",E21,0)</f>
        <v/>
      </c>
      <c r="J21" s="16" t="inlineStr">
        <is>
          <t>2025-W40</t>
        </is>
      </c>
    </row>
    <row r="22">
      <c r="A22" s="23" t="n">
        <v>45933</v>
      </c>
      <c r="B22" s="17" t="n">
        <v>363218.41</v>
      </c>
      <c r="C22" s="17" t="n">
        <v>4542.18</v>
      </c>
      <c r="D22" s="17" t="n">
        <v>0</v>
      </c>
      <c r="E22" s="17">
        <f>B22-C22-D22</f>
        <v/>
      </c>
      <c r="F22" s="16">
        <f>CHOOSE(WEEKDAY(A22,2),"Lunes","Martes","Miércoles","Jueves","Viernes","Sábado","Domingo")</f>
        <v/>
      </c>
      <c r="G22" s="23" t="n">
        <v>45939</v>
      </c>
      <c r="H22" s="16">
        <f>IF(G22&lt;=$B$7,"Cobrado","Retenido")</f>
        <v/>
      </c>
      <c r="I22" s="17">
        <f>IF(H22="Retenido",E22,0)</f>
        <v/>
      </c>
      <c r="J22" s="16" t="inlineStr">
        <is>
          <t>2025-W40</t>
        </is>
      </c>
    </row>
    <row r="23">
      <c r="A23" s="23" t="n">
        <v>45934</v>
      </c>
      <c r="B23" s="17" t="n">
        <v>321117.45</v>
      </c>
      <c r="C23" s="17" t="n">
        <v>3933.62</v>
      </c>
      <c r="D23" s="17" t="n">
        <v>0</v>
      </c>
      <c r="E23" s="17">
        <f>B23-C23-D23</f>
        <v/>
      </c>
      <c r="F23" s="16">
        <f>CHOOSE(WEEKDAY(A23,2),"Lunes","Martes","Miércoles","Jueves","Viernes","Sábado","Domingo")</f>
        <v/>
      </c>
      <c r="G23" s="23" t="n">
        <v>45940</v>
      </c>
      <c r="H23" s="16">
        <f>IF(G23&lt;=$B$7,"Cobrado","Retenido")</f>
        <v/>
      </c>
      <c r="I23" s="17">
        <f>IF(H23="Retenido",E23,0)</f>
        <v/>
      </c>
      <c r="J23" s="16" t="inlineStr">
        <is>
          <t>2025-W40</t>
        </is>
      </c>
    </row>
    <row r="24">
      <c r="A24" s="23" t="n">
        <v>45935</v>
      </c>
      <c r="B24" s="17" t="n">
        <v>420242.38</v>
      </c>
      <c r="C24" s="17" t="n">
        <v>5007.01</v>
      </c>
      <c r="D24" s="17" t="n">
        <v>0</v>
      </c>
      <c r="E24" s="17">
        <f>B24-C24-D24</f>
        <v/>
      </c>
      <c r="F24" s="16">
        <f>CHOOSE(WEEKDAY(A24,2),"Lunes","Martes","Miércoles","Jueves","Viernes","Sábado","Domingo")</f>
        <v/>
      </c>
      <c r="G24" s="23" t="n">
        <v>45940</v>
      </c>
      <c r="H24" s="16">
        <f>IF(G24&lt;=$B$7,"Cobrado","Retenido")</f>
        <v/>
      </c>
      <c r="I24" s="17">
        <f>IF(H24="Retenido",E24,0)</f>
        <v/>
      </c>
      <c r="J24" s="16" t="inlineStr">
        <is>
          <t>2025-W40</t>
        </is>
      </c>
    </row>
    <row r="25">
      <c r="A25" s="23" t="n">
        <v>45936</v>
      </c>
      <c r="B25" s="17" t="n">
        <v>395492.84</v>
      </c>
      <c r="C25" s="17" t="n">
        <v>4910.55</v>
      </c>
      <c r="D25" s="17" t="n">
        <v>0</v>
      </c>
      <c r="E25" s="17">
        <f>B25-C25-D25</f>
        <v/>
      </c>
      <c r="F25" s="16">
        <f>CHOOSE(WEEKDAY(A25,2),"Lunes","Martes","Miércoles","Jueves","Viernes","Sábado","Domingo")</f>
        <v/>
      </c>
      <c r="G25" s="23" t="n">
        <v>45940</v>
      </c>
      <c r="H25" s="16">
        <f>IF(G25&lt;=$B$7,"Cobrado","Retenido")</f>
        <v/>
      </c>
      <c r="I25" s="17">
        <f>IF(H25="Retenido",E25,0)</f>
        <v/>
      </c>
      <c r="J25" s="16" t="inlineStr">
        <is>
          <t>2025-W41</t>
        </is>
      </c>
    </row>
    <row r="26">
      <c r="A26" s="23" t="n">
        <v>45937</v>
      </c>
      <c r="B26" s="17" t="n">
        <v>404213.6</v>
      </c>
      <c r="C26" s="17" t="n">
        <v>5129.59</v>
      </c>
      <c r="D26" s="17" t="n">
        <v>0</v>
      </c>
      <c r="E26" s="17">
        <f>B26-C26-D26</f>
        <v/>
      </c>
      <c r="F26" s="16">
        <f>CHOOSE(WEEKDAY(A26,2),"Lunes","Martes","Miércoles","Jueves","Viernes","Sábado","Domingo")</f>
        <v/>
      </c>
      <c r="G26" s="23" t="n">
        <v>45943</v>
      </c>
      <c r="H26" s="16">
        <f>IF(G26&lt;=$B$7,"Cobrado","Retenido")</f>
        <v/>
      </c>
      <c r="I26" s="17">
        <f>IF(H26="Retenido",E26,0)</f>
        <v/>
      </c>
      <c r="J26" s="16" t="inlineStr">
        <is>
          <t>2025-W41</t>
        </is>
      </c>
    </row>
    <row r="27">
      <c r="A27" s="23" t="n">
        <v>45938</v>
      </c>
      <c r="B27" s="17" t="n">
        <v>435309.63</v>
      </c>
      <c r="C27" s="17" t="n">
        <v>5637.29</v>
      </c>
      <c r="D27" s="17" t="n">
        <v>0</v>
      </c>
      <c r="E27" s="17">
        <f>B27-C27-D27</f>
        <v/>
      </c>
      <c r="F27" s="16">
        <f>CHOOSE(WEEKDAY(A27,2),"Lunes","Martes","Miércoles","Jueves","Viernes","Sábado","Domingo")</f>
        <v/>
      </c>
      <c r="G27" s="23" t="n">
        <v>45944</v>
      </c>
      <c r="H27" s="16">
        <f>IF(G27&lt;=$B$7,"Cobrado","Retenido")</f>
        <v/>
      </c>
      <c r="I27" s="17">
        <f>IF(H27="Retenido",E27,0)</f>
        <v/>
      </c>
      <c r="J27" s="16" t="inlineStr">
        <is>
          <t>2025-W41</t>
        </is>
      </c>
    </row>
    <row r="28">
      <c r="A28" s="23" t="n">
        <v>45939</v>
      </c>
      <c r="B28" s="17" t="n">
        <v>385521.68</v>
      </c>
      <c r="C28" s="17" t="n">
        <v>5189.9</v>
      </c>
      <c r="D28" s="17" t="n">
        <v>0</v>
      </c>
      <c r="E28" s="17">
        <f>B28-C28-D28</f>
        <v/>
      </c>
      <c r="F28" s="16">
        <f>CHOOSE(WEEKDAY(A28,2),"Lunes","Martes","Miércoles","Jueves","Viernes","Sábado","Domingo")</f>
        <v/>
      </c>
      <c r="G28" s="23" t="n">
        <v>45945</v>
      </c>
      <c r="H28" s="16">
        <f>IF(G28&lt;=$B$7,"Cobrado","Retenido")</f>
        <v/>
      </c>
      <c r="I28" s="17">
        <f>IF(H28="Retenido",E28,0)</f>
        <v/>
      </c>
      <c r="J28" s="16" t="inlineStr">
        <is>
          <t>2025-W41</t>
        </is>
      </c>
    </row>
    <row r="29">
      <c r="A29" s="23" t="n">
        <v>45940</v>
      </c>
      <c r="B29" s="17" t="n">
        <v>371401.43</v>
      </c>
      <c r="C29" s="17" t="n">
        <v>4880.64</v>
      </c>
      <c r="D29" s="17" t="n">
        <v>0</v>
      </c>
      <c r="E29" s="17">
        <f>B29-C29-D29</f>
        <v/>
      </c>
      <c r="F29" s="16">
        <f>CHOOSE(WEEKDAY(A29,2),"Lunes","Martes","Miércoles","Jueves","Viernes","Sábado","Domingo")</f>
        <v/>
      </c>
      <c r="G29" s="23" t="n">
        <v>45946</v>
      </c>
      <c r="H29" s="16">
        <f>IF(G29&lt;=$B$7,"Cobrado","Retenido")</f>
        <v/>
      </c>
      <c r="I29" s="17">
        <f>IF(H29="Retenido",E29,0)</f>
        <v/>
      </c>
      <c r="J29" s="16" t="inlineStr">
        <is>
          <t>2025-W41</t>
        </is>
      </c>
    </row>
    <row r="30">
      <c r="A30" s="23" t="n">
        <v>45941</v>
      </c>
      <c r="B30" s="17" t="n">
        <v>300738.66</v>
      </c>
      <c r="C30" s="17" t="n">
        <v>3791.43</v>
      </c>
      <c r="D30" s="17" t="n">
        <v>0</v>
      </c>
      <c r="E30" s="17">
        <f>B30-C30-D30</f>
        <v/>
      </c>
      <c r="F30" s="16">
        <f>CHOOSE(WEEKDAY(A30,2),"Lunes","Martes","Miércoles","Jueves","Viernes","Sábado","Domingo")</f>
        <v/>
      </c>
      <c r="G30" s="23" t="n">
        <v>45947</v>
      </c>
      <c r="H30" s="16">
        <f>IF(G30&lt;=$B$7,"Cobrado","Retenido")</f>
        <v/>
      </c>
      <c r="I30" s="17">
        <f>IF(H30="Retenido",E30,0)</f>
        <v/>
      </c>
      <c r="J30" s="16" t="inlineStr">
        <is>
          <t>2025-W41</t>
        </is>
      </c>
    </row>
    <row r="31">
      <c r="A31" s="23" t="n">
        <v>45942</v>
      </c>
      <c r="B31" s="17" t="n">
        <v>381984.88</v>
      </c>
      <c r="C31" s="17" t="n">
        <v>4507.5</v>
      </c>
      <c r="D31" s="17" t="n">
        <v>0</v>
      </c>
      <c r="E31" s="17">
        <f>B31-C31-D31</f>
        <v/>
      </c>
      <c r="F31" s="16">
        <f>CHOOSE(WEEKDAY(A31,2),"Lunes","Martes","Miércoles","Jueves","Viernes","Sábado","Domingo")</f>
        <v/>
      </c>
      <c r="G31" s="23" t="n">
        <v>45947</v>
      </c>
      <c r="H31" s="16">
        <f>IF(G31&lt;=$B$7,"Cobrado","Retenido")</f>
        <v/>
      </c>
      <c r="I31" s="17">
        <f>IF(H31="Retenido",E31,0)</f>
        <v/>
      </c>
      <c r="J31" s="16" t="inlineStr">
        <is>
          <t>2025-W41</t>
        </is>
      </c>
    </row>
    <row r="32">
      <c r="A32" s="23" t="n">
        <v>45943</v>
      </c>
      <c r="B32" s="17" t="n">
        <v>381320.52</v>
      </c>
      <c r="C32" s="17" t="n">
        <v>4739.31</v>
      </c>
      <c r="D32" s="17" t="n">
        <v>0</v>
      </c>
      <c r="E32" s="17">
        <f>B32-C32-D32</f>
        <v/>
      </c>
      <c r="F32" s="16">
        <f>CHOOSE(WEEKDAY(A32,2),"Lunes","Martes","Miércoles","Jueves","Viernes","Sábado","Domingo")</f>
        <v/>
      </c>
      <c r="G32" s="23" t="n">
        <v>45947</v>
      </c>
      <c r="H32" s="16">
        <f>IF(G32&lt;=$B$7,"Cobrado","Retenido")</f>
        <v/>
      </c>
      <c r="I32" s="17">
        <f>IF(H32="Retenido",E32,0)</f>
        <v/>
      </c>
      <c r="J32" s="16" t="inlineStr">
        <is>
          <t>2025-W42</t>
        </is>
      </c>
    </row>
    <row r="33">
      <c r="A33" s="23" t="n">
        <v>45944</v>
      </c>
      <c r="B33" s="17" t="n">
        <v>471541.17</v>
      </c>
      <c r="C33" s="17" t="n">
        <v>6574.93</v>
      </c>
      <c r="D33" s="17" t="n">
        <v>0</v>
      </c>
      <c r="E33" s="17">
        <f>B33-C33-D33</f>
        <v/>
      </c>
      <c r="F33" s="16">
        <f>CHOOSE(WEEKDAY(A33,2),"Lunes","Martes","Miércoles","Jueves","Viernes","Sábado","Domingo")</f>
        <v/>
      </c>
      <c r="G33" s="23" t="n">
        <v>45950</v>
      </c>
      <c r="H33" s="16">
        <f>IF(G33&lt;=$B$7,"Cobrado","Retenido")</f>
        <v/>
      </c>
      <c r="I33" s="17">
        <f>IF(H33="Retenido",E33,0)</f>
        <v/>
      </c>
      <c r="J33" s="16" t="inlineStr">
        <is>
          <t>2025-W42</t>
        </is>
      </c>
    </row>
    <row r="34">
      <c r="A34" s="23" t="n">
        <v>45945</v>
      </c>
      <c r="B34" s="17" t="n">
        <v>448043.19</v>
      </c>
      <c r="C34" s="17" t="n">
        <v>6253.99</v>
      </c>
      <c r="D34" s="17" t="n">
        <v>0</v>
      </c>
      <c r="E34" s="17">
        <f>B34-C34-D34</f>
        <v/>
      </c>
      <c r="F34" s="16">
        <f>CHOOSE(WEEKDAY(A34,2),"Lunes","Martes","Miércoles","Jueves","Viernes","Sábado","Domingo")</f>
        <v/>
      </c>
      <c r="G34" s="23" t="n">
        <v>45951</v>
      </c>
      <c r="H34" s="16">
        <f>IF(G34&lt;=$B$7,"Cobrado","Retenido")</f>
        <v/>
      </c>
      <c r="I34" s="17">
        <f>IF(H34="Retenido",E34,0)</f>
        <v/>
      </c>
      <c r="J34" s="16" t="inlineStr">
        <is>
          <t>2025-W42</t>
        </is>
      </c>
    </row>
    <row r="35">
      <c r="A35" s="23" t="n">
        <v>45946</v>
      </c>
      <c r="B35" s="17" t="n">
        <v>324433.83</v>
      </c>
      <c r="C35" s="17" t="n">
        <v>5225.11</v>
      </c>
      <c r="D35" s="17" t="n">
        <v>0</v>
      </c>
      <c r="E35" s="17">
        <f>B35-C35-D35</f>
        <v/>
      </c>
      <c r="F35" s="16">
        <f>CHOOSE(WEEKDAY(A35,2),"Lunes","Martes","Miércoles","Jueves","Viernes","Sábado","Domingo")</f>
        <v/>
      </c>
      <c r="G35" s="23" t="n">
        <v>45952</v>
      </c>
      <c r="H35" s="16">
        <f>IF(G35&lt;=$B$7,"Cobrado","Retenido")</f>
        <v/>
      </c>
      <c r="I35" s="17">
        <f>IF(H35="Retenido",E35,0)</f>
        <v/>
      </c>
      <c r="J35" s="16" t="inlineStr">
        <is>
          <t>2025-W42</t>
        </is>
      </c>
    </row>
    <row r="36">
      <c r="A36" s="23" t="n">
        <v>45947</v>
      </c>
      <c r="B36" s="17" t="n">
        <v>287664.53</v>
      </c>
      <c r="C36" s="17" t="n">
        <v>4445.45</v>
      </c>
      <c r="D36" s="17" t="n">
        <v>0</v>
      </c>
      <c r="E36" s="17">
        <f>B36-C36-D36</f>
        <v/>
      </c>
      <c r="F36" s="16">
        <f>CHOOSE(WEEKDAY(A36,2),"Lunes","Martes","Miércoles","Jueves","Viernes","Sábado","Domingo")</f>
        <v/>
      </c>
      <c r="G36" s="23" t="n">
        <v>45953</v>
      </c>
      <c r="H36" s="16">
        <f>IF(G36&lt;=$B$7,"Cobrado","Retenido")</f>
        <v/>
      </c>
      <c r="I36" s="17">
        <f>IF(H36="Retenido",E36,0)</f>
        <v/>
      </c>
      <c r="J36" s="16" t="inlineStr">
        <is>
          <t>2025-W42</t>
        </is>
      </c>
    </row>
    <row r="37">
      <c r="A37" s="23" t="n">
        <v>45948</v>
      </c>
      <c r="B37" s="17" t="n">
        <v>337074.21</v>
      </c>
      <c r="C37" s="17" t="n">
        <v>4259.63</v>
      </c>
      <c r="D37" s="17" t="n">
        <v>0</v>
      </c>
      <c r="E37" s="17">
        <f>B37-C37-D37</f>
        <v/>
      </c>
      <c r="F37" s="16">
        <f>CHOOSE(WEEKDAY(A37,2),"Lunes","Martes","Miércoles","Jueves","Viernes","Sábado","Domingo")</f>
        <v/>
      </c>
      <c r="G37" s="23" t="n">
        <v>45954</v>
      </c>
      <c r="H37" s="16">
        <f>IF(G37&lt;=$B$7,"Cobrado","Retenido")</f>
        <v/>
      </c>
      <c r="I37" s="17">
        <f>IF(H37="Retenido",E37,0)</f>
        <v/>
      </c>
      <c r="J37" s="16" t="inlineStr">
        <is>
          <t>2025-W42</t>
        </is>
      </c>
    </row>
    <row r="38">
      <c r="A38" s="23" t="n">
        <v>45949</v>
      </c>
      <c r="B38" s="17" t="n">
        <v>447545.4</v>
      </c>
      <c r="C38" s="17" t="n">
        <v>5532.95</v>
      </c>
      <c r="D38" s="17" t="n">
        <v>0</v>
      </c>
      <c r="E38" s="17">
        <f>B38-C38-D38</f>
        <v/>
      </c>
      <c r="F38" s="16">
        <f>CHOOSE(WEEKDAY(A38,2),"Lunes","Martes","Miércoles","Jueves","Viernes","Sábado","Domingo")</f>
        <v/>
      </c>
      <c r="G38" s="23" t="n">
        <v>45954</v>
      </c>
      <c r="H38" s="16">
        <f>IF(G38&lt;=$B$7,"Cobrado","Retenido")</f>
        <v/>
      </c>
      <c r="I38" s="17">
        <f>IF(H38="Retenido",E38,0)</f>
        <v/>
      </c>
      <c r="J38" s="16" t="inlineStr">
        <is>
          <t>2025-W42</t>
        </is>
      </c>
    </row>
    <row r="39">
      <c r="A39" s="23" t="n">
        <v>45950</v>
      </c>
      <c r="B39" s="17" t="n">
        <v>423788.78</v>
      </c>
      <c r="C39" s="17" t="n">
        <v>5904.13</v>
      </c>
      <c r="D39" s="17" t="n">
        <v>0</v>
      </c>
      <c r="E39" s="17">
        <f>B39-C39-D39</f>
        <v/>
      </c>
      <c r="F39" s="16">
        <f>CHOOSE(WEEKDAY(A39,2),"Lunes","Martes","Miércoles","Jueves","Viernes","Sábado","Domingo")</f>
        <v/>
      </c>
      <c r="G39" s="23" t="n">
        <v>45954</v>
      </c>
      <c r="H39" s="16">
        <f>IF(G39&lt;=$B$7,"Cobrado","Retenido")</f>
        <v/>
      </c>
      <c r="I39" s="17">
        <f>IF(H39="Retenido",E39,0)</f>
        <v/>
      </c>
      <c r="J39" s="16" t="inlineStr">
        <is>
          <t>2025-W43</t>
        </is>
      </c>
    </row>
    <row r="40">
      <c r="A40" s="23" t="n">
        <v>45951</v>
      </c>
      <c r="B40" s="17" t="n">
        <v>468170.84</v>
      </c>
      <c r="C40" s="17" t="n">
        <v>5981.94</v>
      </c>
      <c r="D40" s="17" t="n">
        <v>0</v>
      </c>
      <c r="E40" s="17">
        <f>B40-C40-D40</f>
        <v/>
      </c>
      <c r="F40" s="16">
        <f>CHOOSE(WEEKDAY(A40,2),"Lunes","Martes","Miércoles","Jueves","Viernes","Sábado","Domingo")</f>
        <v/>
      </c>
      <c r="G40" s="23" t="n">
        <v>45957</v>
      </c>
      <c r="H40" s="16">
        <f>IF(G40&lt;=$B$7,"Cobrado","Retenido")</f>
        <v/>
      </c>
      <c r="I40" s="17">
        <f>IF(H40="Retenido",E40,0)</f>
        <v/>
      </c>
      <c r="J40" s="16" t="inlineStr">
        <is>
          <t>2025-W43</t>
        </is>
      </c>
    </row>
    <row r="41">
      <c r="A41" s="23" t="n">
        <v>45952</v>
      </c>
      <c r="B41" s="17" t="n">
        <v>480025.03</v>
      </c>
      <c r="C41" s="17" t="n">
        <v>6693.61</v>
      </c>
      <c r="D41" s="17" t="n">
        <v>0</v>
      </c>
      <c r="E41" s="17">
        <f>B41-C41-D41</f>
        <v/>
      </c>
      <c r="F41" s="16">
        <f>CHOOSE(WEEKDAY(A41,2),"Lunes","Martes","Miércoles","Jueves","Viernes","Sábado","Domingo")</f>
        <v/>
      </c>
      <c r="G41" s="23" t="n">
        <v>45958</v>
      </c>
      <c r="H41" s="16">
        <f>IF(G41&lt;=$B$7,"Cobrado","Retenido")</f>
        <v/>
      </c>
      <c r="I41" s="17">
        <f>IF(H41="Retenido",E41,0)</f>
        <v/>
      </c>
      <c r="J41" s="16" t="inlineStr">
        <is>
          <t>2025-W43</t>
        </is>
      </c>
    </row>
    <row r="42">
      <c r="A42" s="23" t="n">
        <v>45953</v>
      </c>
      <c r="B42" s="17" t="n">
        <v>428426.93</v>
      </c>
      <c r="C42" s="17" t="n">
        <v>6089.97</v>
      </c>
      <c r="D42" s="17" t="n">
        <v>0</v>
      </c>
      <c r="E42" s="17">
        <f>B42-C42-D42</f>
        <v/>
      </c>
      <c r="F42" s="16">
        <f>CHOOSE(WEEKDAY(A42,2),"Lunes","Martes","Miércoles","Jueves","Viernes","Sábado","Domingo")</f>
        <v/>
      </c>
      <c r="G42" s="23" t="n">
        <v>45959</v>
      </c>
      <c r="H42" s="16">
        <f>IF(G42&lt;=$B$7,"Cobrado","Retenido")</f>
        <v/>
      </c>
      <c r="I42" s="17">
        <f>IF(H42="Retenido",E42,0)</f>
        <v/>
      </c>
      <c r="J42" s="16" t="inlineStr">
        <is>
          <t>2025-W43</t>
        </is>
      </c>
    </row>
    <row r="43">
      <c r="A43" s="23" t="n">
        <v>45954</v>
      </c>
      <c r="B43" s="17" t="n">
        <v>366066.87</v>
      </c>
      <c r="C43" s="17" t="n">
        <v>5912.73</v>
      </c>
      <c r="D43" s="17" t="n">
        <v>0</v>
      </c>
      <c r="E43" s="17">
        <f>B43-C43-D43</f>
        <v/>
      </c>
      <c r="F43" s="16">
        <f>CHOOSE(WEEKDAY(A43,2),"Lunes","Martes","Miércoles","Jueves","Viernes","Sábado","Domingo")</f>
        <v/>
      </c>
      <c r="G43" s="23" t="n">
        <v>45960</v>
      </c>
      <c r="H43" s="16">
        <f>IF(G43&lt;=$B$7,"Cobrado","Retenido")</f>
        <v/>
      </c>
      <c r="I43" s="17">
        <f>IF(H43="Retenido",E43,0)</f>
        <v/>
      </c>
      <c r="J43" s="16" t="inlineStr">
        <is>
          <t>2025-W43</t>
        </is>
      </c>
    </row>
    <row r="44">
      <c r="A44" s="23" t="n">
        <v>45955</v>
      </c>
      <c r="B44" s="17" t="n">
        <v>393375.13</v>
      </c>
      <c r="C44" s="17" t="n">
        <v>3005.22</v>
      </c>
      <c r="D44" s="17" t="n">
        <v>0</v>
      </c>
      <c r="E44" s="17">
        <f>B44-C44-D44</f>
        <v/>
      </c>
      <c r="F44" s="16">
        <f>CHOOSE(WEEKDAY(A44,2),"Lunes","Martes","Miércoles","Jueves","Viernes","Sábado","Domingo")</f>
        <v/>
      </c>
      <c r="G44" s="23" t="n">
        <v>45961</v>
      </c>
      <c r="H44" s="16">
        <f>IF(G44&lt;=$B$7,"Cobrado","Retenido")</f>
        <v/>
      </c>
      <c r="I44" s="17">
        <f>IF(H44="Retenido",E44,0)</f>
        <v/>
      </c>
      <c r="J44" s="16" t="inlineStr">
        <is>
          <t>2025-W43</t>
        </is>
      </c>
    </row>
    <row r="45">
      <c r="A45" s="23" t="n">
        <v>45956</v>
      </c>
      <c r="B45" s="17" t="n">
        <v>510221.18</v>
      </c>
      <c r="C45" s="17" t="n">
        <v>3642.11</v>
      </c>
      <c r="D45" s="17" t="n">
        <v>0</v>
      </c>
      <c r="E45" s="17">
        <f>B45-C45-D45</f>
        <v/>
      </c>
      <c r="F45" s="16">
        <f>CHOOSE(WEEKDAY(A45,2),"Lunes","Martes","Miércoles","Jueves","Viernes","Sábado","Domingo")</f>
        <v/>
      </c>
      <c r="G45" s="23" t="n">
        <v>45961</v>
      </c>
      <c r="H45" s="16">
        <f>IF(G45&lt;=$B$7,"Cobrado","Retenido")</f>
        <v/>
      </c>
      <c r="I45" s="17">
        <f>IF(H45="Retenido",E45,0)</f>
        <v/>
      </c>
      <c r="J45" s="16" t="inlineStr">
        <is>
          <t>2025-W43</t>
        </is>
      </c>
    </row>
    <row r="46">
      <c r="A46" s="23" t="n">
        <v>45957</v>
      </c>
      <c r="B46" s="17" t="n">
        <v>430236.32</v>
      </c>
      <c r="C46" s="17" t="n">
        <v>5117.06</v>
      </c>
      <c r="D46" s="17" t="n">
        <v>0</v>
      </c>
      <c r="E46" s="17">
        <f>B46-C46-D46</f>
        <v/>
      </c>
      <c r="F46" s="16">
        <f>CHOOSE(WEEKDAY(A46,2),"Lunes","Martes","Miércoles","Jueves","Viernes","Sábado","Domingo")</f>
        <v/>
      </c>
      <c r="G46" s="23" t="n">
        <v>45961</v>
      </c>
      <c r="H46" s="16">
        <f>IF(G46&lt;=$B$7,"Cobrado","Retenido")</f>
        <v/>
      </c>
      <c r="I46" s="17">
        <f>IF(H46="Retenido",E46,0)</f>
        <v/>
      </c>
      <c r="J46" s="16" t="inlineStr">
        <is>
          <t>2025-W44</t>
        </is>
      </c>
    </row>
    <row r="47">
      <c r="A47" s="23" t="n">
        <v>45958</v>
      </c>
      <c r="B47" s="17" t="n">
        <v>491279.08</v>
      </c>
      <c r="C47" s="17" t="n">
        <v>6150.91</v>
      </c>
      <c r="D47" s="17" t="n">
        <v>0</v>
      </c>
      <c r="E47" s="17">
        <f>B47-C47-D47</f>
        <v/>
      </c>
      <c r="F47" s="16">
        <f>CHOOSE(WEEKDAY(A47,2),"Lunes","Martes","Miércoles","Jueves","Viernes","Sábado","Domingo")</f>
        <v/>
      </c>
      <c r="G47" s="23" t="n">
        <v>45964</v>
      </c>
      <c r="H47" s="16">
        <f>IF(G47&lt;=$B$7,"Cobrado","Retenido")</f>
        <v/>
      </c>
      <c r="I47" s="17">
        <f>IF(H47="Retenido",E47,0)</f>
        <v/>
      </c>
      <c r="J47" s="16" t="inlineStr">
        <is>
          <t>2025-W44</t>
        </is>
      </c>
    </row>
    <row r="48">
      <c r="A48" s="23" t="n">
        <v>45959</v>
      </c>
      <c r="B48" s="17" t="n">
        <v>485765.63</v>
      </c>
      <c r="C48" s="17" t="n">
        <v>5996.92</v>
      </c>
      <c r="D48" s="17" t="n">
        <v>0</v>
      </c>
      <c r="E48" s="17">
        <f>B48-C48-D48</f>
        <v/>
      </c>
      <c r="F48" s="16">
        <f>CHOOSE(WEEKDAY(A48,2),"Lunes","Martes","Miércoles","Jueves","Viernes","Sábado","Domingo")</f>
        <v/>
      </c>
      <c r="G48" s="23" t="n">
        <v>45965</v>
      </c>
      <c r="H48" s="16">
        <f>IF(G48&lt;=$B$7,"Cobrado","Retenido")</f>
        <v/>
      </c>
      <c r="I48" s="17">
        <f>IF(H48="Retenido",E48,0)</f>
        <v/>
      </c>
      <c r="J48" s="16" t="inlineStr">
        <is>
          <t>2025-W44</t>
        </is>
      </c>
    </row>
    <row r="49">
      <c r="A49" s="23" t="n">
        <v>45960</v>
      </c>
      <c r="B49" s="17" t="n">
        <v>402342.06</v>
      </c>
      <c r="C49" s="17" t="n">
        <v>5011.93</v>
      </c>
      <c r="D49" s="17" t="n">
        <v>0</v>
      </c>
      <c r="E49" s="17">
        <f>B49-C49-D49</f>
        <v/>
      </c>
      <c r="F49" s="16">
        <f>CHOOSE(WEEKDAY(A49,2),"Lunes","Martes","Miércoles","Jueves","Viernes","Sábado","Domingo")</f>
        <v/>
      </c>
      <c r="G49" s="23" t="n">
        <v>45966</v>
      </c>
      <c r="H49" s="16">
        <f>IF(G49&lt;=$B$7,"Cobrado","Retenido")</f>
        <v/>
      </c>
      <c r="I49" s="17">
        <f>IF(H49="Retenido",E49,0)</f>
        <v/>
      </c>
      <c r="J49" s="16" t="inlineStr">
        <is>
          <t>2025-W44</t>
        </is>
      </c>
    </row>
    <row r="50">
      <c r="A50" s="23" t="n">
        <v>45961</v>
      </c>
      <c r="B50" s="17" t="n">
        <v>341269.94</v>
      </c>
      <c r="C50" s="17" t="n">
        <v>4710.54</v>
      </c>
      <c r="D50" s="17" t="n">
        <v>0</v>
      </c>
      <c r="E50" s="17">
        <f>B50-C50-D50</f>
        <v/>
      </c>
      <c r="F50" s="16">
        <f>CHOOSE(WEEKDAY(A50,2),"Lunes","Martes","Miércoles","Jueves","Viernes","Sábado","Domingo")</f>
        <v/>
      </c>
      <c r="G50" s="23" t="n">
        <v>45967</v>
      </c>
      <c r="H50" s="16">
        <f>IF(G50&lt;=$B$7,"Cobrado","Retenido")</f>
        <v/>
      </c>
      <c r="I50" s="17">
        <f>IF(H50="Retenido",E50,0)</f>
        <v/>
      </c>
      <c r="J50" s="16" t="inlineStr">
        <is>
          <t>2025-W44</t>
        </is>
      </c>
    </row>
    <row r="51">
      <c r="A51" s="23" t="n">
        <v>45962</v>
      </c>
      <c r="B51" s="17" t="n">
        <v>376472.77</v>
      </c>
      <c r="C51" s="17" t="n">
        <v>4559.99</v>
      </c>
      <c r="D51" s="17" t="n">
        <v>0</v>
      </c>
      <c r="E51" s="17">
        <f>B51-C51-D51</f>
        <v/>
      </c>
      <c r="F51" s="16">
        <f>CHOOSE(WEEKDAY(A51,2),"Lunes","Martes","Miércoles","Jueves","Viernes","Sábado","Domingo")</f>
        <v/>
      </c>
      <c r="G51" s="23" t="n">
        <v>45968</v>
      </c>
      <c r="H51" s="16">
        <f>IF(G51&lt;=$B$7,"Cobrado","Retenido")</f>
        <v/>
      </c>
      <c r="I51" s="17">
        <f>IF(H51="Retenido",E51,0)</f>
        <v/>
      </c>
      <c r="J51" s="16" t="inlineStr">
        <is>
          <t>2025-W44</t>
        </is>
      </c>
    </row>
    <row r="52">
      <c r="A52" s="23" t="n">
        <v>45963</v>
      </c>
      <c r="B52" s="17" t="n">
        <v>527851.5</v>
      </c>
      <c r="C52" s="17" t="n">
        <v>6616.6</v>
      </c>
      <c r="D52" s="17" t="n">
        <v>0</v>
      </c>
      <c r="E52" s="17">
        <f>B52-C52-D52</f>
        <v/>
      </c>
      <c r="F52" s="16">
        <f>CHOOSE(WEEKDAY(A52,2),"Lunes","Martes","Miércoles","Jueves","Viernes","Sábado","Domingo")</f>
        <v/>
      </c>
      <c r="G52" s="23" t="n">
        <v>45968</v>
      </c>
      <c r="H52" s="16">
        <f>IF(G52&lt;=$B$7,"Cobrado","Retenido")</f>
        <v/>
      </c>
      <c r="I52" s="17">
        <f>IF(H52="Retenido",E52,0)</f>
        <v/>
      </c>
      <c r="J52" s="16" t="inlineStr">
        <is>
          <t>2025-W44</t>
        </is>
      </c>
    </row>
    <row r="53">
      <c r="A53" s="23" t="n">
        <v>45964</v>
      </c>
      <c r="B53" s="17" t="n">
        <v>434044.51</v>
      </c>
      <c r="C53" s="17" t="n">
        <v>5660.76</v>
      </c>
      <c r="D53" s="17" t="n">
        <v>0</v>
      </c>
      <c r="E53" s="17">
        <f>B53-C53-D53</f>
        <v/>
      </c>
      <c r="F53" s="16">
        <f>CHOOSE(WEEKDAY(A53,2),"Lunes","Martes","Miércoles","Jueves","Viernes","Sábado","Domingo")</f>
        <v/>
      </c>
      <c r="G53" s="23" t="n">
        <v>45968</v>
      </c>
      <c r="H53" s="16">
        <f>IF(G53&lt;=$B$7,"Cobrado","Retenido")</f>
        <v/>
      </c>
      <c r="I53" s="17">
        <f>IF(H53="Retenido",E53,0)</f>
        <v/>
      </c>
      <c r="J53" s="16" t="inlineStr">
        <is>
          <t>2025-W45</t>
        </is>
      </c>
    </row>
    <row r="54">
      <c r="A54" s="23" t="n">
        <v>45965</v>
      </c>
      <c r="B54" s="17" t="n">
        <v>512143.77</v>
      </c>
      <c r="C54" s="17" t="n">
        <v>6794.12</v>
      </c>
      <c r="D54" s="17" t="n">
        <v>0</v>
      </c>
      <c r="E54" s="17">
        <f>B54-C54-D54</f>
        <v/>
      </c>
      <c r="F54" s="16">
        <f>CHOOSE(WEEKDAY(A54,2),"Lunes","Martes","Miércoles","Jueves","Viernes","Sábado","Domingo")</f>
        <v/>
      </c>
      <c r="G54" s="23" t="n">
        <v>45971</v>
      </c>
      <c r="H54" s="16">
        <f>IF(G54&lt;=$B$7,"Cobrado","Retenido")</f>
        <v/>
      </c>
      <c r="I54" s="17">
        <f>IF(H54="Retenido",E54,0)</f>
        <v/>
      </c>
      <c r="J54" s="16" t="inlineStr">
        <is>
          <t>2025-W45</t>
        </is>
      </c>
    </row>
    <row r="55">
      <c r="A55" s="23" t="n">
        <v>45966</v>
      </c>
      <c r="B55" s="17" t="n">
        <v>490173.89</v>
      </c>
      <c r="C55" s="17" t="n">
        <v>6360.56</v>
      </c>
      <c r="D55" s="17" t="n">
        <v>0</v>
      </c>
      <c r="E55" s="17">
        <f>B55-C55-D55</f>
        <v/>
      </c>
      <c r="F55" s="16">
        <f>CHOOSE(WEEKDAY(A55,2),"Lunes","Martes","Miércoles","Jueves","Viernes","Sábado","Domingo")</f>
        <v/>
      </c>
      <c r="G55" s="23" t="n">
        <v>45972</v>
      </c>
      <c r="H55" s="16">
        <f>IF(G55&lt;=$B$7,"Cobrado","Retenido")</f>
        <v/>
      </c>
      <c r="I55" s="17">
        <f>IF(H55="Retenido",E55,0)</f>
        <v/>
      </c>
      <c r="J55" s="16" t="inlineStr">
        <is>
          <t>2025-W45</t>
        </is>
      </c>
    </row>
    <row r="56">
      <c r="A56" s="23" t="n">
        <v>45967</v>
      </c>
      <c r="B56" s="17" t="n">
        <v>424955.66</v>
      </c>
      <c r="C56" s="17" t="n">
        <v>5815.08</v>
      </c>
      <c r="D56" s="17" t="n">
        <v>0</v>
      </c>
      <c r="E56" s="17">
        <f>B56-C56-D56</f>
        <v/>
      </c>
      <c r="F56" s="16">
        <f>CHOOSE(WEEKDAY(A56,2),"Lunes","Martes","Miércoles","Jueves","Viernes","Sábado","Domingo")</f>
        <v/>
      </c>
      <c r="G56" s="23" t="n">
        <v>45973</v>
      </c>
      <c r="H56" s="16">
        <f>IF(G56&lt;=$B$7,"Cobrado","Retenido")</f>
        <v/>
      </c>
      <c r="I56" s="17">
        <f>IF(H56="Retenido",E56,0)</f>
        <v/>
      </c>
      <c r="J56" s="16" t="inlineStr">
        <is>
          <t>2025-W45</t>
        </is>
      </c>
    </row>
    <row r="57">
      <c r="A57" s="23" t="n">
        <v>45968</v>
      </c>
      <c r="B57" s="17" t="n">
        <v>420129.36</v>
      </c>
      <c r="C57" s="17" t="n">
        <v>5881.3</v>
      </c>
      <c r="D57" s="17" t="n">
        <v>0</v>
      </c>
      <c r="E57" s="17">
        <f>B57-C57-D57</f>
        <v/>
      </c>
      <c r="F57" s="16">
        <f>CHOOSE(WEEKDAY(A57,2),"Lunes","Martes","Miércoles","Jueves","Viernes","Sábado","Domingo")</f>
        <v/>
      </c>
      <c r="G57" s="23" t="n">
        <v>45974</v>
      </c>
      <c r="H57" s="16">
        <f>IF(G57&lt;=$B$7,"Cobrado","Retenido")</f>
        <v/>
      </c>
      <c r="I57" s="17">
        <f>IF(H57="Retenido",E57,0)</f>
        <v/>
      </c>
      <c r="J57" s="16" t="inlineStr">
        <is>
          <t>2025-W45</t>
        </is>
      </c>
    </row>
    <row r="58">
      <c r="A58" s="23" t="n">
        <v>45969</v>
      </c>
      <c r="B58" s="17" t="n">
        <v>374932.93</v>
      </c>
      <c r="C58" s="17" t="n">
        <v>4594</v>
      </c>
      <c r="D58" s="17" t="n">
        <v>0</v>
      </c>
      <c r="E58" s="17">
        <f>B58-C58-D58</f>
        <v/>
      </c>
      <c r="F58" s="16">
        <f>CHOOSE(WEEKDAY(A58,2),"Lunes","Martes","Miércoles","Jueves","Viernes","Sábado","Domingo")</f>
        <v/>
      </c>
      <c r="G58" s="23" t="n">
        <v>45975</v>
      </c>
      <c r="H58" s="16">
        <f>IF(G58&lt;=$B$7,"Cobrado","Retenido")</f>
        <v/>
      </c>
      <c r="I58" s="17">
        <f>IF(H58="Retenido",E58,0)</f>
        <v/>
      </c>
      <c r="J58" s="16" t="inlineStr">
        <is>
          <t>2025-W45</t>
        </is>
      </c>
    </row>
    <row r="59">
      <c r="A59" s="23" t="n">
        <v>45970</v>
      </c>
      <c r="B59" s="17" t="n">
        <v>448750.71</v>
      </c>
      <c r="C59" s="17" t="n">
        <v>5201.85</v>
      </c>
      <c r="D59" s="17" t="n">
        <v>0</v>
      </c>
      <c r="E59" s="17">
        <f>B59-C59-D59</f>
        <v/>
      </c>
      <c r="F59" s="16">
        <f>CHOOSE(WEEKDAY(A59,2),"Lunes","Martes","Miércoles","Jueves","Viernes","Sábado","Domingo")</f>
        <v/>
      </c>
      <c r="G59" s="23" t="n">
        <v>45975</v>
      </c>
      <c r="H59" s="16">
        <f>IF(G59&lt;=$B$7,"Cobrado","Retenido")</f>
        <v/>
      </c>
      <c r="I59" s="17">
        <f>IF(H59="Retenido",E59,0)</f>
        <v/>
      </c>
      <c r="J59" s="16" t="inlineStr">
        <is>
          <t>2025-W45</t>
        </is>
      </c>
    </row>
    <row r="60">
      <c r="A60" s="23" t="n">
        <v>45971</v>
      </c>
      <c r="B60" s="17" t="n">
        <v>534518.17</v>
      </c>
      <c r="C60" s="17" t="n">
        <v>7377.89</v>
      </c>
      <c r="D60" s="17" t="n">
        <v>0</v>
      </c>
      <c r="E60" s="17">
        <f>B60-C60-D60</f>
        <v/>
      </c>
      <c r="F60" s="16">
        <f>CHOOSE(WEEKDAY(A60,2),"Lunes","Martes","Miércoles","Jueves","Viernes","Sábado","Domingo")</f>
        <v/>
      </c>
      <c r="G60" s="23" t="n">
        <v>45975</v>
      </c>
      <c r="H60" s="16">
        <f>IF(G60&lt;=$B$7,"Cobrado","Retenido")</f>
        <v/>
      </c>
      <c r="I60" s="17">
        <f>IF(H60="Retenido",E60,0)</f>
        <v/>
      </c>
      <c r="J60" s="16" t="inlineStr">
        <is>
          <t>2025-W46</t>
        </is>
      </c>
    </row>
    <row r="61">
      <c r="A61" s="23" t="n">
        <v>45972</v>
      </c>
      <c r="B61" s="17" t="n">
        <v>636357.6800000001</v>
      </c>
      <c r="C61" s="17" t="n">
        <v>8201.280000000001</v>
      </c>
      <c r="D61" s="17" t="n">
        <v>0</v>
      </c>
      <c r="E61" s="17">
        <f>B61-C61-D61</f>
        <v/>
      </c>
      <c r="F61" s="16">
        <f>CHOOSE(WEEKDAY(A61,2),"Lunes","Martes","Miércoles","Jueves","Viernes","Sábado","Domingo")</f>
        <v/>
      </c>
      <c r="G61" s="23" t="n">
        <v>45978</v>
      </c>
      <c r="H61" s="16">
        <f>IF(G61&lt;=$B$7,"Cobrado","Retenido")</f>
        <v/>
      </c>
      <c r="I61" s="17">
        <f>IF(H61="Retenido",E61,0)</f>
        <v/>
      </c>
      <c r="J61" s="16" t="inlineStr">
        <is>
          <t>2025-W46</t>
        </is>
      </c>
    </row>
    <row r="62">
      <c r="A62" s="23" t="n">
        <v>45973</v>
      </c>
      <c r="B62" s="17" t="n">
        <v>493608.29</v>
      </c>
      <c r="C62" s="17" t="n">
        <v>6327.97</v>
      </c>
      <c r="D62" s="17" t="n">
        <v>0</v>
      </c>
      <c r="E62" s="17">
        <f>B62-C62-D62</f>
        <v/>
      </c>
      <c r="F62" s="16">
        <f>CHOOSE(WEEKDAY(A62,2),"Lunes","Martes","Miércoles","Jueves","Viernes","Sábado","Domingo")</f>
        <v/>
      </c>
      <c r="G62" s="23" t="n">
        <v>45979</v>
      </c>
      <c r="H62" s="16">
        <f>IF(G62&lt;=$B$7,"Cobrado","Retenido")</f>
        <v/>
      </c>
      <c r="I62" s="17">
        <f>IF(H62="Retenido",E62,0)</f>
        <v/>
      </c>
      <c r="J62" s="16" t="inlineStr">
        <is>
          <t>2025-W46</t>
        </is>
      </c>
    </row>
    <row r="63">
      <c r="A63" s="23" t="n">
        <v>45974</v>
      </c>
      <c r="B63" s="17" t="n">
        <v>437827.76</v>
      </c>
      <c r="C63" s="17" t="n">
        <v>5737.06</v>
      </c>
      <c r="D63" s="17" t="n">
        <v>0</v>
      </c>
      <c r="E63" s="17">
        <f>B63-C63-D63</f>
        <v/>
      </c>
      <c r="F63" s="16">
        <f>CHOOSE(WEEKDAY(A63,2),"Lunes","Martes","Miércoles","Jueves","Viernes","Sábado","Domingo")</f>
        <v/>
      </c>
      <c r="G63" s="23" t="n">
        <v>45980</v>
      </c>
      <c r="H63" s="16">
        <f>IF(G63&lt;=$B$7,"Cobrado","Retenido")</f>
        <v/>
      </c>
      <c r="I63" s="17">
        <f>IF(H63="Retenido",E63,0)</f>
        <v/>
      </c>
      <c r="J63" s="16" t="inlineStr">
        <is>
          <t>2025-W46</t>
        </is>
      </c>
    </row>
    <row r="64">
      <c r="A64" s="23" t="n">
        <v>45975</v>
      </c>
      <c r="B64" s="17" t="n">
        <v>424070.86</v>
      </c>
      <c r="C64" s="17" t="n">
        <v>5912.97</v>
      </c>
      <c r="D64" s="17" t="n">
        <v>0</v>
      </c>
      <c r="E64" s="17">
        <f>B64-C64-D64</f>
        <v/>
      </c>
      <c r="F64" s="16">
        <f>CHOOSE(WEEKDAY(A64,2),"Lunes","Martes","Miércoles","Jueves","Viernes","Sábado","Domingo")</f>
        <v/>
      </c>
      <c r="G64" s="23" t="n">
        <v>45981</v>
      </c>
      <c r="H64" s="16">
        <f>IF(G64&lt;=$B$7,"Cobrado","Retenido")</f>
        <v/>
      </c>
      <c r="I64" s="17">
        <f>IF(H64="Retenido",E64,0)</f>
        <v/>
      </c>
      <c r="J64" s="16" t="inlineStr">
        <is>
          <t>2025-W46</t>
        </is>
      </c>
    </row>
    <row r="65">
      <c r="A65" s="23" t="n">
        <v>45976</v>
      </c>
      <c r="B65" s="17" t="n">
        <v>380312.85</v>
      </c>
      <c r="C65" s="17" t="n">
        <v>5174.78</v>
      </c>
      <c r="D65" s="17" t="n">
        <v>0</v>
      </c>
      <c r="E65" s="17">
        <f>B65-C65-D65</f>
        <v/>
      </c>
      <c r="F65" s="16">
        <f>CHOOSE(WEEKDAY(A65,2),"Lunes","Martes","Miércoles","Jueves","Viernes","Sábado","Domingo")</f>
        <v/>
      </c>
      <c r="G65" s="23" t="n">
        <v>45982</v>
      </c>
      <c r="H65" s="16">
        <f>IF(G65&lt;=$B$7,"Cobrado","Retenido")</f>
        <v/>
      </c>
      <c r="I65" s="17">
        <f>IF(H65="Retenido",E65,0)</f>
        <v/>
      </c>
      <c r="J65" s="16" t="inlineStr">
        <is>
          <t>2025-W46</t>
        </is>
      </c>
    </row>
    <row r="66">
      <c r="A66" s="23" t="n">
        <v>45977</v>
      </c>
      <c r="B66" s="17" t="n">
        <v>515492.93</v>
      </c>
      <c r="C66" s="17" t="n">
        <v>6558.6</v>
      </c>
      <c r="D66" s="17" t="n">
        <v>0</v>
      </c>
      <c r="E66" s="17">
        <f>B66-C66-D66</f>
        <v/>
      </c>
      <c r="F66" s="16">
        <f>CHOOSE(WEEKDAY(A66,2),"Lunes","Martes","Miércoles","Jueves","Viernes","Sábado","Domingo")</f>
        <v/>
      </c>
      <c r="G66" s="23" t="n">
        <v>45982</v>
      </c>
      <c r="H66" s="16">
        <f>IF(G66&lt;=$B$7,"Cobrado","Retenido")</f>
        <v/>
      </c>
      <c r="I66" s="17">
        <f>IF(H66="Retenido",E66,0)</f>
        <v/>
      </c>
      <c r="J66" s="16" t="inlineStr">
        <is>
          <t>2025-W46</t>
        </is>
      </c>
    </row>
    <row r="67">
      <c r="A67" s="23" t="n">
        <v>45978</v>
      </c>
      <c r="B67" s="17" t="n">
        <v>467982.65</v>
      </c>
      <c r="C67" s="17" t="n">
        <v>6383.1</v>
      </c>
      <c r="D67" s="17" t="n">
        <v>0</v>
      </c>
      <c r="E67" s="17">
        <f>B67-C67-D67</f>
        <v/>
      </c>
      <c r="F67" s="16">
        <f>CHOOSE(WEEKDAY(A67,2),"Lunes","Martes","Miércoles","Jueves","Viernes","Sábado","Domingo")</f>
        <v/>
      </c>
      <c r="G67" s="23" t="n">
        <v>45982</v>
      </c>
      <c r="H67" s="16">
        <f>IF(G67&lt;=$B$7,"Cobrado","Retenido")</f>
        <v/>
      </c>
      <c r="I67" s="17">
        <f>IF(H67="Retenido",E67,0)</f>
        <v/>
      </c>
      <c r="J67" s="16" t="inlineStr">
        <is>
          <t>2025-W47</t>
        </is>
      </c>
    </row>
    <row r="68">
      <c r="A68" s="23" t="n">
        <v>45979</v>
      </c>
      <c r="B68" s="17" t="n">
        <v>480111.75</v>
      </c>
      <c r="C68" s="17" t="n">
        <v>6543.17</v>
      </c>
      <c r="D68" s="17" t="n">
        <v>0</v>
      </c>
      <c r="E68" s="17">
        <f>B68-C68-D68</f>
        <v/>
      </c>
      <c r="F68" s="16">
        <f>CHOOSE(WEEKDAY(A68,2),"Lunes","Martes","Miércoles","Jueves","Viernes","Sábado","Domingo")</f>
        <v/>
      </c>
      <c r="G68" s="23" t="n">
        <v>45985</v>
      </c>
      <c r="H68" s="16">
        <f>IF(G68&lt;=$B$7,"Cobrado","Retenido")</f>
        <v/>
      </c>
      <c r="I68" s="17">
        <f>IF(H68="Retenido",E68,0)</f>
        <v/>
      </c>
      <c r="J68" s="16" t="inlineStr">
        <is>
          <t>2025-W47</t>
        </is>
      </c>
    </row>
    <row r="69">
      <c r="A69" s="23" t="n">
        <v>45980</v>
      </c>
      <c r="B69" s="17" t="n">
        <v>453507.95</v>
      </c>
      <c r="C69" s="17" t="n">
        <v>6571.89</v>
      </c>
      <c r="D69" s="17" t="n">
        <v>0</v>
      </c>
      <c r="E69" s="17">
        <f>B69-C69-D69</f>
        <v/>
      </c>
      <c r="F69" s="16">
        <f>CHOOSE(WEEKDAY(A69,2),"Lunes","Martes","Miércoles","Jueves","Viernes","Sábado","Domingo")</f>
        <v/>
      </c>
      <c r="G69" s="23" t="n">
        <v>45986</v>
      </c>
      <c r="H69" s="16">
        <f>IF(G69&lt;=$B$7,"Cobrado","Retenido")</f>
        <v/>
      </c>
      <c r="I69" s="17">
        <f>IF(H69="Retenido",E69,0)</f>
        <v/>
      </c>
      <c r="J69" s="16" t="inlineStr">
        <is>
          <t>2025-W47</t>
        </is>
      </c>
    </row>
    <row r="70">
      <c r="A70" s="23" t="n">
        <v>45981</v>
      </c>
      <c r="B70" s="17" t="n">
        <v>390036.73</v>
      </c>
      <c r="C70" s="17" t="n">
        <v>5430.64</v>
      </c>
      <c r="D70" s="17" t="n">
        <v>0</v>
      </c>
      <c r="E70" s="17">
        <f>B70-C70-D70</f>
        <v/>
      </c>
      <c r="F70" s="16">
        <f>CHOOSE(WEEKDAY(A70,2),"Lunes","Martes","Miércoles","Jueves","Viernes","Sábado","Domingo")</f>
        <v/>
      </c>
      <c r="G70" s="23" t="n">
        <v>45987</v>
      </c>
      <c r="H70" s="16">
        <f>IF(G70&lt;=$B$7,"Cobrado","Retenido")</f>
        <v/>
      </c>
      <c r="I70" s="17">
        <f>IF(H70="Retenido",E70,0)</f>
        <v/>
      </c>
      <c r="J70" s="16" t="inlineStr">
        <is>
          <t>2025-W47</t>
        </is>
      </c>
    </row>
    <row r="71">
      <c r="A71" s="23" t="n">
        <v>45982</v>
      </c>
      <c r="B71" s="17" t="n">
        <v>332158.1</v>
      </c>
      <c r="C71" s="17" t="n">
        <v>4600.93</v>
      </c>
      <c r="D71" s="17" t="n">
        <v>0</v>
      </c>
      <c r="E71" s="17">
        <f>B71-C71-D71</f>
        <v/>
      </c>
      <c r="F71" s="16">
        <f>CHOOSE(WEEKDAY(A71,2),"Lunes","Martes","Miércoles","Jueves","Viernes","Sábado","Domingo")</f>
        <v/>
      </c>
      <c r="G71" s="23" t="n">
        <v>45988</v>
      </c>
      <c r="H71" s="16">
        <f>IF(G71&lt;=$B$7,"Cobrado","Retenido")</f>
        <v/>
      </c>
      <c r="I71" s="17">
        <f>IF(H71="Retenido",E71,0)</f>
        <v/>
      </c>
      <c r="J71" s="16" t="inlineStr">
        <is>
          <t>2025-W47</t>
        </is>
      </c>
    </row>
    <row r="72">
      <c r="A72" s="23" t="n">
        <v>45983</v>
      </c>
      <c r="B72" s="17" t="n">
        <v>326550.73</v>
      </c>
      <c r="C72" s="17" t="n">
        <v>4649.46</v>
      </c>
      <c r="D72" s="17" t="n">
        <v>0</v>
      </c>
      <c r="E72" s="17">
        <f>B72-C72-D72</f>
        <v/>
      </c>
      <c r="F72" s="16">
        <f>CHOOSE(WEEKDAY(A72,2),"Lunes","Martes","Miércoles","Jueves","Viernes","Sábado","Domingo")</f>
        <v/>
      </c>
      <c r="G72" s="23" t="n">
        <v>45989</v>
      </c>
      <c r="H72" s="16">
        <f>IF(G72&lt;=$B$7,"Cobrado","Retenido")</f>
        <v/>
      </c>
      <c r="I72" s="17">
        <f>IF(H72="Retenido",E72,0)</f>
        <v/>
      </c>
      <c r="J72" s="16" t="inlineStr">
        <is>
          <t>2025-W47</t>
        </is>
      </c>
    </row>
    <row r="73">
      <c r="A73" s="23" t="n">
        <v>45984</v>
      </c>
      <c r="B73" s="17" t="n">
        <v>442219.65</v>
      </c>
      <c r="C73" s="17" t="n">
        <v>6116.09</v>
      </c>
      <c r="D73" s="17" t="n">
        <v>0</v>
      </c>
      <c r="E73" s="17">
        <f>B73-C73-D73</f>
        <v/>
      </c>
      <c r="F73" s="16">
        <f>CHOOSE(WEEKDAY(A73,2),"Lunes","Martes","Miércoles","Jueves","Viernes","Sábado","Domingo")</f>
        <v/>
      </c>
      <c r="G73" s="23" t="n">
        <v>45989</v>
      </c>
      <c r="H73" s="16">
        <f>IF(G73&lt;=$B$7,"Cobrado","Retenido")</f>
        <v/>
      </c>
      <c r="I73" s="17">
        <f>IF(H73="Retenido",E73,0)</f>
        <v/>
      </c>
      <c r="J73" s="16" t="inlineStr">
        <is>
          <t>2025-W47</t>
        </is>
      </c>
    </row>
    <row r="74">
      <c r="A74" s="23" t="n">
        <v>45985</v>
      </c>
      <c r="B74" s="17" t="n">
        <v>387571.76</v>
      </c>
      <c r="C74" s="17" t="n">
        <v>5494.99</v>
      </c>
      <c r="D74" s="17" t="n">
        <v>0</v>
      </c>
      <c r="E74" s="17">
        <f>B74-C74-D74</f>
        <v/>
      </c>
      <c r="F74" s="16">
        <f>CHOOSE(WEEKDAY(A74,2),"Lunes","Martes","Miércoles","Jueves","Viernes","Sábado","Domingo")</f>
        <v/>
      </c>
      <c r="G74" s="23" t="n">
        <v>45989</v>
      </c>
      <c r="H74" s="16">
        <f>IF(G74&lt;=$B$7,"Cobrado","Retenido")</f>
        <v/>
      </c>
      <c r="I74" s="17">
        <f>IF(H74="Retenido",E74,0)</f>
        <v/>
      </c>
      <c r="J74" s="16" t="inlineStr">
        <is>
          <t>2025-W48</t>
        </is>
      </c>
    </row>
    <row r="75">
      <c r="A75" s="23" t="n">
        <v>45986</v>
      </c>
      <c r="B75" s="17" t="n">
        <v>449770.9</v>
      </c>
      <c r="C75" s="17" t="n">
        <v>6472.62</v>
      </c>
      <c r="D75" s="17" t="n">
        <v>0</v>
      </c>
      <c r="E75" s="17">
        <f>B75-C75-D75</f>
        <v/>
      </c>
      <c r="F75" s="16">
        <f>CHOOSE(WEEKDAY(A75,2),"Lunes","Martes","Miércoles","Jueves","Viernes","Sábado","Domingo")</f>
        <v/>
      </c>
      <c r="G75" s="23" t="n">
        <v>45992</v>
      </c>
      <c r="H75" s="16">
        <f>IF(G75&lt;=$B$7,"Cobrado","Retenido")</f>
        <v/>
      </c>
      <c r="I75" s="17">
        <f>IF(H75="Retenido",E75,0)</f>
        <v/>
      </c>
      <c r="J75" s="16" t="inlineStr">
        <is>
          <t>2025-W48</t>
        </is>
      </c>
    </row>
    <row r="76">
      <c r="A76" s="23" t="n">
        <v>45987</v>
      </c>
      <c r="B76" s="17" t="n">
        <v>419204</v>
      </c>
      <c r="C76" s="17" t="n">
        <v>6041.87</v>
      </c>
      <c r="D76" s="17" t="n">
        <v>0</v>
      </c>
      <c r="E76" s="17">
        <f>B76-C76-D76</f>
        <v/>
      </c>
      <c r="F76" s="16">
        <f>CHOOSE(WEEKDAY(A76,2),"Lunes","Martes","Miércoles","Jueves","Viernes","Sábado","Domingo")</f>
        <v/>
      </c>
      <c r="G76" s="23" t="n">
        <v>45993</v>
      </c>
      <c r="H76" s="16">
        <f>IF(G76&lt;=$B$7,"Cobrado","Retenido")</f>
        <v/>
      </c>
      <c r="I76" s="17">
        <f>IF(H76="Retenido",E76,0)</f>
        <v/>
      </c>
      <c r="J76" s="16" t="inlineStr">
        <is>
          <t>2025-W48</t>
        </is>
      </c>
    </row>
    <row r="77">
      <c r="A77" s="23" t="n">
        <v>45988</v>
      </c>
      <c r="B77" s="17" t="n">
        <v>385216.23</v>
      </c>
      <c r="C77" s="17" t="n">
        <v>5588.62</v>
      </c>
      <c r="D77" s="17" t="n">
        <v>0</v>
      </c>
      <c r="E77" s="17">
        <f>B77-C77-D77</f>
        <v/>
      </c>
      <c r="F77" s="16">
        <f>CHOOSE(WEEKDAY(A77,2),"Lunes","Martes","Miércoles","Jueves","Viernes","Sábado","Domingo")</f>
        <v/>
      </c>
      <c r="G77" s="23" t="n">
        <v>45994</v>
      </c>
      <c r="H77" s="16">
        <f>IF(G77&lt;=$B$7,"Cobrado","Retenido")</f>
        <v/>
      </c>
      <c r="I77" s="17">
        <f>IF(H77="Retenido",E77,0)</f>
        <v/>
      </c>
      <c r="J77" s="16" t="inlineStr">
        <is>
          <t>2025-W48</t>
        </is>
      </c>
    </row>
    <row r="78">
      <c r="A78" s="23" t="n">
        <v>45989</v>
      </c>
      <c r="B78" s="17" t="n">
        <v>573046.96</v>
      </c>
      <c r="C78" s="17" t="n">
        <v>7758.13</v>
      </c>
      <c r="D78" s="17" t="n">
        <v>0</v>
      </c>
      <c r="E78" s="17">
        <f>B78-C78-D78</f>
        <v/>
      </c>
      <c r="F78" s="16">
        <f>CHOOSE(WEEKDAY(A78,2),"Lunes","Martes","Miércoles","Jueves","Viernes","Sábado","Domingo")</f>
        <v/>
      </c>
      <c r="G78" s="23" t="n">
        <v>45995</v>
      </c>
      <c r="H78" s="16">
        <f>IF(G78&lt;=$B$7,"Cobrado","Retenido")</f>
        <v/>
      </c>
      <c r="I78" s="17">
        <f>IF(H78="Retenido",E78,0)</f>
        <v/>
      </c>
      <c r="J78" s="16" t="inlineStr">
        <is>
          <t>2025-W48</t>
        </is>
      </c>
    </row>
    <row r="79">
      <c r="A79" s="23" t="n">
        <v>45990</v>
      </c>
      <c r="B79" s="17" t="n">
        <v>409961.94</v>
      </c>
      <c r="C79" s="17" t="n">
        <v>5349.37</v>
      </c>
      <c r="D79" s="17" t="n">
        <v>0</v>
      </c>
      <c r="E79" s="17">
        <f>B79-C79-D79</f>
        <v/>
      </c>
      <c r="F79" s="16">
        <f>CHOOSE(WEEKDAY(A79,2),"Lunes","Martes","Miércoles","Jueves","Viernes","Sábado","Domingo")</f>
        <v/>
      </c>
      <c r="G79" s="23" t="n">
        <v>45996</v>
      </c>
      <c r="H79" s="16">
        <f>IF(G79&lt;=$B$7,"Cobrado","Retenido")</f>
        <v/>
      </c>
      <c r="I79" s="17">
        <f>IF(H79="Retenido",E79,0)</f>
        <v/>
      </c>
      <c r="J79" s="16" t="inlineStr">
        <is>
          <t>2025-W48</t>
        </is>
      </c>
    </row>
    <row r="80">
      <c r="A80" s="23" t="n">
        <v>45991</v>
      </c>
      <c r="B80" s="17" t="n">
        <v>554349.42</v>
      </c>
      <c r="C80" s="17" t="n">
        <v>7059.11</v>
      </c>
      <c r="D80" s="17" t="n">
        <v>0</v>
      </c>
      <c r="E80" s="17">
        <f>B80-C80-D80</f>
        <v/>
      </c>
      <c r="F80" s="16">
        <f>CHOOSE(WEEKDAY(A80,2),"Lunes","Martes","Miércoles","Jueves","Viernes","Sábado","Domingo")</f>
        <v/>
      </c>
      <c r="G80" s="23" t="n">
        <v>45996</v>
      </c>
      <c r="H80" s="16">
        <f>IF(G80&lt;=$B$7,"Cobrado","Retenido")</f>
        <v/>
      </c>
      <c r="I80" s="17">
        <f>IF(H80="Retenido",E80,0)</f>
        <v/>
      </c>
      <c r="J80" s="16" t="inlineStr">
        <is>
          <t>2025-W48</t>
        </is>
      </c>
    </row>
    <row r="81">
      <c r="A81" s="23" t="n">
        <v>45992</v>
      </c>
      <c r="B81" s="17" t="n">
        <v>459434.27</v>
      </c>
      <c r="C81" s="17" t="n">
        <v>6159.87</v>
      </c>
      <c r="D81" s="17" t="n">
        <v>0</v>
      </c>
      <c r="E81" s="17">
        <f>B81-C81-D81</f>
        <v/>
      </c>
      <c r="F81" s="16">
        <f>CHOOSE(WEEKDAY(A81,2),"Lunes","Martes","Miércoles","Jueves","Viernes","Sábado","Domingo")</f>
        <v/>
      </c>
      <c r="G81" s="23" t="n">
        <v>45996</v>
      </c>
      <c r="H81" s="16">
        <f>IF(G81&lt;=$B$7,"Cobrado","Retenido")</f>
        <v/>
      </c>
      <c r="I81" s="17">
        <f>IF(H81="Retenido",E81,0)</f>
        <v/>
      </c>
      <c r="J81" s="16" t="inlineStr">
        <is>
          <t>2025-W49</t>
        </is>
      </c>
    </row>
    <row r="82">
      <c r="A82" s="23" t="n">
        <v>45993</v>
      </c>
      <c r="B82" s="17" t="n">
        <v>487813.57</v>
      </c>
      <c r="C82" s="17" t="n">
        <v>6908.48</v>
      </c>
      <c r="D82" s="17" t="n">
        <v>0</v>
      </c>
      <c r="E82" s="17">
        <f>B82-C82-D82</f>
        <v/>
      </c>
      <c r="F82" s="16">
        <f>CHOOSE(WEEKDAY(A82,2),"Lunes","Martes","Miércoles","Jueves","Viernes","Sábado","Domingo")</f>
        <v/>
      </c>
      <c r="G82" s="23" t="n">
        <v>45999</v>
      </c>
      <c r="H82" s="16">
        <f>IF(G82&lt;=$B$7,"Cobrado","Retenido")</f>
        <v/>
      </c>
      <c r="I82" s="17">
        <f>IF(H82="Retenido",E82,0)</f>
        <v/>
      </c>
      <c r="J82" s="16" t="inlineStr">
        <is>
          <t>2025-W49</t>
        </is>
      </c>
    </row>
    <row r="83">
      <c r="A83" s="23" t="n">
        <v>45994</v>
      </c>
      <c r="B83" s="17" t="n">
        <v>396618.55</v>
      </c>
      <c r="C83" s="17" t="n">
        <v>6084.35</v>
      </c>
      <c r="D83" s="17" t="n">
        <v>0</v>
      </c>
      <c r="E83" s="17">
        <f>B83-C83-D83</f>
        <v/>
      </c>
      <c r="F83" s="16">
        <f>CHOOSE(WEEKDAY(A83,2),"Lunes","Martes","Miércoles","Jueves","Viernes","Sábado","Domingo")</f>
        <v/>
      </c>
      <c r="G83" s="23" t="n">
        <v>46000</v>
      </c>
      <c r="H83" s="16">
        <f>IF(G83&lt;=$B$7,"Cobrado","Retenido")</f>
        <v/>
      </c>
      <c r="I83" s="17">
        <f>IF(H83="Retenido",E83,0)</f>
        <v/>
      </c>
      <c r="J83" s="16" t="inlineStr">
        <is>
          <t>2025-W49</t>
        </is>
      </c>
    </row>
    <row r="84">
      <c r="A84" s="23" t="n">
        <v>45995</v>
      </c>
      <c r="B84" s="17" t="n">
        <v>357617.1</v>
      </c>
      <c r="C84" s="17" t="n">
        <v>5382.65</v>
      </c>
      <c r="D84" s="17" t="n">
        <v>0</v>
      </c>
      <c r="E84" s="17">
        <f>B84-C84-D84</f>
        <v/>
      </c>
      <c r="F84" s="16">
        <f>CHOOSE(WEEKDAY(A84,2),"Lunes","Martes","Miércoles","Jueves","Viernes","Sábado","Domingo")</f>
        <v/>
      </c>
      <c r="G84" s="23" t="n">
        <v>46001</v>
      </c>
      <c r="H84" s="16">
        <f>IF(G84&lt;=$B$7,"Cobrado","Retenido")</f>
        <v/>
      </c>
      <c r="I84" s="17">
        <f>IF(H84="Retenido",E84,0)</f>
        <v/>
      </c>
      <c r="J84" s="16" t="inlineStr">
        <is>
          <t>2025-W49</t>
        </is>
      </c>
    </row>
    <row r="85">
      <c r="A85" s="23" t="n">
        <v>45996</v>
      </c>
      <c r="B85" s="17" t="n">
        <v>284209.92</v>
      </c>
      <c r="C85" s="17" t="n">
        <v>4154.4</v>
      </c>
      <c r="D85" s="17" t="n">
        <v>0</v>
      </c>
      <c r="E85" s="17">
        <f>B85-C85-D85</f>
        <v/>
      </c>
      <c r="F85" s="16">
        <f>CHOOSE(WEEKDAY(A85,2),"Lunes","Martes","Miércoles","Jueves","Viernes","Sábado","Domingo")</f>
        <v/>
      </c>
      <c r="G85" s="23" t="n">
        <v>46002</v>
      </c>
      <c r="H85" s="16">
        <f>IF(G85&lt;=$B$7,"Cobrado","Retenido")</f>
        <v/>
      </c>
      <c r="I85" s="17">
        <f>IF(H85="Retenido",E85,0)</f>
        <v/>
      </c>
      <c r="J85" s="16" t="inlineStr">
        <is>
          <t>2025-W49</t>
        </is>
      </c>
    </row>
    <row r="86">
      <c r="A86" s="23" t="n">
        <v>45997</v>
      </c>
      <c r="B86" s="17" t="n">
        <v>276080.45</v>
      </c>
      <c r="C86" s="17" t="n">
        <v>3734.74</v>
      </c>
      <c r="D86" s="17" t="n">
        <v>0</v>
      </c>
      <c r="E86" s="17">
        <f>B86-C86-D86</f>
        <v/>
      </c>
      <c r="F86" s="16">
        <f>CHOOSE(WEEKDAY(A86,2),"Lunes","Martes","Miércoles","Jueves","Viernes","Sábado","Domingo")</f>
        <v/>
      </c>
      <c r="G86" s="23" t="n">
        <v>46003</v>
      </c>
      <c r="H86" s="16">
        <f>IF(G86&lt;=$B$7,"Cobrado","Retenido")</f>
        <v/>
      </c>
      <c r="I86" s="17">
        <f>IF(H86="Retenido",E86,0)</f>
        <v/>
      </c>
      <c r="J86" s="16" t="inlineStr">
        <is>
          <t>2025-W49</t>
        </is>
      </c>
    </row>
    <row r="87">
      <c r="A87" s="23" t="n">
        <v>45998</v>
      </c>
      <c r="B87" s="17" t="n">
        <v>354742.64</v>
      </c>
      <c r="C87" s="17" t="n">
        <v>4980.07</v>
      </c>
      <c r="D87" s="17" t="n">
        <v>0</v>
      </c>
      <c r="E87" s="17">
        <f>B87-C87-D87</f>
        <v/>
      </c>
      <c r="F87" s="16">
        <f>CHOOSE(WEEKDAY(A87,2),"Lunes","Martes","Miércoles","Jueves","Viernes","Sábado","Domingo")</f>
        <v/>
      </c>
      <c r="G87" s="23" t="n">
        <v>46003</v>
      </c>
      <c r="H87" s="16">
        <f>IF(G87&lt;=$B$7,"Cobrado","Retenido")</f>
        <v/>
      </c>
      <c r="I87" s="17">
        <f>IF(H87="Retenido",E87,0)</f>
        <v/>
      </c>
      <c r="J87" s="16" t="inlineStr">
        <is>
          <t>2025-W49</t>
        </is>
      </c>
    </row>
    <row r="88">
      <c r="A88" s="23" t="n">
        <v>45999</v>
      </c>
      <c r="B88" s="17" t="n">
        <v>326953.49</v>
      </c>
      <c r="C88" s="17" t="n">
        <v>4645.46</v>
      </c>
      <c r="D88" s="17" t="n">
        <v>0</v>
      </c>
      <c r="E88" s="17">
        <f>B88-C88-D88</f>
        <v/>
      </c>
      <c r="F88" s="16">
        <f>CHOOSE(WEEKDAY(A88,2),"Lunes","Martes","Miércoles","Jueves","Viernes","Sábado","Domingo")</f>
        <v/>
      </c>
      <c r="G88" s="23" t="n">
        <v>46003</v>
      </c>
      <c r="H88" s="16">
        <f>IF(G88&lt;=$B$7,"Cobrado","Retenido")</f>
        <v/>
      </c>
      <c r="I88" s="17">
        <f>IF(H88="Retenido",E88,0)</f>
        <v/>
      </c>
      <c r="J88" s="16" t="inlineStr">
        <is>
          <t>2025-W50</t>
        </is>
      </c>
    </row>
    <row r="89">
      <c r="A89" s="23" t="n">
        <v>46000</v>
      </c>
      <c r="B89" s="17" t="n">
        <v>364568.25</v>
      </c>
      <c r="C89" s="17" t="n">
        <v>5329.09</v>
      </c>
      <c r="D89" s="17" t="n">
        <v>0</v>
      </c>
      <c r="E89" s="17">
        <f>B89-C89-D89</f>
        <v/>
      </c>
      <c r="F89" s="16">
        <f>CHOOSE(WEEKDAY(A89,2),"Lunes","Martes","Miércoles","Jueves","Viernes","Sábado","Domingo")</f>
        <v/>
      </c>
      <c r="G89" s="23" t="n">
        <v>46006</v>
      </c>
      <c r="H89" s="16">
        <f>IF(G89&lt;=$B$7,"Cobrado","Retenido")</f>
        <v/>
      </c>
      <c r="I89" s="17">
        <f>IF(H89="Retenido",E89,0)</f>
        <v/>
      </c>
      <c r="J89" s="16" t="inlineStr">
        <is>
          <t>2025-W50</t>
        </is>
      </c>
    </row>
    <row r="90">
      <c r="A90" s="23" t="n">
        <v>46001</v>
      </c>
      <c r="B90" s="17" t="n">
        <v>695800.51</v>
      </c>
      <c r="C90" s="17" t="n">
        <v>9916.48</v>
      </c>
      <c r="D90" s="17" t="n">
        <v>0</v>
      </c>
      <c r="E90" s="17">
        <f>B90-C90-D90</f>
        <v/>
      </c>
      <c r="F90" s="16">
        <f>CHOOSE(WEEKDAY(A90,2),"Lunes","Martes","Miércoles","Jueves","Viernes","Sábado","Domingo")</f>
        <v/>
      </c>
      <c r="G90" s="23" t="n">
        <v>46007</v>
      </c>
      <c r="H90" s="16">
        <f>IF(G90&lt;=$B$7,"Cobrado","Retenido")</f>
        <v/>
      </c>
      <c r="I90" s="17">
        <f>IF(H90="Retenido",E90,0)</f>
        <v/>
      </c>
      <c r="J90" s="16" t="inlineStr">
        <is>
          <t>2025-W50</t>
        </is>
      </c>
    </row>
    <row r="91">
      <c r="A91" s="23" t="n">
        <v>46005</v>
      </c>
      <c r="B91" s="17" t="n">
        <v>983318.85</v>
      </c>
      <c r="C91" s="17" t="n">
        <v>13366.41</v>
      </c>
      <c r="D91" s="17" t="n">
        <v>0</v>
      </c>
      <c r="E91" s="17">
        <f>B91-C91-D91</f>
        <v/>
      </c>
      <c r="F91" s="16">
        <f>CHOOSE(WEEKDAY(A91,2),"Lunes","Martes","Miércoles","Jueves","Viernes","Sábado","Domingo")</f>
        <v/>
      </c>
      <c r="G91" s="23" t="n">
        <v>46010</v>
      </c>
      <c r="H91" s="16">
        <f>IF(G91&lt;=$B$7,"Cobrado","Retenido")</f>
        <v/>
      </c>
      <c r="I91" s="17">
        <f>IF(H91="Retenido",E91,0)</f>
        <v/>
      </c>
      <c r="J91" s="16" t="inlineStr">
        <is>
          <t>2025-W50</t>
        </is>
      </c>
    </row>
    <row r="92">
      <c r="A92" s="23" t="n">
        <v>46006</v>
      </c>
      <c r="B92" s="17" t="n">
        <v>379017.56</v>
      </c>
      <c r="C92" s="17" t="n">
        <v>5740.53</v>
      </c>
      <c r="D92" s="17" t="n">
        <v>0</v>
      </c>
      <c r="E92" s="17">
        <f>B92-C92-D92</f>
        <v/>
      </c>
      <c r="F92" s="16">
        <f>CHOOSE(WEEKDAY(A92,2),"Lunes","Martes","Miércoles","Jueves","Viernes","Sábado","Domingo")</f>
        <v/>
      </c>
      <c r="G92" s="23" t="n">
        <v>46010</v>
      </c>
      <c r="H92" s="16">
        <f>IF(G92&lt;=$B$7,"Cobrado","Retenido")</f>
        <v/>
      </c>
      <c r="I92" s="17">
        <f>IF(H92="Retenido",E92,0)</f>
        <v/>
      </c>
      <c r="J92" s="16" t="inlineStr">
        <is>
          <t>2025-W51</t>
        </is>
      </c>
    </row>
    <row r="93">
      <c r="A93" s="23" t="n">
        <v>46007</v>
      </c>
      <c r="B93" s="17" t="n">
        <v>366226.78</v>
      </c>
      <c r="C93" s="17" t="n">
        <v>5785.34</v>
      </c>
      <c r="D93" s="17" t="n">
        <v>0</v>
      </c>
      <c r="E93" s="17">
        <f>B93-C93-D93</f>
        <v/>
      </c>
      <c r="F93" s="16">
        <f>CHOOSE(WEEKDAY(A93,2),"Lunes","Martes","Miércoles","Jueves","Viernes","Sábado","Domingo")</f>
        <v/>
      </c>
      <c r="G93" s="23" t="n">
        <v>46013</v>
      </c>
      <c r="H93" s="16">
        <f>IF(G93&lt;=$B$7,"Cobrado","Retenido")</f>
        <v/>
      </c>
      <c r="I93" s="17">
        <f>IF(H93="Retenido",E93,0)</f>
        <v/>
      </c>
      <c r="J93" s="16" t="inlineStr">
        <is>
          <t>2025-W51</t>
        </is>
      </c>
    </row>
    <row r="94">
      <c r="A94" s="23" t="n">
        <v>46008</v>
      </c>
      <c r="B94" s="17" t="n">
        <v>1114758.41</v>
      </c>
      <c r="C94" s="17" t="n">
        <v>17353.35</v>
      </c>
      <c r="D94" s="17" t="n">
        <v>0</v>
      </c>
      <c r="E94" s="17">
        <f>B94-C94-D94</f>
        <v/>
      </c>
      <c r="F94" s="16">
        <f>CHOOSE(WEEKDAY(A94,2),"Lunes","Martes","Miércoles","Jueves","Viernes","Sábado","Domingo")</f>
        <v/>
      </c>
      <c r="G94" s="23" t="n">
        <v>46014</v>
      </c>
      <c r="H94" s="16">
        <f>IF(G94&lt;=$B$7,"Cobrado","Retenido")</f>
        <v/>
      </c>
      <c r="I94" s="17">
        <f>IF(H94="Retenido",E94,0)</f>
        <v/>
      </c>
      <c r="J94" s="16" t="inlineStr">
        <is>
          <t>2025-W51</t>
        </is>
      </c>
    </row>
    <row r="95">
      <c r="A95" s="23" t="n">
        <v>46010</v>
      </c>
      <c r="B95" s="17" t="n">
        <v>333076.29</v>
      </c>
      <c r="C95" s="17" t="n">
        <v>4592.91</v>
      </c>
      <c r="D95" s="17" t="n">
        <v>0</v>
      </c>
      <c r="E95" s="17">
        <f>B95-C95-D95</f>
        <v/>
      </c>
      <c r="F95" s="16">
        <f>CHOOSE(WEEKDAY(A95,2),"Lunes","Martes","Miércoles","Jueves","Viernes","Sábado","Domingo")</f>
        <v/>
      </c>
      <c r="G95" s="23" t="n">
        <v>46016</v>
      </c>
      <c r="H95" s="16">
        <f>IF(G95&lt;=$B$7,"Cobrado","Retenido")</f>
        <v/>
      </c>
      <c r="I95" s="17">
        <f>IF(H95="Retenido",E95,0)</f>
        <v/>
      </c>
      <c r="J95" s="16" t="inlineStr">
        <is>
          <t>2025-W51</t>
        </is>
      </c>
    </row>
    <row r="96">
      <c r="A96" s="23" t="n">
        <v>46011</v>
      </c>
      <c r="B96" s="17" t="n">
        <v>387905.31</v>
      </c>
      <c r="C96" s="17" t="n">
        <v>5094.89</v>
      </c>
      <c r="D96" s="17" t="n">
        <v>0</v>
      </c>
      <c r="E96" s="17">
        <f>B96-C96-D96</f>
        <v/>
      </c>
      <c r="F96" s="16">
        <f>CHOOSE(WEEKDAY(A96,2),"Lunes","Martes","Miércoles","Jueves","Viernes","Sábado","Domingo")</f>
        <v/>
      </c>
      <c r="G96" s="23" t="n">
        <v>46017</v>
      </c>
      <c r="H96" s="16">
        <f>IF(G96&lt;=$B$7,"Cobrado","Retenido")</f>
        <v/>
      </c>
      <c r="I96" s="17">
        <f>IF(H96="Retenido",E96,0)</f>
        <v/>
      </c>
      <c r="J96" s="16" t="inlineStr">
        <is>
          <t>2025-W51</t>
        </is>
      </c>
    </row>
    <row r="97">
      <c r="A97" s="23" t="n">
        <v>46012</v>
      </c>
      <c r="B97" s="17" t="n">
        <v>396498.67</v>
      </c>
      <c r="C97" s="17" t="n">
        <v>5724.97</v>
      </c>
      <c r="D97" s="17" t="n">
        <v>0</v>
      </c>
      <c r="E97" s="17">
        <f>B97-C97-D97</f>
        <v/>
      </c>
      <c r="F97" s="16">
        <f>CHOOSE(WEEKDAY(A97,2),"Lunes","Martes","Miércoles","Jueves","Viernes","Sábado","Domingo")</f>
        <v/>
      </c>
      <c r="G97" s="23" t="n">
        <v>46017</v>
      </c>
      <c r="H97" s="16">
        <f>IF(G97&lt;=$B$7,"Cobrado","Retenido")</f>
        <v/>
      </c>
      <c r="I97" s="17">
        <f>IF(H97="Retenido",E97,0)</f>
        <v/>
      </c>
      <c r="J97" s="16" t="inlineStr">
        <is>
          <t>2025-W51</t>
        </is>
      </c>
    </row>
    <row r="98">
      <c r="A98" s="23" t="n">
        <v>46013</v>
      </c>
      <c r="B98" s="17" t="n">
        <v>435065.3</v>
      </c>
      <c r="C98" s="17" t="n">
        <v>1225.22</v>
      </c>
      <c r="D98" s="17" t="n">
        <v>0</v>
      </c>
      <c r="E98" s="17">
        <f>B98-C98-D98</f>
        <v/>
      </c>
      <c r="F98" s="16">
        <f>CHOOSE(WEEKDAY(A98,2),"Lunes","Martes","Miércoles","Jueves","Viernes","Sábado","Domingo")</f>
        <v/>
      </c>
      <c r="G98" s="23" t="n">
        <v>46017</v>
      </c>
      <c r="H98" s="16">
        <f>IF(G98&lt;=$B$7,"Cobrado","Retenido")</f>
        <v/>
      </c>
      <c r="I98" s="17">
        <f>IF(H98="Retenido",E98,0)</f>
        <v/>
      </c>
      <c r="J98" s="16" t="inlineStr">
        <is>
          <t>2025-W52</t>
        </is>
      </c>
    </row>
    <row r="99">
      <c r="A99" s="23" t="n">
        <v>46014</v>
      </c>
      <c r="B99" s="17" t="n">
        <v>426311.31</v>
      </c>
      <c r="C99" s="17" t="n">
        <v>6043.89</v>
      </c>
      <c r="D99" s="17" t="n">
        <v>0</v>
      </c>
      <c r="E99" s="17">
        <f>B99-C99-D99</f>
        <v/>
      </c>
      <c r="F99" s="16">
        <f>CHOOSE(WEEKDAY(A99,2),"Lunes","Martes","Miércoles","Jueves","Viernes","Sábado","Domingo")</f>
        <v/>
      </c>
      <c r="G99" s="23" t="n">
        <v>46020</v>
      </c>
      <c r="H99" s="16">
        <f>IF(G99&lt;=$B$7,"Cobrado","Retenido")</f>
        <v/>
      </c>
      <c r="I99" s="17">
        <f>IF(H99="Retenido",E99,0)</f>
        <v/>
      </c>
      <c r="J99" s="16" t="inlineStr">
        <is>
          <t>2025-W52</t>
        </is>
      </c>
    </row>
    <row r="100">
      <c r="A100" s="23" t="n">
        <v>46015</v>
      </c>
      <c r="B100" s="17" t="n">
        <v>1761151.93</v>
      </c>
      <c r="C100" s="17" t="n">
        <v>23834.76</v>
      </c>
      <c r="D100" s="17" t="n">
        <v>0</v>
      </c>
      <c r="E100" s="17">
        <f>B100-C100-D100</f>
        <v/>
      </c>
      <c r="F100" s="16">
        <f>CHOOSE(WEEKDAY(A100,2),"Lunes","Martes","Miércoles","Jueves","Viernes","Sábado","Domingo")</f>
        <v/>
      </c>
      <c r="G100" s="23" t="n">
        <v>46021</v>
      </c>
      <c r="H100" s="16">
        <f>IF(G100&lt;=$B$7,"Cobrado","Retenido")</f>
        <v/>
      </c>
      <c r="I100" s="17">
        <f>IF(H100="Retenido",E100,0)</f>
        <v/>
      </c>
      <c r="J100" s="16" t="inlineStr">
        <is>
          <t>2025-W52</t>
        </is>
      </c>
    </row>
    <row r="101">
      <c r="A101" s="23" t="n">
        <v>46019</v>
      </c>
      <c r="B101" s="17" t="n">
        <v>576325.14</v>
      </c>
      <c r="C101" s="17" t="n">
        <v>8006.1</v>
      </c>
      <c r="D101" s="17" t="n">
        <v>0</v>
      </c>
      <c r="E101" s="17">
        <f>B101-C101-D101</f>
        <v/>
      </c>
      <c r="F101" s="16">
        <f>CHOOSE(WEEKDAY(A101,2),"Lunes","Martes","Miércoles","Jueves","Viernes","Sábado","Domingo")</f>
        <v/>
      </c>
      <c r="G101" s="23" t="n">
        <v>46024</v>
      </c>
      <c r="H101" s="16">
        <f>IF(G101&lt;=$B$7,"Cobrado","Retenido")</f>
        <v/>
      </c>
      <c r="I101" s="17">
        <f>IF(H101="Retenido",E101,0)</f>
        <v/>
      </c>
      <c r="J101" s="16" t="inlineStr">
        <is>
          <t>2025-W52</t>
        </is>
      </c>
    </row>
    <row r="102">
      <c r="A102" s="23" t="n">
        <v>46020</v>
      </c>
      <c r="B102" s="17" t="n">
        <v>588442.1</v>
      </c>
      <c r="C102" s="17" t="n">
        <v>7689.36</v>
      </c>
      <c r="D102" s="17" t="n">
        <v>0</v>
      </c>
      <c r="E102" s="17">
        <f>B102-C102-D102</f>
        <v/>
      </c>
      <c r="F102" s="16">
        <f>CHOOSE(WEEKDAY(A102,2),"Lunes","Martes","Miércoles","Jueves","Viernes","Sábado","Domingo")</f>
        <v/>
      </c>
      <c r="G102" s="23" t="n">
        <v>46024</v>
      </c>
      <c r="H102" s="16">
        <f>IF(G102&lt;=$B$7,"Cobrado","Retenido")</f>
        <v/>
      </c>
      <c r="I102" s="17">
        <f>IF(H102="Retenido",E102,0)</f>
        <v/>
      </c>
      <c r="J102" s="16" t="inlineStr">
        <is>
          <t>2026-W01</t>
        </is>
      </c>
    </row>
    <row r="103">
      <c r="A103" s="23" t="n">
        <v>46021</v>
      </c>
      <c r="B103" s="17" t="n">
        <v>465645.98</v>
      </c>
      <c r="C103" s="17" t="n">
        <v>6209.12</v>
      </c>
      <c r="D103" s="17" t="n">
        <v>0</v>
      </c>
      <c r="E103" s="17">
        <f>B103-C103-D103</f>
        <v/>
      </c>
      <c r="F103" s="16">
        <f>CHOOSE(WEEKDAY(A103,2),"Lunes","Martes","Miércoles","Jueves","Viernes","Sábado","Domingo")</f>
        <v/>
      </c>
      <c r="G103" s="23" t="n">
        <v>46027</v>
      </c>
      <c r="H103" s="16">
        <f>IF(G103&lt;=$B$7,"Cobrado","Retenido")</f>
        <v/>
      </c>
      <c r="I103" s="17">
        <f>IF(H103="Retenido",E103,0)</f>
        <v/>
      </c>
      <c r="J103" s="16" t="inlineStr">
        <is>
          <t>2026-W01</t>
        </is>
      </c>
    </row>
    <row r="104">
      <c r="A104" s="23" t="n">
        <v>46023</v>
      </c>
      <c r="B104" s="17" t="n">
        <v>520578.89</v>
      </c>
      <c r="C104" s="17" t="n">
        <v>7201.43</v>
      </c>
      <c r="D104" s="17" t="n">
        <v>0</v>
      </c>
      <c r="E104" s="17">
        <f>B104-C104-D104</f>
        <v/>
      </c>
      <c r="F104" s="16">
        <f>CHOOSE(WEEKDAY(A104,2),"Lunes","Martes","Miércoles","Jueves","Viernes","Sábado","Domingo")</f>
        <v/>
      </c>
      <c r="G104" s="23" t="n">
        <v>46029</v>
      </c>
      <c r="H104" s="16">
        <f>IF(G104&lt;=$B$7,"Cobrado","Retenido")</f>
        <v/>
      </c>
      <c r="I104" s="17">
        <f>IF(H104="Retenido",E104,0)</f>
        <v/>
      </c>
      <c r="J104" s="16" t="inlineStr">
        <is>
          <t>2026-W01</t>
        </is>
      </c>
    </row>
    <row r="105">
      <c r="A105" s="23" t="n">
        <v>46024</v>
      </c>
      <c r="B105" s="17" t="n">
        <v>683305.64</v>
      </c>
      <c r="C105" s="17" t="n">
        <v>9113.9</v>
      </c>
      <c r="D105" s="17" t="n">
        <v>0</v>
      </c>
      <c r="E105" s="17">
        <f>B105-C105-D105</f>
        <v/>
      </c>
      <c r="F105" s="16">
        <f>CHOOSE(WEEKDAY(A105,2),"Lunes","Martes","Miércoles","Jueves","Viernes","Sábado","Domingo")</f>
        <v/>
      </c>
      <c r="G105" s="23" t="n">
        <v>46030</v>
      </c>
      <c r="H105" s="16">
        <f>IF(G105&lt;=$B$7,"Cobrado","Retenido")</f>
        <v/>
      </c>
      <c r="I105" s="17">
        <f>IF(H105="Retenido",E105,0)</f>
        <v/>
      </c>
      <c r="J105" s="16" t="inlineStr">
        <is>
          <t>2026-W01</t>
        </is>
      </c>
    </row>
    <row r="106">
      <c r="A106" s="23" t="n">
        <v>46025</v>
      </c>
      <c r="B106" s="17" t="n">
        <v>610302.95</v>
      </c>
      <c r="C106" s="17" t="n">
        <v>6669.42</v>
      </c>
      <c r="D106" s="17" t="n">
        <v>0</v>
      </c>
      <c r="E106" s="17">
        <f>B106-C106-D106</f>
        <v/>
      </c>
      <c r="F106" s="16">
        <f>CHOOSE(WEEKDAY(A106,2),"Lunes","Martes","Miércoles","Jueves","Viernes","Sábado","Domingo")</f>
        <v/>
      </c>
      <c r="G106" s="23" t="n">
        <v>46031</v>
      </c>
      <c r="H106" s="16">
        <f>IF(G106&lt;=$B$7,"Cobrado","Retenido")</f>
        <v/>
      </c>
      <c r="I106" s="17">
        <f>IF(H106="Retenido",E106,0)</f>
        <v/>
      </c>
      <c r="J106" s="16" t="inlineStr">
        <is>
          <t>2026-W01</t>
        </is>
      </c>
    </row>
    <row r="107">
      <c r="A107" s="23" t="n">
        <v>46026</v>
      </c>
      <c r="B107" s="17" t="n">
        <v>780036.75</v>
      </c>
      <c r="C107" s="17" t="n">
        <v>8428.870000000001</v>
      </c>
      <c r="D107" s="17" t="n">
        <v>0</v>
      </c>
      <c r="E107" s="17">
        <f>B107-C107-D107</f>
        <v/>
      </c>
      <c r="F107" s="16">
        <f>CHOOSE(WEEKDAY(A107,2),"Lunes","Martes","Miércoles","Jueves","Viernes","Sábado","Domingo")</f>
        <v/>
      </c>
      <c r="G107" s="23" t="n">
        <v>46031</v>
      </c>
      <c r="H107" s="16">
        <f>IF(G107&lt;=$B$7,"Cobrado","Retenido")</f>
        <v/>
      </c>
      <c r="I107" s="17">
        <f>IF(H107="Retenido",E107,0)</f>
        <v/>
      </c>
      <c r="J107" s="16" t="inlineStr">
        <is>
          <t>2026-W01</t>
        </is>
      </c>
    </row>
    <row r="108">
      <c r="A108" s="23" t="n">
        <v>46027</v>
      </c>
      <c r="B108" s="17" t="n">
        <v>675537.3100000001</v>
      </c>
      <c r="C108" s="17" t="n">
        <v>8901.02</v>
      </c>
      <c r="D108" s="17" t="n">
        <v>0</v>
      </c>
      <c r="E108" s="17">
        <f>B108-C108-D108</f>
        <v/>
      </c>
      <c r="F108" s="16">
        <f>CHOOSE(WEEKDAY(A108,2),"Lunes","Martes","Miércoles","Jueves","Viernes","Sábado","Domingo")</f>
        <v/>
      </c>
      <c r="G108" s="23" t="n">
        <v>46031</v>
      </c>
      <c r="H108" s="16">
        <f>IF(G108&lt;=$B$7,"Cobrado","Retenido")</f>
        <v/>
      </c>
      <c r="I108" s="17">
        <f>IF(H108="Retenido",E108,0)</f>
        <v/>
      </c>
      <c r="J108" s="16" t="inlineStr">
        <is>
          <t>2026-W02</t>
        </is>
      </c>
    </row>
    <row r="109">
      <c r="A109" s="23" t="n">
        <v>46028</v>
      </c>
      <c r="B109" s="17" t="n">
        <v>743716.37</v>
      </c>
      <c r="C109" s="17" t="n">
        <v>9948.309999999999</v>
      </c>
      <c r="D109" s="17" t="n">
        <v>0</v>
      </c>
      <c r="E109" s="17">
        <f>B109-C109-D109</f>
        <v/>
      </c>
      <c r="F109" s="16">
        <f>CHOOSE(WEEKDAY(A109,2),"Lunes","Martes","Miércoles","Jueves","Viernes","Sábado","Domingo")</f>
        <v/>
      </c>
      <c r="G109" s="23" t="n">
        <v>46034</v>
      </c>
      <c r="H109" s="16">
        <f>IF(G109&lt;=$B$7,"Cobrado","Retenido")</f>
        <v/>
      </c>
      <c r="I109" s="17">
        <f>IF(H109="Retenido",E109,0)</f>
        <v/>
      </c>
      <c r="J109" s="16" t="inlineStr">
        <is>
          <t>2026-W02</t>
        </is>
      </c>
    </row>
    <row r="110">
      <c r="A110" s="23" t="n">
        <v>46029</v>
      </c>
      <c r="B110" s="17" t="n">
        <v>763294.65</v>
      </c>
      <c r="C110" s="17" t="n">
        <v>10737.2</v>
      </c>
      <c r="D110" s="17" t="n">
        <v>0</v>
      </c>
      <c r="E110" s="17">
        <f>B110-C110-D110</f>
        <v/>
      </c>
      <c r="F110" s="16">
        <f>CHOOSE(WEEKDAY(A110,2),"Lunes","Martes","Miércoles","Jueves","Viernes","Sábado","Domingo")</f>
        <v/>
      </c>
      <c r="G110" s="23" t="n">
        <v>46035</v>
      </c>
      <c r="H110" s="16">
        <f>IF(G110&lt;=$B$7,"Cobrado","Retenido")</f>
        <v/>
      </c>
      <c r="I110" s="17">
        <f>IF(H110="Retenido",E110,0)</f>
        <v/>
      </c>
      <c r="J110" s="16" t="inlineStr">
        <is>
          <t>2026-W02</t>
        </is>
      </c>
    </row>
    <row r="111">
      <c r="A111" s="23" t="n">
        <v>46030</v>
      </c>
      <c r="B111" s="17" t="n">
        <v>838277.1899999999</v>
      </c>
      <c r="C111" s="17" t="n">
        <v>11396.85</v>
      </c>
      <c r="D111" s="17" t="n">
        <v>0</v>
      </c>
      <c r="E111" s="17">
        <f>B111-C111-D111</f>
        <v/>
      </c>
      <c r="F111" s="16">
        <f>CHOOSE(WEEKDAY(A111,2),"Lunes","Martes","Miércoles","Jueves","Viernes","Sábado","Domingo")</f>
        <v/>
      </c>
      <c r="G111" s="23" t="n">
        <v>46036</v>
      </c>
      <c r="H111" s="16">
        <f>IF(G111&lt;=$B$7,"Cobrado","Retenido")</f>
        <v/>
      </c>
      <c r="I111" s="17">
        <f>IF(H111="Retenido",E111,0)</f>
        <v/>
      </c>
      <c r="J111" s="16" t="inlineStr">
        <is>
          <t>2026-W02</t>
        </is>
      </c>
    </row>
    <row r="112">
      <c r="A112" s="23" t="n">
        <v>46031</v>
      </c>
      <c r="B112" s="17" t="n">
        <v>735271.3100000001</v>
      </c>
      <c r="C112" s="17" t="n">
        <v>9898.719999999999</v>
      </c>
      <c r="D112" s="17" t="n">
        <v>0</v>
      </c>
      <c r="E112" s="17">
        <f>B112-C112-D112</f>
        <v/>
      </c>
      <c r="F112" s="16">
        <f>CHOOSE(WEEKDAY(A112,2),"Lunes","Martes","Miércoles","Jueves","Viernes","Sábado","Domingo")</f>
        <v/>
      </c>
      <c r="G112" s="23" t="n">
        <v>46037</v>
      </c>
      <c r="H112" s="16">
        <f>IF(G112&lt;=$B$7,"Cobrado","Retenido")</f>
        <v/>
      </c>
      <c r="I112" s="17">
        <f>IF(H112="Retenido",E112,0)</f>
        <v/>
      </c>
      <c r="J112" s="16" t="inlineStr">
        <is>
          <t>2026-W02</t>
        </is>
      </c>
    </row>
    <row r="113">
      <c r="A113" s="23" t="n">
        <v>46032</v>
      </c>
      <c r="B113" s="17" t="n">
        <v>737177.01</v>
      </c>
      <c r="C113" s="17" t="n">
        <v>9942.74</v>
      </c>
      <c r="D113" s="17" t="n">
        <v>0</v>
      </c>
      <c r="E113" s="17">
        <f>B113-C113-D113</f>
        <v/>
      </c>
      <c r="F113" s="16">
        <f>CHOOSE(WEEKDAY(A113,2),"Lunes","Martes","Miércoles","Jueves","Viernes","Sábado","Domingo")</f>
        <v/>
      </c>
      <c r="G113" s="23" t="n">
        <v>46038</v>
      </c>
      <c r="H113" s="16">
        <f>IF(G113&lt;=$B$7,"Cobrado","Retenido")</f>
        <v/>
      </c>
      <c r="I113" s="17">
        <f>IF(H113="Retenido",E113,0)</f>
        <v/>
      </c>
      <c r="J113" s="16" t="inlineStr">
        <is>
          <t>2026-W02</t>
        </is>
      </c>
    </row>
    <row r="114">
      <c r="A114" s="23" t="n">
        <v>46033</v>
      </c>
      <c r="B114" s="17" t="n">
        <v>863180.72</v>
      </c>
      <c r="C114" s="17" t="n">
        <v>11459.87</v>
      </c>
      <c r="D114" s="17" t="n">
        <v>0</v>
      </c>
      <c r="E114" s="17">
        <f>B114-C114-D114</f>
        <v/>
      </c>
      <c r="F114" s="16">
        <f>CHOOSE(WEEKDAY(A114,2),"Lunes","Martes","Miércoles","Jueves","Viernes","Sábado","Domingo")</f>
        <v/>
      </c>
      <c r="G114" s="23" t="n">
        <v>46038</v>
      </c>
      <c r="H114" s="16">
        <f>IF(G114&lt;=$B$7,"Cobrado","Retenido")</f>
        <v/>
      </c>
      <c r="I114" s="17">
        <f>IF(H114="Retenido",E114,0)</f>
        <v/>
      </c>
      <c r="J114" s="16" t="inlineStr">
        <is>
          <t>2026-W02</t>
        </is>
      </c>
    </row>
    <row r="115">
      <c r="A115" s="23" t="n">
        <v>46034</v>
      </c>
      <c r="B115" s="17" t="n">
        <v>992358.4</v>
      </c>
      <c r="C115" s="17" t="n">
        <v>13545.71</v>
      </c>
      <c r="D115" s="17" t="n">
        <v>0</v>
      </c>
      <c r="E115" s="17">
        <f>B115-C115-D115</f>
        <v/>
      </c>
      <c r="F115" s="16">
        <f>CHOOSE(WEEKDAY(A115,2),"Lunes","Martes","Miércoles","Jueves","Viernes","Sábado","Domingo")</f>
        <v/>
      </c>
      <c r="G115" s="23" t="n">
        <v>46038</v>
      </c>
      <c r="H115" s="16">
        <f>IF(G115&lt;=$B$7,"Cobrado","Retenido")</f>
        <v/>
      </c>
      <c r="I115" s="17">
        <f>IF(H115="Retenido",E115,0)</f>
        <v/>
      </c>
      <c r="J115" s="16" t="inlineStr">
        <is>
          <t>2026-W03</t>
        </is>
      </c>
    </row>
    <row r="116">
      <c r="A116" s="23" t="n">
        <v>46035</v>
      </c>
      <c r="B116" s="17" t="n">
        <v>913748.87</v>
      </c>
      <c r="C116" s="17" t="n">
        <v>12277.82</v>
      </c>
      <c r="D116" s="17" t="n">
        <v>0</v>
      </c>
      <c r="E116" s="17">
        <f>B116-C116-D116</f>
        <v/>
      </c>
      <c r="F116" s="16">
        <f>CHOOSE(WEEKDAY(A116,2),"Lunes","Martes","Miércoles","Jueves","Viernes","Sábado","Domingo")</f>
        <v/>
      </c>
      <c r="G116" s="23" t="n">
        <v>46041</v>
      </c>
      <c r="H116" s="16">
        <f>IF(G116&lt;=$B$7,"Cobrado","Retenido")</f>
        <v/>
      </c>
      <c r="I116" s="17">
        <f>IF(H116="Retenido",E116,0)</f>
        <v/>
      </c>
      <c r="J116" s="16" t="inlineStr">
        <is>
          <t>2026-W03</t>
        </is>
      </c>
    </row>
    <row r="117">
      <c r="A117" s="23" t="n">
        <v>46036</v>
      </c>
      <c r="B117" s="17" t="n">
        <v>901900.24</v>
      </c>
      <c r="C117" s="17" t="n">
        <v>12450.67</v>
      </c>
      <c r="D117" s="17" t="n">
        <v>0</v>
      </c>
      <c r="E117" s="17">
        <f>B117-C117-D117</f>
        <v/>
      </c>
      <c r="F117" s="16">
        <f>CHOOSE(WEEKDAY(A117,2),"Lunes","Martes","Miércoles","Jueves","Viernes","Sábado","Domingo")</f>
        <v/>
      </c>
      <c r="G117" s="23" t="n">
        <v>46042</v>
      </c>
      <c r="H117" s="16">
        <f>IF(G117&lt;=$B$7,"Cobrado","Retenido")</f>
        <v/>
      </c>
      <c r="I117" s="17">
        <f>IF(H117="Retenido",E117,0)</f>
        <v/>
      </c>
      <c r="J117" s="16" t="inlineStr">
        <is>
          <t>2026-W03</t>
        </is>
      </c>
    </row>
    <row r="118">
      <c r="A118" s="23" t="n">
        <v>46037</v>
      </c>
      <c r="B118" s="17" t="n">
        <v>916950.3100000001</v>
      </c>
      <c r="C118" s="17" t="n">
        <v>12591.32</v>
      </c>
      <c r="D118" s="17" t="n">
        <v>0</v>
      </c>
      <c r="E118" s="17">
        <f>B118-C118-D118</f>
        <v/>
      </c>
      <c r="F118" s="16">
        <f>CHOOSE(WEEKDAY(A118,2),"Lunes","Martes","Miércoles","Jueves","Viernes","Sábado","Domingo")</f>
        <v/>
      </c>
      <c r="G118" s="23" t="n">
        <v>46043</v>
      </c>
      <c r="H118" s="16">
        <f>IF(G118&lt;=$B$7,"Cobrado","Retenido")</f>
        <v/>
      </c>
      <c r="I118" s="17">
        <f>IF(H118="Retenido",E118,0)</f>
        <v/>
      </c>
      <c r="J118" s="16" t="inlineStr">
        <is>
          <t>2026-W03</t>
        </is>
      </c>
    </row>
    <row r="119">
      <c r="A119" s="23" t="n">
        <v>46038</v>
      </c>
      <c r="B119" s="17" t="n">
        <v>785286.97</v>
      </c>
      <c r="C119" s="17" t="n">
        <v>11892.07</v>
      </c>
      <c r="D119" s="17" t="n">
        <v>0</v>
      </c>
      <c r="E119" s="17">
        <f>B119-C119-D119</f>
        <v/>
      </c>
      <c r="F119" s="16">
        <f>CHOOSE(WEEKDAY(A119,2),"Lunes","Martes","Miércoles","Jueves","Viernes","Sábado","Domingo")</f>
        <v/>
      </c>
      <c r="G119" s="23" t="n">
        <v>46044</v>
      </c>
      <c r="H119" s="16">
        <f>IF(G119&lt;=$B$7,"Cobrado","Retenido")</f>
        <v/>
      </c>
      <c r="I119" s="17">
        <f>IF(H119="Retenido",E119,0)</f>
        <v/>
      </c>
      <c r="J119" s="16" t="inlineStr">
        <is>
          <t>2026-W03</t>
        </is>
      </c>
    </row>
    <row r="120">
      <c r="A120" s="23" t="n">
        <v>46039</v>
      </c>
      <c r="B120" s="17" t="n">
        <v>821496.71</v>
      </c>
      <c r="C120" s="17" t="n">
        <v>11131.61</v>
      </c>
      <c r="D120" s="17" t="n">
        <v>0</v>
      </c>
      <c r="E120" s="17">
        <f>B120-C120-D120</f>
        <v/>
      </c>
      <c r="F120" s="16">
        <f>CHOOSE(WEEKDAY(A120,2),"Lunes","Martes","Miércoles","Jueves","Viernes","Sábado","Domingo")</f>
        <v/>
      </c>
      <c r="G120" s="23" t="n">
        <v>46045</v>
      </c>
      <c r="H120" s="16">
        <f>IF(G120&lt;=$B$7,"Cobrado","Retenido")</f>
        <v/>
      </c>
      <c r="I120" s="17">
        <f>IF(H120="Retenido",E120,0)</f>
        <v/>
      </c>
      <c r="J120" s="16" t="inlineStr">
        <is>
          <t>2026-W03</t>
        </is>
      </c>
    </row>
    <row r="121">
      <c r="A121" s="23" t="n">
        <v>46040</v>
      </c>
      <c r="B121" s="17" t="n">
        <v>822384.48</v>
      </c>
      <c r="C121" s="17" t="n">
        <v>11193.92</v>
      </c>
      <c r="D121" s="17" t="n">
        <v>0</v>
      </c>
      <c r="E121" s="17">
        <f>B121-C121-D121</f>
        <v/>
      </c>
      <c r="F121" s="16">
        <f>CHOOSE(WEEKDAY(A121,2),"Lunes","Martes","Miércoles","Jueves","Viernes","Sábado","Domingo")</f>
        <v/>
      </c>
      <c r="G121" s="23" t="n">
        <v>46045</v>
      </c>
      <c r="H121" s="16">
        <f>IF(G121&lt;=$B$7,"Cobrado","Retenido")</f>
        <v/>
      </c>
      <c r="I121" s="17">
        <f>IF(H121="Retenido",E121,0)</f>
        <v/>
      </c>
      <c r="J121" s="16" t="inlineStr">
        <is>
          <t>2026-W03</t>
        </is>
      </c>
    </row>
    <row r="122">
      <c r="A122" s="23" t="n">
        <v>46041</v>
      </c>
      <c r="B122" s="17" t="n">
        <v>945781.12</v>
      </c>
      <c r="C122" s="17" t="n">
        <v>13596.53</v>
      </c>
      <c r="D122" s="17" t="n">
        <v>0</v>
      </c>
      <c r="E122" s="17">
        <f>B122-C122-D122</f>
        <v/>
      </c>
      <c r="F122" s="16">
        <f>CHOOSE(WEEKDAY(A122,2),"Lunes","Martes","Miércoles","Jueves","Viernes","Sábado","Domingo")</f>
        <v/>
      </c>
      <c r="G122" s="23" t="n">
        <v>46045</v>
      </c>
      <c r="H122" s="16">
        <f>IF(G122&lt;=$B$7,"Cobrado","Retenido")</f>
        <v/>
      </c>
      <c r="I122" s="17">
        <f>IF(H122="Retenido",E122,0)</f>
        <v/>
      </c>
      <c r="J122" s="16" t="inlineStr">
        <is>
          <t>2026-W04</t>
        </is>
      </c>
    </row>
    <row r="123">
      <c r="A123" s="23" t="n">
        <v>46042</v>
      </c>
      <c r="B123" s="17" t="n">
        <v>838636.6</v>
      </c>
      <c r="C123" s="17" t="n">
        <v>12098.85</v>
      </c>
      <c r="D123" s="17" t="n">
        <v>0</v>
      </c>
      <c r="E123" s="17">
        <f>B123-C123-D123</f>
        <v/>
      </c>
      <c r="F123" s="16">
        <f>CHOOSE(WEEKDAY(A123,2),"Lunes","Martes","Miércoles","Jueves","Viernes","Sábado","Domingo")</f>
        <v/>
      </c>
      <c r="G123" s="23" t="n">
        <v>46048</v>
      </c>
      <c r="H123" s="16">
        <f>IF(G123&lt;=$B$7,"Cobrado","Retenido")</f>
        <v/>
      </c>
      <c r="I123" s="17">
        <f>IF(H123="Retenido",E123,0)</f>
        <v/>
      </c>
      <c r="J123" s="16" t="inlineStr">
        <is>
          <t>2026-W04</t>
        </is>
      </c>
    </row>
    <row r="124">
      <c r="A124" s="23" t="n">
        <v>46043</v>
      </c>
      <c r="B124" s="17" t="n">
        <v>926333.99</v>
      </c>
      <c r="C124" s="17" t="n">
        <v>12742.86</v>
      </c>
      <c r="D124" s="17" t="n">
        <v>0</v>
      </c>
      <c r="E124" s="17">
        <f>B124-C124-D124</f>
        <v/>
      </c>
      <c r="F124" s="16">
        <f>CHOOSE(WEEKDAY(A124,2),"Lunes","Martes","Miércoles","Jueves","Viernes","Sábado","Domingo")</f>
        <v/>
      </c>
      <c r="G124" s="23" t="n">
        <v>46049</v>
      </c>
      <c r="H124" s="16">
        <f>IF(G124&lt;=$B$7,"Cobrado","Retenido")</f>
        <v/>
      </c>
      <c r="I124" s="17">
        <f>IF(H124="Retenido",E124,0)</f>
        <v/>
      </c>
      <c r="J124" s="16" t="inlineStr">
        <is>
          <t>2026-W04</t>
        </is>
      </c>
    </row>
    <row r="125">
      <c r="A125" s="23" t="n">
        <v>46044</v>
      </c>
      <c r="B125" s="17" t="n">
        <v>797926.78</v>
      </c>
      <c r="C125" s="17" t="n">
        <v>11633.58</v>
      </c>
      <c r="D125" s="17" t="n">
        <v>0</v>
      </c>
      <c r="E125" s="17">
        <f>B125-C125-D125</f>
        <v/>
      </c>
      <c r="F125" s="16">
        <f>CHOOSE(WEEKDAY(A125,2),"Lunes","Martes","Miércoles","Jueves","Viernes","Sábado","Domingo")</f>
        <v/>
      </c>
      <c r="G125" s="23" t="n">
        <v>46050</v>
      </c>
      <c r="H125" s="16">
        <f>IF(G125&lt;=$B$7,"Cobrado","Retenido")</f>
        <v/>
      </c>
      <c r="I125" s="17">
        <f>IF(H125="Retenido",E125,0)</f>
        <v/>
      </c>
      <c r="J125" s="16" t="inlineStr">
        <is>
          <t>2026-W04</t>
        </is>
      </c>
    </row>
    <row r="126">
      <c r="A126" s="23" t="n">
        <v>46045</v>
      </c>
      <c r="B126" s="17" t="n">
        <v>702624.77</v>
      </c>
      <c r="C126" s="17" t="n">
        <v>10584.08</v>
      </c>
      <c r="D126" s="17" t="n">
        <v>0</v>
      </c>
      <c r="E126" s="17">
        <f>B126-C126-D126</f>
        <v/>
      </c>
      <c r="F126" s="16">
        <f>CHOOSE(WEEKDAY(A126,2),"Lunes","Martes","Miércoles","Jueves","Viernes","Sábado","Domingo")</f>
        <v/>
      </c>
      <c r="G126" s="23" t="n">
        <v>46051</v>
      </c>
      <c r="H126" s="16">
        <f>IF(G126&lt;=$B$7,"Cobrado","Retenido")</f>
        <v/>
      </c>
      <c r="I126" s="17">
        <f>IF(H126="Retenido",E126,0)</f>
        <v/>
      </c>
      <c r="J126" s="16" t="inlineStr">
        <is>
          <t>2026-W04</t>
        </is>
      </c>
    </row>
    <row r="127">
      <c r="A127" s="23" t="n">
        <v>46046</v>
      </c>
      <c r="B127" s="17" t="n">
        <v>699362.97</v>
      </c>
      <c r="C127" s="17" t="n">
        <v>9957.93</v>
      </c>
      <c r="D127" s="17" t="n">
        <v>0</v>
      </c>
      <c r="E127" s="17">
        <f>B127-C127-D127</f>
        <v/>
      </c>
      <c r="F127" s="16">
        <f>CHOOSE(WEEKDAY(A127,2),"Lunes","Martes","Miércoles","Jueves","Viernes","Sábado","Domingo")</f>
        <v/>
      </c>
      <c r="G127" s="23" t="n">
        <v>46052</v>
      </c>
      <c r="H127" s="16">
        <f>IF(G127&lt;=$B$7,"Cobrado","Retenido")</f>
        <v/>
      </c>
      <c r="I127" s="17">
        <f>IF(H127="Retenido",E127,0)</f>
        <v/>
      </c>
      <c r="J127" s="16" t="inlineStr">
        <is>
          <t>2026-W04</t>
        </is>
      </c>
    </row>
    <row r="128">
      <c r="A128" s="23" t="n">
        <v>46047</v>
      </c>
      <c r="B128" s="17" t="n">
        <v>854165.1800000001</v>
      </c>
      <c r="C128" s="17" t="n">
        <v>11663.16</v>
      </c>
      <c r="D128" s="17" t="n">
        <v>0</v>
      </c>
      <c r="E128" s="17">
        <f>B128-C128-D128</f>
        <v/>
      </c>
      <c r="F128" s="16">
        <f>CHOOSE(WEEKDAY(A128,2),"Lunes","Martes","Miércoles","Jueves","Viernes","Sábado","Domingo")</f>
        <v/>
      </c>
      <c r="G128" s="23" t="n">
        <v>46052</v>
      </c>
      <c r="H128" s="16">
        <f>IF(G128&lt;=$B$7,"Cobrado","Retenido")</f>
        <v/>
      </c>
      <c r="I128" s="17">
        <f>IF(H128="Retenido",E128,0)</f>
        <v/>
      </c>
      <c r="J128" s="16" t="inlineStr">
        <is>
          <t>2026-W04</t>
        </is>
      </c>
    </row>
    <row r="129">
      <c r="A129" s="23" t="n">
        <v>46048</v>
      </c>
      <c r="B129" s="17" t="n">
        <v>918057.98</v>
      </c>
      <c r="C129" s="17" t="n">
        <v>13686.79</v>
      </c>
      <c r="D129" s="17" t="n">
        <v>0</v>
      </c>
      <c r="E129" s="17">
        <f>B129-C129-D129</f>
        <v/>
      </c>
      <c r="F129" s="16">
        <f>CHOOSE(WEEKDAY(A129,2),"Lunes","Martes","Miércoles","Jueves","Viernes","Sábado","Domingo")</f>
        <v/>
      </c>
      <c r="G129" s="23" t="n">
        <v>46052</v>
      </c>
      <c r="H129" s="16">
        <f>IF(G129&lt;=$B$7,"Cobrado","Retenido")</f>
        <v/>
      </c>
      <c r="I129" s="17">
        <f>IF(H129="Retenido",E129,0)</f>
        <v/>
      </c>
      <c r="J129" s="16" t="inlineStr">
        <is>
          <t>2026-W05</t>
        </is>
      </c>
    </row>
    <row r="130">
      <c r="A130" s="23" t="n">
        <v>46049</v>
      </c>
      <c r="B130" s="17" t="n">
        <v>804421.6</v>
      </c>
      <c r="C130" s="17" t="n">
        <v>11308.15</v>
      </c>
      <c r="D130" s="17" t="n">
        <v>0</v>
      </c>
      <c r="E130" s="17">
        <f>B130-C130-D130</f>
        <v/>
      </c>
      <c r="F130" s="16">
        <f>CHOOSE(WEEKDAY(A130,2),"Lunes","Martes","Miércoles","Jueves","Viernes","Sábado","Domingo")</f>
        <v/>
      </c>
      <c r="G130" s="23" t="n">
        <v>46055</v>
      </c>
      <c r="H130" s="16">
        <f>IF(G130&lt;=$B$7,"Cobrado","Retenido")</f>
        <v/>
      </c>
      <c r="I130" s="17">
        <f>IF(H130="Retenido",E130,0)</f>
        <v/>
      </c>
      <c r="J130" s="16" t="inlineStr">
        <is>
          <t>2026-W05</t>
        </is>
      </c>
    </row>
    <row r="131">
      <c r="A131" s="23" t="n">
        <v>46050</v>
      </c>
      <c r="B131" s="17" t="n">
        <v>874841.74</v>
      </c>
      <c r="C131" s="17" t="n">
        <v>12705.56</v>
      </c>
      <c r="D131" s="17" t="n">
        <v>0</v>
      </c>
      <c r="E131" s="17">
        <f>B131-C131-D131</f>
        <v/>
      </c>
      <c r="F131" s="16">
        <f>CHOOSE(WEEKDAY(A131,2),"Lunes","Martes","Miércoles","Jueves","Viernes","Sábado","Domingo")</f>
        <v/>
      </c>
      <c r="G131" s="23" t="n">
        <v>46056</v>
      </c>
      <c r="H131" s="16">
        <f>IF(G131&lt;=$B$7,"Cobrado","Retenido")</f>
        <v/>
      </c>
      <c r="I131" s="17">
        <f>IF(H131="Retenido",E131,0)</f>
        <v/>
      </c>
      <c r="J131" s="16" t="inlineStr">
        <is>
          <t>2026-W05</t>
        </is>
      </c>
    </row>
    <row r="132">
      <c r="A132" s="23" t="n">
        <v>46051</v>
      </c>
      <c r="B132" s="17" t="n">
        <v>942722.0699999999</v>
      </c>
      <c r="C132" s="17" t="n">
        <v>13561.51</v>
      </c>
      <c r="D132" s="17" t="n">
        <v>0</v>
      </c>
      <c r="E132" s="17">
        <f>B132-C132-D132</f>
        <v/>
      </c>
      <c r="F132" s="16">
        <f>CHOOSE(WEEKDAY(A132,2),"Lunes","Martes","Miércoles","Jueves","Viernes","Sábado","Domingo")</f>
        <v/>
      </c>
      <c r="G132" s="23" t="n">
        <v>46057</v>
      </c>
      <c r="H132" s="16">
        <f>IF(G132&lt;=$B$7,"Cobrado","Retenido")</f>
        <v/>
      </c>
      <c r="I132" s="17">
        <f>IF(H132="Retenido",E132,0)</f>
        <v/>
      </c>
      <c r="J132" s="16" t="inlineStr">
        <is>
          <t>2026-W05</t>
        </is>
      </c>
    </row>
    <row r="133">
      <c r="A133" s="23" t="n">
        <v>46052</v>
      </c>
      <c r="B133" s="17" t="n">
        <v>838143.21</v>
      </c>
      <c r="C133" s="17" t="n">
        <v>12206.17</v>
      </c>
      <c r="D133" s="17" t="n">
        <v>0</v>
      </c>
      <c r="E133" s="17">
        <f>B133-C133-D133</f>
        <v/>
      </c>
      <c r="F133" s="16">
        <f>CHOOSE(WEEKDAY(A133,2),"Lunes","Martes","Miércoles","Jueves","Viernes","Sábado","Domingo")</f>
        <v/>
      </c>
      <c r="G133" s="23" t="n">
        <v>46058</v>
      </c>
      <c r="H133" s="16">
        <f>IF(G133&lt;=$B$7,"Cobrado","Retenido")</f>
        <v/>
      </c>
      <c r="I133" s="17">
        <f>IF(H133="Retenido",E133,0)</f>
        <v/>
      </c>
      <c r="J133" s="16" t="inlineStr">
        <is>
          <t>2026-W05</t>
        </is>
      </c>
    </row>
    <row r="134">
      <c r="A134" s="23" t="n">
        <v>46053</v>
      </c>
      <c r="B134" s="17" t="n">
        <v>800964.48</v>
      </c>
      <c r="C134" s="17" t="n">
        <v>11466.42</v>
      </c>
      <c r="D134" s="17" t="n">
        <v>0</v>
      </c>
      <c r="E134" s="17">
        <f>B134-C134-D134</f>
        <v/>
      </c>
      <c r="F134" s="16">
        <f>CHOOSE(WEEKDAY(A134,2),"Lunes","Martes","Miércoles","Jueves","Viernes","Sábado","Domingo")</f>
        <v/>
      </c>
      <c r="G134" s="23" t="n">
        <v>46059</v>
      </c>
      <c r="H134" s="16">
        <f>IF(G134&lt;=$B$7,"Cobrado","Retenido")</f>
        <v/>
      </c>
      <c r="I134" s="17">
        <f>IF(H134="Retenido",E134,0)</f>
        <v/>
      </c>
      <c r="J134" s="16" t="inlineStr">
        <is>
          <t>2026-W05</t>
        </is>
      </c>
    </row>
    <row r="135">
      <c r="A135" s="23" t="n">
        <v>46054</v>
      </c>
      <c r="B135" s="17" t="n">
        <v>848339.5699999999</v>
      </c>
      <c r="C135" s="17" t="n">
        <v>11651.47</v>
      </c>
      <c r="D135" s="17" t="n">
        <v>0</v>
      </c>
      <c r="E135" s="17">
        <f>B135-C135-D135</f>
        <v/>
      </c>
      <c r="F135" s="16">
        <f>CHOOSE(WEEKDAY(A135,2),"Lunes","Martes","Miércoles","Jueves","Viernes","Sábado","Domingo")</f>
        <v/>
      </c>
      <c r="G135" s="23" t="n">
        <v>46059</v>
      </c>
      <c r="H135" s="16">
        <f>IF(G135&lt;=$B$7,"Cobrado","Retenido")</f>
        <v/>
      </c>
      <c r="I135" s="17">
        <f>IF(H135="Retenido",E135,0)</f>
        <v/>
      </c>
      <c r="J135" s="16" t="inlineStr">
        <is>
          <t>2026-W05</t>
        </is>
      </c>
    </row>
    <row r="136">
      <c r="A136" s="23" t="n">
        <v>46055</v>
      </c>
      <c r="B136" s="17" t="n">
        <v>1026401.39</v>
      </c>
      <c r="C136" s="17" t="n">
        <v>15555.18</v>
      </c>
      <c r="D136" s="17" t="n">
        <v>0</v>
      </c>
      <c r="E136" s="17">
        <f>B136-C136-D136</f>
        <v/>
      </c>
      <c r="F136" s="16">
        <f>CHOOSE(WEEKDAY(A136,2),"Lunes","Martes","Miércoles","Jueves","Viernes","Sábado","Domingo")</f>
        <v/>
      </c>
      <c r="G136" s="23" t="n">
        <v>46059</v>
      </c>
      <c r="H136" s="16">
        <f>IF(G136&lt;=$B$7,"Cobrado","Retenido")</f>
        <v/>
      </c>
      <c r="I136" s="17">
        <f>IF(H136="Retenido",E136,0)</f>
        <v/>
      </c>
      <c r="J136" s="16" t="inlineStr">
        <is>
          <t>2026-W06</t>
        </is>
      </c>
    </row>
    <row r="137">
      <c r="A137" s="23" t="n">
        <v>46056</v>
      </c>
      <c r="B137" s="17" t="n">
        <v>948223.58</v>
      </c>
      <c r="C137" s="17" t="n">
        <v>13437.8</v>
      </c>
      <c r="D137" s="17" t="n">
        <v>0</v>
      </c>
      <c r="E137" s="17">
        <f>B137-C137-D137</f>
        <v/>
      </c>
      <c r="F137" s="16">
        <f>CHOOSE(WEEKDAY(A137,2),"Lunes","Martes","Miércoles","Jueves","Viernes","Sábado","Domingo")</f>
        <v/>
      </c>
      <c r="G137" s="23" t="n">
        <v>46062</v>
      </c>
      <c r="H137" s="16">
        <f>IF(G137&lt;=$B$7,"Cobrado","Retenido")</f>
        <v/>
      </c>
      <c r="I137" s="17">
        <f>IF(H137="Retenido",E137,0)</f>
        <v/>
      </c>
      <c r="J137" s="16" t="inlineStr">
        <is>
          <t>2026-W06</t>
        </is>
      </c>
    </row>
    <row r="138">
      <c r="A138" s="23" t="n">
        <v>46057</v>
      </c>
      <c r="B138" s="17" t="n">
        <v>993256</v>
      </c>
      <c r="C138" s="17" t="n">
        <v>14356.32</v>
      </c>
      <c r="D138" s="17" t="n">
        <v>0</v>
      </c>
      <c r="E138" s="17">
        <f>B138-C138-D138</f>
        <v/>
      </c>
      <c r="F138" s="16">
        <f>CHOOSE(WEEKDAY(A138,2),"Lunes","Martes","Miércoles","Jueves","Viernes","Sábado","Domingo")</f>
        <v/>
      </c>
      <c r="G138" s="23" t="n">
        <v>46063</v>
      </c>
      <c r="H138" s="16">
        <f>IF(G138&lt;=$B$7,"Cobrado","Retenido")</f>
        <v/>
      </c>
      <c r="I138" s="17">
        <f>IF(H138="Retenido",E138,0)</f>
        <v/>
      </c>
      <c r="J138" s="16" t="inlineStr">
        <is>
          <t>2026-W06</t>
        </is>
      </c>
    </row>
    <row r="139">
      <c r="A139" s="23" t="n">
        <v>46058</v>
      </c>
      <c r="B139" s="17" t="n">
        <v>1019222.38</v>
      </c>
      <c r="C139" s="17" t="n">
        <v>14816.75</v>
      </c>
      <c r="D139" s="17" t="n">
        <v>0</v>
      </c>
      <c r="E139" s="17">
        <f>B139-C139-D139</f>
        <v/>
      </c>
      <c r="F139" s="16">
        <f>CHOOSE(WEEKDAY(A139,2),"Lunes","Martes","Miércoles","Jueves","Viernes","Sábado","Domingo")</f>
        <v/>
      </c>
      <c r="G139" s="23" t="n">
        <v>46064</v>
      </c>
      <c r="H139" s="16">
        <f>IF(G139&lt;=$B$7,"Cobrado","Retenido")</f>
        <v/>
      </c>
      <c r="I139" s="17">
        <f>IF(H139="Retenido",E139,0)</f>
        <v/>
      </c>
      <c r="J139" s="16" t="inlineStr">
        <is>
          <t>2026-W06</t>
        </is>
      </c>
    </row>
    <row r="140">
      <c r="A140" s="23" t="n">
        <v>46059</v>
      </c>
      <c r="B140" s="17" t="n">
        <v>805348.3199999999</v>
      </c>
      <c r="C140" s="17" t="n">
        <v>11816.05</v>
      </c>
      <c r="D140" s="17" t="n">
        <v>0</v>
      </c>
      <c r="E140" s="17">
        <f>B140-C140-D140</f>
        <v/>
      </c>
      <c r="F140" s="16">
        <f>CHOOSE(WEEKDAY(A140,2),"Lunes","Martes","Miércoles","Jueves","Viernes","Sábado","Domingo")</f>
        <v/>
      </c>
      <c r="G140" s="23" t="n">
        <v>46065</v>
      </c>
      <c r="H140" s="16">
        <f>IF(G140&lt;=$B$7,"Cobrado","Retenido")</f>
        <v/>
      </c>
      <c r="I140" s="17">
        <f>IF(H140="Retenido",E140,0)</f>
        <v/>
      </c>
      <c r="J140" s="16" t="inlineStr">
        <is>
          <t>2026-W06</t>
        </is>
      </c>
    </row>
    <row r="141">
      <c r="A141" s="23" t="n">
        <v>46060</v>
      </c>
      <c r="B141" s="17" t="n">
        <v>822250.33</v>
      </c>
      <c r="C141" s="17" t="n">
        <v>11239.85</v>
      </c>
      <c r="D141" s="17" t="n">
        <v>0</v>
      </c>
      <c r="E141" s="17">
        <f>B141-C141-D141</f>
        <v/>
      </c>
      <c r="F141" s="16">
        <f>CHOOSE(WEEKDAY(A141,2),"Lunes","Martes","Miércoles","Jueves","Viernes","Sábado","Domingo")</f>
        <v/>
      </c>
      <c r="G141" s="23" t="n">
        <v>46066</v>
      </c>
      <c r="H141" s="16">
        <f>IF(G141&lt;=$B$7,"Cobrado","Retenido")</f>
        <v/>
      </c>
      <c r="I141" s="17">
        <f>IF(H141="Retenido",E141,0)</f>
        <v/>
      </c>
      <c r="J141" s="16" t="inlineStr">
        <is>
          <t>2026-W06</t>
        </is>
      </c>
    </row>
    <row r="142">
      <c r="A142" s="23" t="n">
        <v>46061</v>
      </c>
      <c r="B142" s="17" t="n">
        <v>882105.99</v>
      </c>
      <c r="C142" s="17" t="n">
        <v>11565.05</v>
      </c>
      <c r="D142" s="17" t="n">
        <v>0</v>
      </c>
      <c r="E142" s="17">
        <f>B142-C142-D142</f>
        <v/>
      </c>
      <c r="F142" s="16">
        <f>CHOOSE(WEEKDAY(A142,2),"Lunes","Martes","Miércoles","Jueves","Viernes","Sábado","Domingo")</f>
        <v/>
      </c>
      <c r="G142" s="23" t="n">
        <v>46066</v>
      </c>
      <c r="H142" s="16">
        <f>IF(G142&lt;=$B$7,"Cobrado","Retenido")</f>
        <v/>
      </c>
      <c r="I142" s="17">
        <f>IF(H142="Retenido",E142,0)</f>
        <v/>
      </c>
      <c r="J142" s="16" t="inlineStr">
        <is>
          <t>2026-W06</t>
        </is>
      </c>
    </row>
    <row r="143">
      <c r="A143" s="23" t="n">
        <v>46062</v>
      </c>
      <c r="B143" s="17" t="n">
        <v>907636.64</v>
      </c>
      <c r="C143" s="17" t="n">
        <v>12923.5</v>
      </c>
      <c r="D143" s="17" t="n">
        <v>0</v>
      </c>
      <c r="E143" s="17">
        <f>B143-C143-D143</f>
        <v/>
      </c>
      <c r="F143" s="16">
        <f>CHOOSE(WEEKDAY(A143,2),"Lunes","Martes","Miércoles","Jueves","Viernes","Sábado","Domingo")</f>
        <v/>
      </c>
      <c r="G143" s="23" t="n">
        <v>46066</v>
      </c>
      <c r="H143" s="16">
        <f>IF(G143&lt;=$B$7,"Cobrado","Retenido")</f>
        <v/>
      </c>
      <c r="I143" s="17">
        <f>IF(H143="Retenido",E143,0)</f>
        <v/>
      </c>
      <c r="J143" s="16" t="inlineStr">
        <is>
          <t>2026-W07</t>
        </is>
      </c>
    </row>
    <row r="144">
      <c r="A144" s="23" t="n">
        <v>46063</v>
      </c>
      <c r="B144" s="17" t="n">
        <v>858742.3100000001</v>
      </c>
      <c r="C144" s="17" t="n">
        <v>12546.27</v>
      </c>
      <c r="D144" s="17" t="n">
        <v>0</v>
      </c>
      <c r="E144" s="17">
        <f>B144-C144-D144</f>
        <v/>
      </c>
      <c r="F144" s="16">
        <f>CHOOSE(WEEKDAY(A144,2),"Lunes","Martes","Miércoles","Jueves","Viernes","Sábado","Domingo")</f>
        <v/>
      </c>
      <c r="G144" s="23" t="n">
        <v>46069</v>
      </c>
      <c r="H144" s="16">
        <f>IF(G144&lt;=$B$7,"Cobrado","Retenido")</f>
        <v/>
      </c>
      <c r="I144" s="17">
        <f>IF(H144="Retenido",E144,0)</f>
        <v/>
      </c>
      <c r="J144" s="16" t="inlineStr">
        <is>
          <t>2026-W07</t>
        </is>
      </c>
    </row>
    <row r="145">
      <c r="A145" s="23" t="n">
        <v>46064</v>
      </c>
      <c r="B145" s="17" t="n">
        <v>1053490.72</v>
      </c>
      <c r="C145" s="17" t="n">
        <v>14984.58</v>
      </c>
      <c r="D145" s="17" t="n">
        <v>0</v>
      </c>
      <c r="E145" s="17">
        <f>B145-C145-D145</f>
        <v/>
      </c>
      <c r="F145" s="16">
        <f>CHOOSE(WEEKDAY(A145,2),"Lunes","Martes","Miércoles","Jueves","Viernes","Sábado","Domingo")</f>
        <v/>
      </c>
      <c r="G145" s="23" t="n">
        <v>46070</v>
      </c>
      <c r="H145" s="16">
        <f>IF(G145&lt;=$B$7,"Cobrado","Retenido")</f>
        <v/>
      </c>
      <c r="I145" s="17">
        <f>IF(H145="Retenido",E145,0)</f>
        <v/>
      </c>
      <c r="J145" s="16" t="inlineStr">
        <is>
          <t>2026-W07</t>
        </is>
      </c>
    </row>
    <row r="146">
      <c r="A146" s="23" t="n">
        <v>46065</v>
      </c>
      <c r="B146" s="17" t="n">
        <v>895540.24</v>
      </c>
      <c r="C146" s="17" t="n">
        <v>13083.48</v>
      </c>
      <c r="D146" s="17" t="n">
        <v>0</v>
      </c>
      <c r="E146" s="17">
        <f>B146-C146-D146</f>
        <v/>
      </c>
      <c r="F146" s="16">
        <f>CHOOSE(WEEKDAY(A146,2),"Lunes","Martes","Miércoles","Jueves","Viernes","Sábado","Domingo")</f>
        <v/>
      </c>
      <c r="G146" s="23" t="n">
        <v>46071</v>
      </c>
      <c r="H146" s="16">
        <f>IF(G146&lt;=$B$7,"Cobrado","Retenido")</f>
        <v/>
      </c>
      <c r="I146" s="17">
        <f>IF(H146="Retenido",E146,0)</f>
        <v/>
      </c>
      <c r="J146" s="16" t="inlineStr">
        <is>
          <t>2026-W07</t>
        </is>
      </c>
    </row>
    <row r="147">
      <c r="A147" s="23" t="n">
        <v>46066</v>
      </c>
      <c r="B147" s="17" t="n">
        <v>663829.8199999999</v>
      </c>
      <c r="C147" s="17" t="n">
        <v>10036.69</v>
      </c>
      <c r="D147" s="17" t="n">
        <v>0</v>
      </c>
      <c r="E147" s="17">
        <f>B147-C147-D147</f>
        <v/>
      </c>
      <c r="F147" s="16">
        <f>CHOOSE(WEEKDAY(A147,2),"Lunes","Martes","Miércoles","Jueves","Viernes","Sábado","Domingo")</f>
        <v/>
      </c>
      <c r="G147" s="23" t="n">
        <v>46072</v>
      </c>
      <c r="H147" s="16">
        <f>IF(G147&lt;=$B$7,"Cobrado","Retenido")</f>
        <v/>
      </c>
      <c r="I147" s="17">
        <f>IF(H147="Retenido",E147,0)</f>
        <v/>
      </c>
      <c r="J147" s="16" t="inlineStr">
        <is>
          <t>2026-W07</t>
        </is>
      </c>
    </row>
    <row r="148">
      <c r="A148" s="23" t="n">
        <v>46067</v>
      </c>
      <c r="B148" s="17" t="n">
        <v>620056.95</v>
      </c>
      <c r="C148" s="17" t="n">
        <v>9641.76</v>
      </c>
      <c r="D148" s="17" t="n">
        <v>0</v>
      </c>
      <c r="E148" s="17">
        <f>B148-C148-D148</f>
        <v/>
      </c>
      <c r="F148" s="16">
        <f>CHOOSE(WEEKDAY(A148,2),"Lunes","Martes","Miércoles","Jueves","Viernes","Sábado","Domingo")</f>
        <v/>
      </c>
      <c r="G148" s="23" t="n">
        <v>46073</v>
      </c>
      <c r="H148" s="16">
        <f>IF(G148&lt;=$B$7,"Cobrado","Retenido")</f>
        <v/>
      </c>
      <c r="I148" s="17">
        <f>IF(H148="Retenido",E148,0)</f>
        <v/>
      </c>
      <c r="J148" s="16" t="inlineStr">
        <is>
          <t>2026-W07</t>
        </is>
      </c>
    </row>
    <row r="149">
      <c r="A149" s="23" t="n">
        <v>46068</v>
      </c>
      <c r="B149" s="17" t="n">
        <v>865561.9300000001</v>
      </c>
      <c r="C149" s="17" t="n">
        <v>11741.4</v>
      </c>
      <c r="D149" s="17" t="n">
        <v>0</v>
      </c>
      <c r="E149" s="17">
        <f>B149-C149-D149</f>
        <v/>
      </c>
      <c r="F149" s="16">
        <f>CHOOSE(WEEKDAY(A149,2),"Lunes","Martes","Miércoles","Jueves","Viernes","Sábado","Domingo")</f>
        <v/>
      </c>
      <c r="G149" s="23" t="n">
        <v>46073</v>
      </c>
      <c r="H149" s="16">
        <f>IF(G149&lt;=$B$7,"Cobrado","Retenido")</f>
        <v/>
      </c>
      <c r="I149" s="17">
        <f>IF(H149="Retenido",E149,0)</f>
        <v/>
      </c>
      <c r="J149" s="16" t="inlineStr">
        <is>
          <t>2026-W07</t>
        </is>
      </c>
    </row>
    <row r="150">
      <c r="A150" s="23" t="n">
        <v>46069</v>
      </c>
      <c r="B150" s="17" t="n">
        <v>791619.61</v>
      </c>
      <c r="C150" s="17" t="n">
        <v>11291.48</v>
      </c>
      <c r="D150" s="17" t="n">
        <v>0</v>
      </c>
      <c r="E150" s="17">
        <f>B150-C150-D150</f>
        <v/>
      </c>
      <c r="F150" s="16">
        <f>CHOOSE(WEEKDAY(A150,2),"Lunes","Martes","Miércoles","Jueves","Viernes","Sábado","Domingo")</f>
        <v/>
      </c>
      <c r="G150" s="23" t="n">
        <v>46073</v>
      </c>
      <c r="H150" s="16">
        <f>IF(G150&lt;=$B$7,"Cobrado","Retenido")</f>
        <v/>
      </c>
      <c r="I150" s="17">
        <f>IF(H150="Retenido",E150,0)</f>
        <v/>
      </c>
      <c r="J150" s="16" t="inlineStr">
        <is>
          <t>2026-W08</t>
        </is>
      </c>
    </row>
    <row r="151">
      <c r="A151" s="23" t="n">
        <v>46070</v>
      </c>
      <c r="B151" s="17" t="n">
        <v>827315.34</v>
      </c>
      <c r="C151" s="17" t="n">
        <v>12152.32</v>
      </c>
      <c r="D151" s="17" t="n">
        <v>0</v>
      </c>
      <c r="E151" s="17">
        <f>B151-C151-D151</f>
        <v/>
      </c>
      <c r="F151" s="16">
        <f>CHOOSE(WEEKDAY(A151,2),"Lunes","Martes","Miércoles","Jueves","Viernes","Sábado","Domingo")</f>
        <v/>
      </c>
      <c r="G151" s="23" t="n">
        <v>46076</v>
      </c>
      <c r="H151" s="16">
        <f>IF(G151&lt;=$B$7,"Cobrado","Retenido")</f>
        <v/>
      </c>
      <c r="I151" s="17">
        <f>IF(H151="Retenido",E151,0)</f>
        <v/>
      </c>
      <c r="J151" s="16" t="inlineStr">
        <is>
          <t>2026-W08</t>
        </is>
      </c>
    </row>
    <row r="152">
      <c r="A152" s="23" t="n">
        <v>46071</v>
      </c>
      <c r="B152" s="17" t="n">
        <v>904861.6</v>
      </c>
      <c r="C152" s="17" t="n">
        <v>13182.42</v>
      </c>
      <c r="D152" s="17" t="n">
        <v>0</v>
      </c>
      <c r="E152" s="17">
        <f>B152-C152-D152</f>
        <v/>
      </c>
      <c r="F152" s="16">
        <f>CHOOSE(WEEKDAY(A152,2),"Lunes","Martes","Miércoles","Jueves","Viernes","Sábado","Domingo")</f>
        <v/>
      </c>
      <c r="G152" s="23" t="n">
        <v>46077</v>
      </c>
      <c r="H152" s="16">
        <f>IF(G152&lt;=$B$7,"Cobrado","Retenido")</f>
        <v/>
      </c>
      <c r="I152" s="17">
        <f>IF(H152="Retenido",E152,0)</f>
        <v/>
      </c>
      <c r="J152" s="16" t="inlineStr">
        <is>
          <t>2026-W08</t>
        </is>
      </c>
    </row>
    <row r="153">
      <c r="A153" s="23" t="n">
        <v>46072</v>
      </c>
      <c r="B153" s="17" t="n">
        <v>870142.41</v>
      </c>
      <c r="C153" s="17" t="n">
        <v>12048.29</v>
      </c>
      <c r="D153" s="17" t="n">
        <v>0</v>
      </c>
      <c r="E153" s="17">
        <f>B153-C153-D153</f>
        <v/>
      </c>
      <c r="F153" s="16">
        <f>CHOOSE(WEEKDAY(A153,2),"Lunes","Martes","Miércoles","Jueves","Viernes","Sábado","Domingo")</f>
        <v/>
      </c>
      <c r="G153" s="23" t="n">
        <v>46078</v>
      </c>
      <c r="H153" s="16">
        <f>IF(G153&lt;=$B$7,"Cobrado","Retenido")</f>
        <v/>
      </c>
      <c r="I153" s="17">
        <f>IF(H153="Retenido",E153,0)</f>
        <v/>
      </c>
      <c r="J153" s="16" t="inlineStr">
        <is>
          <t>2026-W08</t>
        </is>
      </c>
    </row>
    <row r="154">
      <c r="A154" s="23" t="n">
        <v>46073</v>
      </c>
      <c r="B154" s="17" t="n">
        <v>788763.74</v>
      </c>
      <c r="C154" s="17" t="n">
        <v>11319.23</v>
      </c>
      <c r="D154" s="17" t="n">
        <v>0</v>
      </c>
      <c r="E154" s="17">
        <f>B154-C154-D154</f>
        <v/>
      </c>
      <c r="F154" s="16">
        <f>CHOOSE(WEEKDAY(A154,2),"Lunes","Martes","Miércoles","Jueves","Viernes","Sábado","Domingo")</f>
        <v/>
      </c>
      <c r="G154" s="23" t="n">
        <v>46079</v>
      </c>
      <c r="H154" s="16">
        <f>IF(G154&lt;=$B$7,"Cobrado","Retenido")</f>
        <v/>
      </c>
      <c r="I154" s="17">
        <f>IF(H154="Retenido",E154,0)</f>
        <v/>
      </c>
      <c r="J154" s="16" t="inlineStr">
        <is>
          <t>2026-W08</t>
        </is>
      </c>
    </row>
    <row r="155">
      <c r="A155" s="23" t="n">
        <v>46074</v>
      </c>
      <c r="B155" s="17" t="n">
        <v>780925.9300000001</v>
      </c>
      <c r="C155" s="17" t="n">
        <v>10174.42</v>
      </c>
      <c r="D155" s="17" t="n">
        <v>0</v>
      </c>
      <c r="E155" s="17">
        <f>B155-C155-D155</f>
        <v/>
      </c>
      <c r="F155" s="16">
        <f>CHOOSE(WEEKDAY(A155,2),"Lunes","Martes","Miércoles","Jueves","Viernes","Sábado","Domingo")</f>
        <v/>
      </c>
      <c r="G155" s="23" t="n">
        <v>46080</v>
      </c>
      <c r="H155" s="16">
        <f>IF(G155&lt;=$B$7,"Cobrado","Retenido")</f>
        <v/>
      </c>
      <c r="I155" s="17">
        <f>IF(H155="Retenido",E155,0)</f>
        <v/>
      </c>
      <c r="J155" s="16" t="inlineStr">
        <is>
          <t>2026-W08</t>
        </is>
      </c>
    </row>
    <row r="156">
      <c r="A156" s="23" t="n">
        <v>46075</v>
      </c>
      <c r="B156" s="17" t="n">
        <v>871616.8100000001</v>
      </c>
      <c r="C156" s="17" t="n">
        <v>10828.99</v>
      </c>
      <c r="D156" s="17" t="n">
        <v>0</v>
      </c>
      <c r="E156" s="17">
        <f>B156-C156-D156</f>
        <v/>
      </c>
      <c r="F156" s="16">
        <f>CHOOSE(WEEKDAY(A156,2),"Lunes","Martes","Miércoles","Jueves","Viernes","Sábado","Domingo")</f>
        <v/>
      </c>
      <c r="G156" s="23" t="n">
        <v>46080</v>
      </c>
      <c r="H156" s="16">
        <f>IF(G156&lt;=$B$7,"Cobrado","Retenido")</f>
        <v/>
      </c>
      <c r="I156" s="17">
        <f>IF(H156="Retenido",E156,0)</f>
        <v/>
      </c>
      <c r="J156" s="16" t="inlineStr">
        <is>
          <t>2026-W08</t>
        </is>
      </c>
    </row>
    <row r="157">
      <c r="A157" s="23" t="n">
        <v>46076</v>
      </c>
      <c r="B157" s="17" t="n">
        <v>834356.41</v>
      </c>
      <c r="C157" s="17" t="n">
        <v>11571.99</v>
      </c>
      <c r="D157" s="17" t="n">
        <v>0</v>
      </c>
      <c r="E157" s="17">
        <f>B157-C157-D157</f>
        <v/>
      </c>
      <c r="F157" s="16">
        <f>CHOOSE(WEEKDAY(A157,2),"Lunes","Martes","Miércoles","Jueves","Viernes","Sábado","Domingo")</f>
        <v/>
      </c>
      <c r="G157" s="23" t="n">
        <v>46080</v>
      </c>
      <c r="H157" s="16">
        <f>IF(G157&lt;=$B$7,"Cobrado","Retenido")</f>
        <v/>
      </c>
      <c r="I157" s="17">
        <f>IF(H157="Retenido",E157,0)</f>
        <v/>
      </c>
      <c r="J157" s="16" t="inlineStr">
        <is>
          <t>2026-W09</t>
        </is>
      </c>
    </row>
    <row r="158">
      <c r="A158" s="23" t="n">
        <v>46077</v>
      </c>
      <c r="B158" s="17" t="n">
        <v>936475.98</v>
      </c>
      <c r="C158" s="17" t="n">
        <v>13143.13</v>
      </c>
      <c r="D158" s="17" t="n">
        <v>0</v>
      </c>
      <c r="E158" s="17">
        <f>B158-C158-D158</f>
        <v/>
      </c>
      <c r="F158" s="16">
        <f>CHOOSE(WEEKDAY(A158,2),"Lunes","Martes","Miércoles","Jueves","Viernes","Sábado","Domingo")</f>
        <v/>
      </c>
      <c r="G158" s="23" t="n">
        <v>46083</v>
      </c>
      <c r="H158" s="16">
        <f>IF(G158&lt;=$B$7,"Cobrado","Retenido")</f>
        <v/>
      </c>
      <c r="I158" s="17">
        <f>IF(H158="Retenido",E158,0)</f>
        <v/>
      </c>
      <c r="J158" s="16" t="inlineStr">
        <is>
          <t>2026-W09</t>
        </is>
      </c>
    </row>
    <row r="159">
      <c r="A159" s="23" t="n">
        <v>46078</v>
      </c>
      <c r="B159" s="17" t="n">
        <v>929996.73</v>
      </c>
      <c r="C159" s="17" t="n">
        <v>12519.35</v>
      </c>
      <c r="D159" s="17" t="n">
        <v>0</v>
      </c>
      <c r="E159" s="17">
        <f>B159-C159-D159</f>
        <v/>
      </c>
      <c r="F159" s="16">
        <f>CHOOSE(WEEKDAY(A159,2),"Lunes","Martes","Miércoles","Jueves","Viernes","Sábado","Domingo")</f>
        <v/>
      </c>
      <c r="G159" s="23" t="n">
        <v>46084</v>
      </c>
      <c r="H159" s="16">
        <f>IF(G159&lt;=$B$7,"Cobrado","Retenido")</f>
        <v/>
      </c>
      <c r="I159" s="17">
        <f>IF(H159="Retenido",E159,0)</f>
        <v/>
      </c>
      <c r="J159" s="16" t="inlineStr">
        <is>
          <t>2026-W09</t>
        </is>
      </c>
    </row>
    <row r="160">
      <c r="A160" s="23" t="n">
        <v>46079</v>
      </c>
      <c r="B160" s="17" t="n">
        <v>993505.22</v>
      </c>
      <c r="C160" s="17" t="n">
        <v>13520.56</v>
      </c>
      <c r="D160" s="17" t="n">
        <v>0</v>
      </c>
      <c r="E160" s="17">
        <f>B160-C160-D160</f>
        <v/>
      </c>
      <c r="F160" s="16">
        <f>CHOOSE(WEEKDAY(A160,2),"Lunes","Martes","Miércoles","Jueves","Viernes","Sábado","Domingo")</f>
        <v/>
      </c>
      <c r="G160" s="23" t="n">
        <v>46085</v>
      </c>
      <c r="H160" s="16">
        <f>IF(G160&lt;=$B$7,"Cobrado","Retenido")</f>
        <v/>
      </c>
      <c r="I160" s="17">
        <f>IF(H160="Retenido",E160,0)</f>
        <v/>
      </c>
      <c r="J160" s="16" t="inlineStr">
        <is>
          <t>2026-W09</t>
        </is>
      </c>
    </row>
    <row r="161">
      <c r="A161" s="23" t="n">
        <v>46080</v>
      </c>
      <c r="B161" s="17" t="n">
        <v>872263.42</v>
      </c>
      <c r="C161" s="17" t="n">
        <v>12956.15</v>
      </c>
      <c r="D161" s="17" t="n">
        <v>0</v>
      </c>
      <c r="E161" s="17">
        <f>B161-C161-D161</f>
        <v/>
      </c>
      <c r="F161" s="16">
        <f>CHOOSE(WEEKDAY(A161,2),"Lunes","Martes","Miércoles","Jueves","Viernes","Sábado","Domingo")</f>
        <v/>
      </c>
      <c r="G161" s="23" t="n">
        <v>46086</v>
      </c>
      <c r="H161" s="16">
        <f>IF(G161&lt;=$B$7,"Cobrado","Retenido")</f>
        <v/>
      </c>
      <c r="I161" s="17">
        <f>IF(H161="Retenido",E161,0)</f>
        <v/>
      </c>
      <c r="J161" s="16" t="inlineStr">
        <is>
          <t>2026-W09</t>
        </is>
      </c>
    </row>
    <row r="162">
      <c r="A162" s="23" t="n">
        <v>46081</v>
      </c>
      <c r="B162" s="17" t="n">
        <v>933159.46</v>
      </c>
      <c r="C162" s="17" t="n">
        <v>13168.63</v>
      </c>
      <c r="D162" s="17" t="n">
        <v>0</v>
      </c>
      <c r="E162" s="17">
        <f>B162-C162-D162</f>
        <v/>
      </c>
      <c r="F162" s="16">
        <f>CHOOSE(WEEKDAY(A162,2),"Lunes","Martes","Miércoles","Jueves","Viernes","Sábado","Domingo")</f>
        <v/>
      </c>
      <c r="G162" s="23" t="n">
        <v>46087</v>
      </c>
      <c r="H162" s="16">
        <f>IF(G162&lt;=$B$7,"Cobrado","Retenido")</f>
        <v/>
      </c>
      <c r="I162" s="17">
        <f>IF(H162="Retenido",E162,0)</f>
        <v/>
      </c>
      <c r="J162" s="16" t="inlineStr">
        <is>
          <t>2026-W09</t>
        </is>
      </c>
    </row>
    <row r="163">
      <c r="A163" s="23" t="n">
        <v>46082</v>
      </c>
      <c r="B163" s="17" t="n">
        <v>863078.01</v>
      </c>
      <c r="C163" s="17" t="n">
        <v>11995.49</v>
      </c>
      <c r="D163" s="17" t="n">
        <v>0</v>
      </c>
      <c r="E163" s="17">
        <f>B163-C163-D163</f>
        <v/>
      </c>
      <c r="F163" s="16">
        <f>CHOOSE(WEEKDAY(A163,2),"Lunes","Martes","Miércoles","Jueves","Viernes","Sábado","Domingo")</f>
        <v/>
      </c>
      <c r="G163" s="23" t="n">
        <v>46087</v>
      </c>
      <c r="H163" s="16">
        <f>IF(G163&lt;=$B$7,"Cobrado","Retenido")</f>
        <v/>
      </c>
      <c r="I163" s="17">
        <f>IF(H163="Retenido",E163,0)</f>
        <v/>
      </c>
      <c r="J163" s="16" t="inlineStr">
        <is>
          <t>2026-W09</t>
        </is>
      </c>
    </row>
    <row r="164">
      <c r="A164" s="23" t="n">
        <v>46083</v>
      </c>
      <c r="B164" s="17" t="n">
        <v>1088362.21</v>
      </c>
      <c r="C164" s="17" t="n">
        <v>15296.21</v>
      </c>
      <c r="D164" s="17" t="n">
        <v>0</v>
      </c>
      <c r="E164" s="17">
        <f>B164-C164-D164</f>
        <v/>
      </c>
      <c r="F164" s="16">
        <f>CHOOSE(WEEKDAY(A164,2),"Lunes","Martes","Miércoles","Jueves","Viernes","Sábado","Domingo")</f>
        <v/>
      </c>
      <c r="G164" s="23" t="n">
        <v>46087</v>
      </c>
      <c r="H164" s="16">
        <f>IF(G164&lt;=$B$7,"Cobrado","Retenido")</f>
        <v/>
      </c>
      <c r="I164" s="17">
        <f>IF(H164="Retenido",E164,0)</f>
        <v/>
      </c>
      <c r="J164" s="16" t="inlineStr">
        <is>
          <t>2026-W10</t>
        </is>
      </c>
    </row>
    <row r="165">
      <c r="A165" s="23" t="n">
        <v>46084</v>
      </c>
      <c r="B165" s="17" t="n">
        <v>975650.61</v>
      </c>
      <c r="C165" s="17" t="n">
        <v>14884.87</v>
      </c>
      <c r="D165" s="17" t="n">
        <v>0</v>
      </c>
      <c r="E165" s="17">
        <f>B165-C165-D165</f>
        <v/>
      </c>
      <c r="F165" s="16">
        <f>CHOOSE(WEEKDAY(A165,2),"Lunes","Martes","Miércoles","Jueves","Viernes","Sábado","Domingo")</f>
        <v/>
      </c>
      <c r="G165" s="23" t="n">
        <v>46090</v>
      </c>
      <c r="H165" s="16">
        <f>IF(G165&lt;=$B$7,"Cobrado","Retenido")</f>
        <v/>
      </c>
      <c r="I165" s="17">
        <f>IF(H165="Retenido",E165,0)</f>
        <v/>
      </c>
      <c r="J165" s="16" t="inlineStr">
        <is>
          <t>2026-W10</t>
        </is>
      </c>
    </row>
    <row r="166">
      <c r="A166" s="23" t="n">
        <v>46085</v>
      </c>
      <c r="B166" s="17" t="n">
        <v>1090430.07</v>
      </c>
      <c r="C166" s="17" t="n">
        <v>15607.76</v>
      </c>
      <c r="D166" s="17" t="n">
        <v>0</v>
      </c>
      <c r="E166" s="17">
        <f>B166-C166-D166</f>
        <v/>
      </c>
      <c r="F166" s="16">
        <f>CHOOSE(WEEKDAY(A166,2),"Lunes","Martes","Miércoles","Jueves","Viernes","Sábado","Domingo")</f>
        <v/>
      </c>
      <c r="G166" s="23" t="n">
        <v>46091</v>
      </c>
      <c r="H166" s="16">
        <f>IF(G166&lt;=$B$7,"Cobrado","Retenido")</f>
        <v/>
      </c>
      <c r="I166" s="17">
        <f>IF(H166="Retenido",E166,0)</f>
        <v/>
      </c>
      <c r="J166" s="16" t="inlineStr">
        <is>
          <t>2026-W10</t>
        </is>
      </c>
    </row>
    <row r="167">
      <c r="A167" s="23" t="n">
        <v>46086</v>
      </c>
      <c r="B167" s="17" t="n">
        <v>1148966.11</v>
      </c>
      <c r="C167" s="17" t="n">
        <v>15298</v>
      </c>
      <c r="D167" s="17" t="n">
        <v>0</v>
      </c>
      <c r="E167" s="17">
        <f>B167-C167-D167</f>
        <v/>
      </c>
      <c r="F167" s="16">
        <f>CHOOSE(WEEKDAY(A167,2),"Lunes","Martes","Miércoles","Jueves","Viernes","Sábado","Domingo")</f>
        <v/>
      </c>
      <c r="G167" s="23" t="n">
        <v>46092</v>
      </c>
      <c r="H167" s="16">
        <f>IF(G167&lt;=$B$7,"Cobrado","Retenido")</f>
        <v/>
      </c>
      <c r="I167" s="17">
        <f>IF(H167="Retenido",E167,0)</f>
        <v/>
      </c>
      <c r="J167" s="16" t="inlineStr">
        <is>
          <t>2026-W10</t>
        </is>
      </c>
    </row>
    <row r="168">
      <c r="A168" s="23" t="n">
        <v>46087</v>
      </c>
      <c r="B168" s="17" t="n">
        <v>994334.85</v>
      </c>
      <c r="C168" s="17" t="n">
        <v>14084.26</v>
      </c>
      <c r="D168" s="17" t="n">
        <v>0</v>
      </c>
      <c r="E168" s="17">
        <f>B168-C168-D168</f>
        <v/>
      </c>
      <c r="F168" s="16">
        <f>CHOOSE(WEEKDAY(A168,2),"Lunes","Martes","Miércoles","Jueves","Viernes","Sábado","Domingo")</f>
        <v/>
      </c>
      <c r="G168" s="23" t="n">
        <v>46093</v>
      </c>
      <c r="H168" s="16">
        <f>IF(G168&lt;=$B$7,"Cobrado","Retenido")</f>
        <v/>
      </c>
      <c r="I168" s="17">
        <f>IF(H168="Retenido",E168,0)</f>
        <v/>
      </c>
      <c r="J168" s="16" t="inlineStr">
        <is>
          <t>2026-W10</t>
        </is>
      </c>
    </row>
    <row r="169">
      <c r="A169" s="23" t="n">
        <v>46088</v>
      </c>
      <c r="B169" s="17" t="n">
        <v>928463</v>
      </c>
      <c r="C169" s="17" t="n">
        <v>12448.97</v>
      </c>
      <c r="D169" s="17" t="n">
        <v>0</v>
      </c>
      <c r="E169" s="17">
        <f>B169-C169-D169</f>
        <v/>
      </c>
      <c r="F169" s="16">
        <f>CHOOSE(WEEKDAY(A169,2),"Lunes","Martes","Miércoles","Jueves","Viernes","Sábado","Domingo")</f>
        <v/>
      </c>
      <c r="G169" s="23" t="n">
        <v>46094</v>
      </c>
      <c r="H169" s="16">
        <f>IF(G169&lt;=$B$7,"Cobrado","Retenido")</f>
        <v/>
      </c>
      <c r="I169" s="17">
        <f>IF(H169="Retenido",E169,0)</f>
        <v/>
      </c>
      <c r="J169" s="16" t="inlineStr">
        <is>
          <t>2026-W10</t>
        </is>
      </c>
    </row>
    <row r="170">
      <c r="A170" s="23" t="n">
        <v>46089</v>
      </c>
      <c r="B170" s="17" t="n">
        <v>856290.29</v>
      </c>
      <c r="C170" s="17" t="n">
        <v>10389.77</v>
      </c>
      <c r="D170" s="17" t="n">
        <v>0</v>
      </c>
      <c r="E170" s="17">
        <f>B170-C170-D170</f>
        <v/>
      </c>
      <c r="F170" s="16">
        <f>CHOOSE(WEEKDAY(A170,2),"Lunes","Martes","Miércoles","Jueves","Viernes","Sábado","Domingo")</f>
        <v/>
      </c>
      <c r="G170" s="23" t="n">
        <v>46094</v>
      </c>
      <c r="H170" s="16">
        <f>IF(G170&lt;=$B$7,"Cobrado","Retenido")</f>
        <v/>
      </c>
      <c r="I170" s="17">
        <f>IF(H170="Retenido",E170,0)</f>
        <v/>
      </c>
      <c r="J170" s="16" t="inlineStr">
        <is>
          <t>2026-W10</t>
        </is>
      </c>
    </row>
    <row r="171">
      <c r="A171" s="23" t="n">
        <v>46090</v>
      </c>
      <c r="B171" s="17" t="n">
        <v>998772.61</v>
      </c>
      <c r="C171" s="17" t="n">
        <v>13795.21</v>
      </c>
      <c r="D171" s="17" t="n">
        <v>0</v>
      </c>
      <c r="E171" s="17">
        <f>B171-C171-D171</f>
        <v/>
      </c>
      <c r="F171" s="16">
        <f>CHOOSE(WEEKDAY(A171,2),"Lunes","Martes","Miércoles","Jueves","Viernes","Sábado","Domingo")</f>
        <v/>
      </c>
      <c r="G171" s="23" t="n">
        <v>46094</v>
      </c>
      <c r="H171" s="16">
        <f>IF(G171&lt;=$B$7,"Cobrado","Retenido")</f>
        <v/>
      </c>
      <c r="I171" s="17">
        <f>IF(H171="Retenido",E171,0)</f>
        <v/>
      </c>
      <c r="J171" s="16" t="inlineStr">
        <is>
          <t>2026-W11</t>
        </is>
      </c>
    </row>
    <row r="172">
      <c r="A172" s="23" t="n">
        <v>46091</v>
      </c>
      <c r="B172" s="17" t="n">
        <v>1026419.52</v>
      </c>
      <c r="C172" s="17" t="n">
        <v>14110.73</v>
      </c>
      <c r="D172" s="17" t="n">
        <v>0</v>
      </c>
      <c r="E172" s="17">
        <f>B172-C172-D172</f>
        <v/>
      </c>
      <c r="F172" s="16">
        <f>CHOOSE(WEEKDAY(A172,2),"Lunes","Martes","Miércoles","Jueves","Viernes","Sábado","Domingo")</f>
        <v/>
      </c>
      <c r="G172" s="23" t="n">
        <v>46097</v>
      </c>
      <c r="H172" s="16">
        <f>IF(G172&lt;=$B$7,"Cobrado","Retenido")</f>
        <v/>
      </c>
      <c r="I172" s="17">
        <f>IF(H172="Retenido",E172,0)</f>
        <v/>
      </c>
      <c r="J172" s="16" t="inlineStr">
        <is>
          <t>2026-W11</t>
        </is>
      </c>
    </row>
    <row r="173">
      <c r="A173" s="23" t="n">
        <v>46092</v>
      </c>
      <c r="B173" s="17" t="n">
        <v>1093150.1</v>
      </c>
      <c r="C173" s="17" t="n">
        <v>14697.71</v>
      </c>
      <c r="D173" s="17" t="n">
        <v>0</v>
      </c>
      <c r="E173" s="17">
        <f>B173-C173-D173</f>
        <v/>
      </c>
      <c r="F173" s="16">
        <f>CHOOSE(WEEKDAY(A173,2),"Lunes","Martes","Miércoles","Jueves","Viernes","Sábado","Domingo")</f>
        <v/>
      </c>
      <c r="G173" s="23" t="n">
        <v>46098</v>
      </c>
      <c r="H173" s="16">
        <f>IF(G173&lt;=$B$7,"Cobrado","Retenido")</f>
        <v/>
      </c>
      <c r="I173" s="17">
        <f>IF(H173="Retenido",E173,0)</f>
        <v/>
      </c>
      <c r="J173" s="16" t="inlineStr">
        <is>
          <t>2026-W11</t>
        </is>
      </c>
    </row>
    <row r="174">
      <c r="A174" s="23" t="n">
        <v>46093</v>
      </c>
      <c r="B174" s="17" t="n">
        <v>1048434.7</v>
      </c>
      <c r="C174" s="17" t="n">
        <v>13338.32</v>
      </c>
      <c r="D174" s="17" t="n">
        <v>0</v>
      </c>
      <c r="E174" s="17">
        <f>B174-C174-D174</f>
        <v/>
      </c>
      <c r="F174" s="16">
        <f>CHOOSE(WEEKDAY(A174,2),"Lunes","Martes","Miércoles","Jueves","Viernes","Sábado","Domingo")</f>
        <v/>
      </c>
      <c r="G174" s="23" t="n">
        <v>46099</v>
      </c>
      <c r="H174" s="16">
        <f>IF(G174&lt;=$B$7,"Cobrado","Retenido")</f>
        <v/>
      </c>
      <c r="I174" s="17">
        <f>IF(H174="Retenido",E174,0)</f>
        <v/>
      </c>
      <c r="J174" s="16" t="inlineStr">
        <is>
          <t>2026-W11</t>
        </is>
      </c>
    </row>
    <row r="175">
      <c r="A175" s="23" t="n">
        <v>46094</v>
      </c>
      <c r="B175" s="17" t="n">
        <v>828392.8100000001</v>
      </c>
      <c r="C175" s="17" t="n">
        <v>11523.25</v>
      </c>
      <c r="D175" s="17" t="n">
        <v>0</v>
      </c>
      <c r="E175" s="17">
        <f>B175-C175-D175</f>
        <v/>
      </c>
      <c r="F175" s="16">
        <f>CHOOSE(WEEKDAY(A175,2),"Lunes","Martes","Miércoles","Jueves","Viernes","Sábado","Domingo")</f>
        <v/>
      </c>
      <c r="G175" s="23" t="n">
        <v>46100</v>
      </c>
      <c r="H175" s="16">
        <f>IF(G175&lt;=$B$7,"Cobrado","Retenido")</f>
        <v/>
      </c>
      <c r="I175" s="17">
        <f>IF(H175="Retenido",E175,0)</f>
        <v/>
      </c>
      <c r="J175" s="16" t="inlineStr">
        <is>
          <t>2026-W11</t>
        </is>
      </c>
    </row>
    <row r="176">
      <c r="A176" s="23" t="n">
        <v>46095</v>
      </c>
      <c r="B176" s="17" t="n">
        <v>328519.77</v>
      </c>
      <c r="C176" s="17" t="n">
        <v>10437.01</v>
      </c>
      <c r="D176" s="17" t="n">
        <v>0</v>
      </c>
      <c r="E176" s="17">
        <f>B176-C176-D176</f>
        <v/>
      </c>
      <c r="F176" s="16">
        <f>CHOOSE(WEEKDAY(A176,2),"Lunes","Martes","Miércoles","Jueves","Viernes","Sábado","Domingo")</f>
        <v/>
      </c>
      <c r="G176" s="23" t="n">
        <v>46101</v>
      </c>
      <c r="H176" s="16">
        <f>IF(G176&lt;=$B$7,"Cobrado","Retenido")</f>
        <v/>
      </c>
      <c r="I176" s="17">
        <f>IF(H176="Retenido",E176,0)</f>
        <v/>
      </c>
      <c r="J176" s="16" t="inlineStr">
        <is>
          <t>2026-W11</t>
        </is>
      </c>
    </row>
    <row r="177">
      <c r="A177" s="23" t="n">
        <v>46096</v>
      </c>
      <c r="B177" s="17" t="n">
        <v>728259.73</v>
      </c>
      <c r="C177" s="17" t="n">
        <v>11312.22</v>
      </c>
      <c r="D177" s="17" t="n">
        <v>0</v>
      </c>
      <c r="E177" s="17">
        <f>B177-C177-D177</f>
        <v/>
      </c>
      <c r="F177" s="16">
        <f>CHOOSE(WEEKDAY(A177,2),"Lunes","Martes","Miércoles","Jueves","Viernes","Sábado","Domingo")</f>
        <v/>
      </c>
      <c r="G177" s="23" t="n">
        <v>46101</v>
      </c>
      <c r="H177" s="16">
        <f>IF(G177&lt;=$B$7,"Cobrado","Retenido")</f>
        <v/>
      </c>
      <c r="I177" s="17">
        <f>IF(H177="Retenido",E177,0)</f>
        <v/>
      </c>
      <c r="J177" s="16" t="inlineStr">
        <is>
          <t>2026-W11</t>
        </is>
      </c>
    </row>
    <row r="178">
      <c r="A178" s="23" t="n">
        <v>46097</v>
      </c>
      <c r="B178" s="17" t="n">
        <v>820604.04</v>
      </c>
      <c r="C178" s="17" t="n">
        <v>12576.63</v>
      </c>
      <c r="D178" s="17" t="n">
        <v>0</v>
      </c>
      <c r="E178" s="17">
        <f>B178-C178-D178</f>
        <v/>
      </c>
      <c r="F178" s="16">
        <f>CHOOSE(WEEKDAY(A178,2),"Lunes","Martes","Miércoles","Jueves","Viernes","Sábado","Domingo")</f>
        <v/>
      </c>
      <c r="G178" s="23" t="n">
        <v>46101</v>
      </c>
      <c r="H178" s="16">
        <f>IF(G178&lt;=$B$7,"Cobrado","Retenido")</f>
        <v/>
      </c>
      <c r="I178" s="17">
        <f>IF(H178="Retenido",E178,0)</f>
        <v/>
      </c>
      <c r="J178" s="16" t="inlineStr">
        <is>
          <t>2026-W12</t>
        </is>
      </c>
    </row>
    <row r="179">
      <c r="A179" s="23" t="n">
        <v>46098</v>
      </c>
      <c r="B179" s="17" t="n">
        <v>778918.01</v>
      </c>
      <c r="C179" s="17" t="n">
        <v>12154.9</v>
      </c>
      <c r="D179" s="17" t="n">
        <v>0</v>
      </c>
      <c r="E179" s="17">
        <f>B179-C179-D179</f>
        <v/>
      </c>
      <c r="F179" s="16">
        <f>CHOOSE(WEEKDAY(A179,2),"Lunes","Martes","Miércoles","Jueves","Viernes","Sábado","Domingo")</f>
        <v/>
      </c>
      <c r="G179" s="23" t="n">
        <v>46104</v>
      </c>
      <c r="H179" s="16">
        <f>IF(G179&lt;=$B$7,"Cobrado","Retenido")</f>
        <v/>
      </c>
      <c r="I179" s="17">
        <f>IF(H179="Retenido",E179,0)</f>
        <v/>
      </c>
      <c r="J179" s="16" t="inlineStr">
        <is>
          <t>2026-W12</t>
        </is>
      </c>
    </row>
    <row r="180">
      <c r="A180" s="23" t="n">
        <v>46099</v>
      </c>
      <c r="B180" s="17" t="n">
        <v>874837.33</v>
      </c>
      <c r="C180" s="17" t="n">
        <v>11400.49</v>
      </c>
      <c r="D180" s="17" t="n">
        <v>0</v>
      </c>
      <c r="E180" s="17">
        <f>B180-C180-D180</f>
        <v/>
      </c>
      <c r="F180" s="16">
        <f>CHOOSE(WEEKDAY(A180,2),"Lunes","Martes","Miércoles","Jueves","Viernes","Sábado","Domingo")</f>
        <v/>
      </c>
      <c r="G180" s="23" t="n">
        <v>46105</v>
      </c>
      <c r="H180" s="16">
        <f>IF(G180&lt;=$B$7,"Cobrado","Retenido")</f>
        <v/>
      </c>
      <c r="I180" s="17">
        <f>IF(H180="Retenido",E180,0)</f>
        <v/>
      </c>
      <c r="J180" s="16" t="inlineStr">
        <is>
          <t>2026-W12</t>
        </is>
      </c>
    </row>
    <row r="181">
      <c r="A181" s="23" t="n">
        <v>46100</v>
      </c>
      <c r="B181" s="17" t="n">
        <v>1020068.95</v>
      </c>
      <c r="C181" s="17" t="n">
        <v>12936.72</v>
      </c>
      <c r="D181" s="17" t="n">
        <v>0</v>
      </c>
      <c r="E181" s="17">
        <f>B181-C181-D181</f>
        <v/>
      </c>
      <c r="F181" s="16">
        <f>CHOOSE(WEEKDAY(A181,2),"Lunes","Martes","Miércoles","Jueves","Viernes","Sábado","Domingo")</f>
        <v/>
      </c>
      <c r="G181" s="23" t="n">
        <v>46106</v>
      </c>
      <c r="H181" s="16">
        <f>IF(G181&lt;=$B$7,"Cobrado","Retenido")</f>
        <v/>
      </c>
      <c r="I181" s="17">
        <f>IF(H181="Retenido",E181,0)</f>
        <v/>
      </c>
      <c r="J181" s="16" t="inlineStr">
        <is>
          <t>2026-W12</t>
        </is>
      </c>
    </row>
    <row r="182">
      <c r="A182" s="23" t="n">
        <v>46101</v>
      </c>
      <c r="B182" s="17" t="n">
        <v>746982.72</v>
      </c>
      <c r="C182" s="17" t="n">
        <v>10139.84</v>
      </c>
      <c r="D182" s="17" t="n">
        <v>0</v>
      </c>
      <c r="E182" s="17">
        <f>B182-C182-D182</f>
        <v/>
      </c>
      <c r="F182" s="16">
        <f>CHOOSE(WEEKDAY(A182,2),"Lunes","Martes","Miércoles","Jueves","Viernes","Sábado","Domingo")</f>
        <v/>
      </c>
      <c r="G182" s="23" t="n">
        <v>46107</v>
      </c>
      <c r="H182" s="16">
        <f>IF(G182&lt;=$B$7,"Cobrado","Retenido")</f>
        <v/>
      </c>
      <c r="I182" s="17">
        <f>IF(H182="Retenido",E182,0)</f>
        <v/>
      </c>
      <c r="J182" s="16" t="inlineStr">
        <is>
          <t>2026-W12</t>
        </is>
      </c>
    </row>
    <row r="183">
      <c r="A183" s="23" t="n">
        <v>46102</v>
      </c>
      <c r="B183" s="17" t="n">
        <v>677619.7</v>
      </c>
      <c r="C183" s="17" t="n">
        <v>9715.24</v>
      </c>
      <c r="D183" s="17" t="n">
        <v>0</v>
      </c>
      <c r="E183" s="17">
        <f>B183-C183-D183</f>
        <v/>
      </c>
      <c r="F183" s="16">
        <f>CHOOSE(WEEKDAY(A183,2),"Lunes","Martes","Miércoles","Jueves","Viernes","Sábado","Domingo")</f>
        <v/>
      </c>
      <c r="G183" s="23" t="n">
        <v>46108</v>
      </c>
      <c r="H183" s="16">
        <f>IF(G183&lt;=$B$7,"Cobrado","Retenido")</f>
        <v/>
      </c>
      <c r="I183" s="17">
        <f>IF(H183="Retenido",E183,0)</f>
        <v/>
      </c>
      <c r="J183" s="16" t="inlineStr">
        <is>
          <t>2026-W12</t>
        </is>
      </c>
    </row>
    <row r="184">
      <c r="A184" s="23" t="n">
        <v>46103</v>
      </c>
      <c r="B184" s="17" t="n">
        <v>811080.92</v>
      </c>
      <c r="C184" s="17" t="n">
        <v>10318.42</v>
      </c>
      <c r="D184" s="17" t="n">
        <v>0</v>
      </c>
      <c r="E184" s="17">
        <f>B184-C184-D184</f>
        <v/>
      </c>
      <c r="F184" s="16">
        <f>CHOOSE(WEEKDAY(A184,2),"Lunes","Martes","Miércoles","Jueves","Viernes","Sábado","Domingo")</f>
        <v/>
      </c>
      <c r="G184" s="23" t="n">
        <v>46108</v>
      </c>
      <c r="H184" s="16">
        <f>IF(G184&lt;=$B$7,"Cobrado","Retenido")</f>
        <v/>
      </c>
      <c r="I184" s="17">
        <f>IF(H184="Retenido",E184,0)</f>
        <v/>
      </c>
      <c r="J184" s="16" t="inlineStr">
        <is>
          <t>2026-W12</t>
        </is>
      </c>
    </row>
    <row r="185">
      <c r="A185" s="23" t="n">
        <v>46104</v>
      </c>
      <c r="B185" s="17" t="n">
        <v>825979.47</v>
      </c>
      <c r="C185" s="17" t="n">
        <v>10724.45</v>
      </c>
      <c r="D185" s="17" t="n">
        <v>0</v>
      </c>
      <c r="E185" s="17">
        <f>B185-C185-D185</f>
        <v/>
      </c>
      <c r="F185" s="16">
        <f>CHOOSE(WEEKDAY(A185,2),"Lunes","Martes","Miércoles","Jueves","Viernes","Sábado","Domingo")</f>
        <v/>
      </c>
      <c r="G185" s="23" t="n">
        <v>46108</v>
      </c>
      <c r="H185" s="16">
        <f>IF(G185&lt;=$B$7,"Cobrado","Retenido")</f>
        <v/>
      </c>
      <c r="I185" s="17">
        <f>IF(H185="Retenido",E185,0)</f>
        <v/>
      </c>
      <c r="J185" s="16" t="inlineStr">
        <is>
          <t>2026-W13</t>
        </is>
      </c>
    </row>
    <row r="186">
      <c r="A186" s="23" t="n">
        <v>46105</v>
      </c>
      <c r="B186" s="17" t="n">
        <v>820033.4399999999</v>
      </c>
      <c r="C186" s="17" t="n">
        <v>10277.37</v>
      </c>
      <c r="D186" s="17" t="n">
        <v>0</v>
      </c>
      <c r="E186" s="17">
        <f>B186-C186-D186</f>
        <v/>
      </c>
      <c r="F186" s="16">
        <f>CHOOSE(WEEKDAY(A186,2),"Lunes","Martes","Miércoles","Jueves","Viernes","Sábado","Domingo")</f>
        <v/>
      </c>
      <c r="G186" s="23" t="n">
        <v>46111</v>
      </c>
      <c r="H186" s="16">
        <f>IF(G186&lt;=$B$7,"Cobrado","Retenido")</f>
        <v/>
      </c>
      <c r="I186" s="17">
        <f>IF(H186="Retenido",E186,0)</f>
        <v/>
      </c>
      <c r="J186" s="16" t="inlineStr">
        <is>
          <t>2026-W13</t>
        </is>
      </c>
    </row>
    <row r="187">
      <c r="A187" s="23" t="n">
        <v>46106</v>
      </c>
      <c r="B187" s="17" t="n">
        <v>835308.05</v>
      </c>
      <c r="C187" s="17" t="n">
        <v>10912.34</v>
      </c>
      <c r="D187" s="17" t="n">
        <v>0</v>
      </c>
      <c r="E187" s="17">
        <f>B187-C187-D187</f>
        <v/>
      </c>
      <c r="F187" s="16">
        <f>CHOOSE(WEEKDAY(A187,2),"Lunes","Martes","Miércoles","Jueves","Viernes","Sábado","Domingo")</f>
        <v/>
      </c>
      <c r="G187" s="23" t="n">
        <v>46112</v>
      </c>
      <c r="H187" s="16">
        <f>IF(G187&lt;=$B$7,"Cobrado","Retenido")</f>
        <v/>
      </c>
      <c r="I187" s="17">
        <f>IF(H187="Retenido",E187,0)</f>
        <v/>
      </c>
      <c r="J187" s="16" t="inlineStr">
        <is>
          <t>2026-W13</t>
        </is>
      </c>
    </row>
    <row r="188">
      <c r="A188" s="23" t="n">
        <v>46107</v>
      </c>
      <c r="B188" s="17" t="n">
        <v>1148508.17</v>
      </c>
      <c r="C188" s="17" t="n">
        <v>19313.67</v>
      </c>
      <c r="D188" s="17" t="n">
        <v>0</v>
      </c>
      <c r="E188" s="17">
        <f>B188-C188-D188</f>
        <v/>
      </c>
      <c r="F188" s="16">
        <f>CHOOSE(WEEKDAY(A188,2),"Lunes","Martes","Miércoles","Jueves","Viernes","Sábado","Domingo")</f>
        <v/>
      </c>
      <c r="G188" s="23" t="n">
        <v>46113</v>
      </c>
      <c r="H188" s="16">
        <f>IF(G188&lt;=$B$7,"Cobrado","Retenido")</f>
        <v/>
      </c>
      <c r="I188" s="17">
        <f>IF(H188="Retenido",E188,0)</f>
        <v/>
      </c>
      <c r="J188" s="16" t="inlineStr">
        <is>
          <t>2026-W13</t>
        </is>
      </c>
    </row>
    <row r="189">
      <c r="A189" s="23" t="n">
        <v>46108</v>
      </c>
      <c r="B189" s="17" t="n">
        <v>393512.18</v>
      </c>
      <c r="C189" s="17" t="n">
        <v>9543.860000000001</v>
      </c>
      <c r="D189" s="17" t="n">
        <v>0</v>
      </c>
      <c r="E189" s="17">
        <f>B189-C189-D189</f>
        <v/>
      </c>
      <c r="F189" s="16">
        <f>CHOOSE(WEEKDAY(A189,2),"Lunes","Martes","Miércoles","Jueves","Viernes","Sábado","Domingo")</f>
        <v/>
      </c>
      <c r="G189" s="23" t="n">
        <v>46114</v>
      </c>
      <c r="H189" s="16">
        <f>IF(G189&lt;=$B$7,"Cobrado","Retenido")</f>
        <v/>
      </c>
      <c r="I189" s="17">
        <f>IF(H189="Retenido",E189,0)</f>
        <v/>
      </c>
      <c r="J189" s="16" t="inlineStr">
        <is>
          <t>2026-W13</t>
        </is>
      </c>
    </row>
    <row r="190">
      <c r="A190" s="23" t="n">
        <v>46109</v>
      </c>
      <c r="B190" s="17" t="n">
        <v>1047544.9</v>
      </c>
      <c r="C190" s="17" t="n">
        <v>17294.48</v>
      </c>
      <c r="D190" s="17" t="n">
        <v>0</v>
      </c>
      <c r="E190" s="17">
        <f>B190-C190-D190</f>
        <v/>
      </c>
      <c r="F190" s="16">
        <f>CHOOSE(WEEKDAY(A190,2),"Lunes","Martes","Miércoles","Jueves","Viernes","Sábado","Domingo")</f>
        <v/>
      </c>
      <c r="G190" s="23" t="n">
        <v>46115</v>
      </c>
      <c r="H190" s="16">
        <f>IF(G190&lt;=$B$7,"Cobrado","Retenido")</f>
        <v/>
      </c>
      <c r="I190" s="17">
        <f>IF(H190="Retenido",E190,0)</f>
        <v/>
      </c>
      <c r="J190" s="16" t="inlineStr">
        <is>
          <t>2026-W13</t>
        </is>
      </c>
    </row>
    <row r="191">
      <c r="A191" s="23" t="n">
        <v>46110</v>
      </c>
      <c r="B191" s="17" t="n">
        <v>1722677.75</v>
      </c>
      <c r="C191" s="17" t="n">
        <v>22996.75</v>
      </c>
      <c r="D191" s="17" t="n">
        <v>0</v>
      </c>
      <c r="E191" s="17">
        <f>B191-C191-D191</f>
        <v/>
      </c>
      <c r="F191" s="16">
        <f>CHOOSE(WEEKDAY(A191,2),"Lunes","Martes","Miércoles","Jueves","Viernes","Sábado","Domingo")</f>
        <v/>
      </c>
      <c r="G191" s="23" t="n">
        <v>46115</v>
      </c>
      <c r="H191" s="16">
        <f>IF(G191&lt;=$B$7,"Cobrado","Retenido")</f>
        <v/>
      </c>
      <c r="I191" s="17">
        <f>IF(H191="Retenido",E191,0)</f>
        <v/>
      </c>
      <c r="J191" s="16" t="inlineStr">
        <is>
          <t>2026-W13</t>
        </is>
      </c>
    </row>
    <row r="192">
      <c r="A192" s="23" t="n">
        <v>46111</v>
      </c>
      <c r="B192" s="17" t="n">
        <v>1081942.21</v>
      </c>
      <c r="C192" s="17" t="n">
        <v>18565.85</v>
      </c>
      <c r="D192" s="17" t="n">
        <v>0</v>
      </c>
      <c r="E192" s="17">
        <f>B192-C192-D192</f>
        <v/>
      </c>
      <c r="F192" s="16">
        <f>CHOOSE(WEEKDAY(A192,2),"Lunes","Martes","Miércoles","Jueves","Viernes","Sábado","Domingo")</f>
        <v/>
      </c>
      <c r="G192" s="23" t="n">
        <v>46115</v>
      </c>
      <c r="H192" s="16">
        <f>IF(G192&lt;=$B$7,"Cobrado","Retenido")</f>
        <v/>
      </c>
      <c r="I192" s="17">
        <f>IF(H192="Retenido",E192,0)</f>
        <v/>
      </c>
      <c r="J192" s="16" t="inlineStr">
        <is>
          <t>2026-W14</t>
        </is>
      </c>
    </row>
    <row r="193">
      <c r="A193" s="23" t="n">
        <v>46112</v>
      </c>
      <c r="B193" s="17" t="n">
        <v>773572.05</v>
      </c>
      <c r="C193" s="17" t="n">
        <v>15379.35</v>
      </c>
      <c r="D193" s="17" t="n">
        <v>0</v>
      </c>
      <c r="E193" s="17">
        <f>B193-C193-D193</f>
        <v/>
      </c>
      <c r="F193" s="16">
        <f>CHOOSE(WEEKDAY(A193,2),"Lunes","Martes","Miércoles","Jueves","Viernes","Sábado","Domingo")</f>
        <v/>
      </c>
      <c r="G193" s="23" t="n">
        <v>46118</v>
      </c>
      <c r="H193" s="16">
        <f>IF(G193&lt;=$B$7,"Cobrado","Retenido")</f>
        <v/>
      </c>
      <c r="I193" s="17">
        <f>IF(H193="Retenido",E193,0)</f>
        <v/>
      </c>
      <c r="J193" s="16" t="inlineStr">
        <is>
          <t>2026-W14</t>
        </is>
      </c>
    </row>
    <row r="194">
      <c r="A194" s="23" t="n">
        <v>46113</v>
      </c>
      <c r="B194" s="17" t="n">
        <v>964235.63</v>
      </c>
      <c r="C194" s="17" t="n">
        <v>15658.35</v>
      </c>
      <c r="D194" s="17" t="n">
        <v>0</v>
      </c>
      <c r="E194" s="17">
        <f>B194-C194-D194</f>
        <v/>
      </c>
      <c r="F194" s="16">
        <f>CHOOSE(WEEKDAY(A194,2),"Lunes","Martes","Miércoles","Jueves","Viernes","Sábado","Domingo")</f>
        <v/>
      </c>
      <c r="G194" s="23" t="n">
        <v>46119</v>
      </c>
      <c r="H194" s="16">
        <f>IF(G194&lt;=$B$7,"Cobrado","Retenido")</f>
        <v/>
      </c>
      <c r="I194" s="17">
        <f>IF(H194="Retenido",E194,0)</f>
        <v/>
      </c>
      <c r="J194" s="16" t="inlineStr">
        <is>
          <t>2026-W14</t>
        </is>
      </c>
    </row>
    <row r="195">
      <c r="A195" s="23" t="n">
        <v>46114</v>
      </c>
      <c r="B195" s="17" t="n">
        <v>711310.9300000001</v>
      </c>
      <c r="C195" s="17" t="n">
        <v>12702.01</v>
      </c>
      <c r="D195" s="17" t="n">
        <v>0</v>
      </c>
      <c r="E195" s="17">
        <f>B195-C195-D195</f>
        <v/>
      </c>
      <c r="F195" s="16">
        <f>CHOOSE(WEEKDAY(A195,2),"Lunes","Martes","Miércoles","Jueves","Viernes","Sábado","Domingo")</f>
        <v/>
      </c>
      <c r="G195" s="23" t="n">
        <v>46120</v>
      </c>
      <c r="H195" s="16">
        <f>IF(G195&lt;=$B$7,"Cobrado","Retenido")</f>
        <v/>
      </c>
      <c r="I195" s="17">
        <f>IF(H195="Retenido",E195,0)</f>
        <v/>
      </c>
      <c r="J195" s="16" t="inlineStr">
        <is>
          <t>2026-W14</t>
        </is>
      </c>
    </row>
    <row r="196">
      <c r="A196" s="23" t="n">
        <v>46115</v>
      </c>
      <c r="B196" s="17" t="n">
        <v>480587.83</v>
      </c>
      <c r="C196" s="17" t="n">
        <v>10644.66</v>
      </c>
      <c r="D196" s="17" t="n">
        <v>0</v>
      </c>
      <c r="E196" s="17">
        <f>B196-C196-D196</f>
        <v/>
      </c>
      <c r="F196" s="16">
        <f>CHOOSE(WEEKDAY(A196,2),"Lunes","Martes","Miércoles","Jueves","Viernes","Sábado","Domingo")</f>
        <v/>
      </c>
      <c r="G196" s="23" t="n">
        <v>46121</v>
      </c>
      <c r="H196" s="16">
        <f>IF(G196&lt;=$B$7,"Cobrado","Retenido")</f>
        <v/>
      </c>
      <c r="I196" s="17">
        <f>IF(H196="Retenido",E196,0)</f>
        <v/>
      </c>
      <c r="J196" s="16" t="inlineStr">
        <is>
          <t>2026-W14</t>
        </is>
      </c>
    </row>
    <row r="197">
      <c r="A197" s="23" t="n">
        <v>46116</v>
      </c>
      <c r="B197" s="17" t="n">
        <v>398384.91</v>
      </c>
      <c r="C197" s="17" t="n">
        <v>8671.27</v>
      </c>
      <c r="D197" s="17" t="n">
        <v>0</v>
      </c>
      <c r="E197" s="17">
        <f>B197-C197-D197</f>
        <v/>
      </c>
      <c r="F197" s="16">
        <f>CHOOSE(WEEKDAY(A197,2),"Lunes","Martes","Miércoles","Jueves","Viernes","Sábado","Domingo")</f>
        <v/>
      </c>
      <c r="G197" s="23" t="n">
        <v>46122</v>
      </c>
      <c r="H197" s="16">
        <f>IF(G197&lt;=$B$7,"Cobrado","Retenido")</f>
        <v/>
      </c>
      <c r="I197" s="17">
        <f>IF(H197="Retenido",E197,0)</f>
        <v/>
      </c>
      <c r="J197" s="16" t="inlineStr">
        <is>
          <t>2026-W14</t>
        </is>
      </c>
    </row>
    <row r="198">
      <c r="A198" s="23" t="n">
        <v>46117</v>
      </c>
      <c r="B198" s="17" t="n">
        <v>315850.85</v>
      </c>
      <c r="C198" s="17" t="n">
        <v>6192.29</v>
      </c>
      <c r="D198" s="17" t="n">
        <v>0</v>
      </c>
      <c r="E198" s="17">
        <f>B198-C198-D198</f>
        <v/>
      </c>
      <c r="F198" s="16">
        <f>CHOOSE(WEEKDAY(A198,2),"Lunes","Martes","Miércoles","Jueves","Viernes","Sábado","Domingo")</f>
        <v/>
      </c>
      <c r="G198" s="23" t="n">
        <v>46122</v>
      </c>
      <c r="H198" s="16">
        <f>IF(G198&lt;=$B$7,"Cobrado","Retenido")</f>
        <v/>
      </c>
      <c r="I198" s="17">
        <f>IF(H198="Retenido",E198,0)</f>
        <v/>
      </c>
      <c r="J198" s="16" t="inlineStr">
        <is>
          <t>2026-W14</t>
        </is>
      </c>
    </row>
    <row r="199">
      <c r="A199" s="23" t="n">
        <v>46118</v>
      </c>
      <c r="B199" s="17" t="n">
        <v>387320.22</v>
      </c>
      <c r="C199" s="17" t="n">
        <v>8185.85</v>
      </c>
      <c r="D199" s="17" t="n">
        <v>0</v>
      </c>
      <c r="E199" s="17">
        <f>B199-C199-D199</f>
        <v/>
      </c>
      <c r="F199" s="16">
        <f>CHOOSE(WEEKDAY(A199,2),"Lunes","Martes","Miércoles","Jueves","Viernes","Sábado","Domingo")</f>
        <v/>
      </c>
      <c r="G199" s="23" t="n">
        <v>46122</v>
      </c>
      <c r="H199" s="16">
        <f>IF(G199&lt;=$B$7,"Cobrado","Retenido")</f>
        <v/>
      </c>
      <c r="I199" s="17">
        <f>IF(H199="Retenido",E199,0)</f>
        <v/>
      </c>
      <c r="J199" s="16" t="inlineStr">
        <is>
          <t>2026-W15</t>
        </is>
      </c>
    </row>
    <row r="200">
      <c r="A200" s="23" t="n">
        <v>46119</v>
      </c>
      <c r="B200" s="17" t="n">
        <v>529542.33</v>
      </c>
      <c r="C200" s="17" t="n">
        <v>11852.65</v>
      </c>
      <c r="D200" s="17" t="n">
        <v>0</v>
      </c>
      <c r="E200" s="17">
        <f>B200-C200-D200</f>
        <v/>
      </c>
      <c r="F200" s="16">
        <f>CHOOSE(WEEKDAY(A200,2),"Lunes","Martes","Miércoles","Jueves","Viernes","Sábado","Domingo")</f>
        <v/>
      </c>
      <c r="G200" s="23" t="n">
        <v>46125</v>
      </c>
      <c r="H200" s="16">
        <f>IF(G200&lt;=$B$7,"Cobrado","Retenido")</f>
        <v/>
      </c>
      <c r="I200" s="17">
        <f>IF(H200="Retenido",E200,0)</f>
        <v/>
      </c>
      <c r="J200" s="16" t="inlineStr">
        <is>
          <t>2026-W15</t>
        </is>
      </c>
    </row>
    <row r="201">
      <c r="A201" s="23" t="n">
        <v>46120</v>
      </c>
      <c r="B201" s="17" t="n">
        <v>453295.54</v>
      </c>
      <c r="C201" s="17" t="n">
        <v>12406.73</v>
      </c>
      <c r="D201" s="17" t="n">
        <v>0</v>
      </c>
      <c r="E201" s="17">
        <f>B201-C201-D201</f>
        <v/>
      </c>
      <c r="F201" s="16">
        <f>CHOOSE(WEEKDAY(A201,2),"Lunes","Martes","Miércoles","Jueves","Viernes","Sábado","Domingo")</f>
        <v/>
      </c>
      <c r="G201" s="23" t="n">
        <v>46126</v>
      </c>
      <c r="H201" s="16">
        <f>IF(G201&lt;=$B$7,"Cobrado","Retenido")</f>
        <v/>
      </c>
      <c r="I201" s="17">
        <f>IF(H201="Retenido",E201,0)</f>
        <v/>
      </c>
      <c r="J201" s="16" t="inlineStr">
        <is>
          <t>2026-W15</t>
        </is>
      </c>
    </row>
    <row r="202">
      <c r="A202" s="23" t="n">
        <v>46121</v>
      </c>
      <c r="B202" s="17" t="n">
        <v>582361.09</v>
      </c>
      <c r="C202" s="17" t="n">
        <v>12993.9</v>
      </c>
      <c r="D202" s="17" t="n">
        <v>0</v>
      </c>
      <c r="E202" s="17">
        <f>B202-C202-D202</f>
        <v/>
      </c>
      <c r="F202" s="16">
        <f>CHOOSE(WEEKDAY(A202,2),"Lunes","Martes","Miércoles","Jueves","Viernes","Sábado","Domingo")</f>
        <v/>
      </c>
      <c r="G202" s="23" t="n">
        <v>46127</v>
      </c>
      <c r="H202" s="16">
        <f>IF(G202&lt;=$B$7,"Cobrado","Retenido")</f>
        <v/>
      </c>
      <c r="I202" s="17">
        <f>IF(H202="Retenido",E202,0)</f>
        <v/>
      </c>
      <c r="J202" s="16" t="inlineStr">
        <is>
          <t>2026-W15</t>
        </is>
      </c>
    </row>
    <row r="203">
      <c r="A203" s="23" t="n">
        <v>46122</v>
      </c>
      <c r="B203" s="17" t="n">
        <v>667499.04</v>
      </c>
      <c r="C203" s="17" t="n">
        <v>15617.87</v>
      </c>
      <c r="D203" s="17" t="n">
        <v>0</v>
      </c>
      <c r="E203" s="17">
        <f>B203-C203-D203</f>
        <v/>
      </c>
      <c r="F203" s="16">
        <f>CHOOSE(WEEKDAY(A203,2),"Lunes","Martes","Miércoles","Jueves","Viernes","Sábado","Domingo")</f>
        <v/>
      </c>
      <c r="G203" s="23" t="n">
        <v>46128</v>
      </c>
      <c r="H203" s="16">
        <f>IF(G203&lt;=$B$7,"Cobrado","Retenido")</f>
        <v/>
      </c>
      <c r="I203" s="17">
        <f>IF(H203="Retenido",E203,0)</f>
        <v/>
      </c>
      <c r="J203" s="16" t="inlineStr">
        <is>
          <t>2026-W15</t>
        </is>
      </c>
    </row>
    <row r="204">
      <c r="A204" s="23" t="n">
        <v>46123</v>
      </c>
      <c r="B204" s="17" t="n">
        <v>569358.26</v>
      </c>
      <c r="C204" s="17" t="n">
        <v>12884.1</v>
      </c>
      <c r="D204" s="17" t="n">
        <v>0</v>
      </c>
      <c r="E204" s="17">
        <f>B204-C204-D204</f>
        <v/>
      </c>
      <c r="F204" s="16">
        <f>CHOOSE(WEEKDAY(A204,2),"Lunes","Martes","Miércoles","Jueves","Viernes","Sábado","Domingo")</f>
        <v/>
      </c>
      <c r="G204" s="23" t="n">
        <v>46129</v>
      </c>
      <c r="H204" s="16">
        <f>IF(G204&lt;=$B$7,"Cobrado","Retenido")</f>
        <v/>
      </c>
      <c r="I204" s="17">
        <f>IF(H204="Retenido",E204,0)</f>
        <v/>
      </c>
      <c r="J204" s="16" t="inlineStr">
        <is>
          <t>2026-W15</t>
        </is>
      </c>
    </row>
    <row r="205">
      <c r="A205" s="23" t="n">
        <v>46124</v>
      </c>
      <c r="B205" s="17" t="n">
        <v>558588.53</v>
      </c>
      <c r="C205" s="17" t="n">
        <v>12401.45</v>
      </c>
      <c r="D205" s="17" t="n">
        <v>0</v>
      </c>
      <c r="E205" s="17">
        <f>B205-C205-D205</f>
        <v/>
      </c>
      <c r="F205" s="16">
        <f>CHOOSE(WEEKDAY(A205,2),"Lunes","Martes","Miércoles","Jueves","Viernes","Sábado","Domingo")</f>
        <v/>
      </c>
      <c r="G205" s="23" t="n">
        <v>46129</v>
      </c>
      <c r="H205" s="16">
        <f>IF(G205&lt;=$B$7,"Cobrado","Retenido")</f>
        <v/>
      </c>
      <c r="I205" s="17">
        <f>IF(H205="Retenido",E205,0)</f>
        <v/>
      </c>
      <c r="J205" s="16" t="inlineStr">
        <is>
          <t>2026-W15</t>
        </is>
      </c>
    </row>
    <row r="206">
      <c r="A206" s="23" t="n">
        <v>46125</v>
      </c>
      <c r="B206" s="17" t="n">
        <v>666374.02</v>
      </c>
      <c r="C206" s="17" t="n">
        <v>15170.12</v>
      </c>
      <c r="D206" s="17" t="n">
        <v>0</v>
      </c>
      <c r="E206" s="17">
        <f>B206-C206-D206</f>
        <v/>
      </c>
      <c r="F206" s="16">
        <f>CHOOSE(WEEKDAY(A206,2),"Lunes","Martes","Miércoles","Jueves","Viernes","Sábado","Domingo")</f>
        <v/>
      </c>
      <c r="G206" s="23" t="n">
        <v>46129</v>
      </c>
      <c r="H206" s="16">
        <f>IF(G206&lt;=$B$7,"Cobrado","Retenido")</f>
        <v/>
      </c>
      <c r="I206" s="17">
        <f>IF(H206="Retenido",E206,0)</f>
        <v/>
      </c>
      <c r="J206" s="16" t="inlineStr">
        <is>
          <t>2026-W16</t>
        </is>
      </c>
    </row>
    <row r="207">
      <c r="A207" s="23" t="n">
        <v>46126</v>
      </c>
      <c r="B207" s="17" t="n">
        <v>678767.9</v>
      </c>
      <c r="C207" s="17" t="n">
        <v>16327.7</v>
      </c>
      <c r="D207" s="17" t="n">
        <v>0</v>
      </c>
      <c r="E207" s="17">
        <f>B207-C207-D207</f>
        <v/>
      </c>
      <c r="F207" s="16">
        <f>CHOOSE(WEEKDAY(A207,2),"Lunes","Martes","Miércoles","Jueves","Viernes","Sábado","Domingo")</f>
        <v/>
      </c>
      <c r="G207" s="23" t="n">
        <v>46132</v>
      </c>
      <c r="H207" s="16">
        <f>IF(G207&lt;=$B$7,"Cobrado","Retenido")</f>
        <v/>
      </c>
      <c r="I207" s="17">
        <f>IF(H207="Retenido",E207,0)</f>
        <v/>
      </c>
      <c r="J207" s="16" t="inlineStr">
        <is>
          <t>2026-W16</t>
        </is>
      </c>
    </row>
    <row r="208">
      <c r="A208" s="23" t="n">
        <v>46127</v>
      </c>
      <c r="B208" s="17" t="n">
        <v>571168.22</v>
      </c>
      <c r="C208" s="17" t="n">
        <v>15154.21</v>
      </c>
      <c r="D208" s="17" t="n">
        <v>0</v>
      </c>
      <c r="E208" s="17">
        <f>B208-C208-D208</f>
        <v/>
      </c>
      <c r="F208" s="16">
        <f>CHOOSE(WEEKDAY(A208,2),"Lunes","Martes","Miércoles","Jueves","Viernes","Sábado","Domingo")</f>
        <v/>
      </c>
      <c r="G208" s="23" t="n">
        <v>46133</v>
      </c>
      <c r="H208" s="16">
        <f>IF(G208&lt;=$B$7,"Cobrado","Retenido")</f>
        <v/>
      </c>
      <c r="I208" s="17">
        <f>IF(H208="Retenido",E208,0)</f>
        <v/>
      </c>
      <c r="J208" s="16" t="inlineStr">
        <is>
          <t>2026-W16</t>
        </is>
      </c>
    </row>
    <row r="209">
      <c r="A209" s="23" t="n">
        <v>46128</v>
      </c>
      <c r="B209" s="17" t="n">
        <v>487826.49</v>
      </c>
      <c r="C209" s="17" t="n">
        <v>10803.03</v>
      </c>
      <c r="D209" s="17" t="n">
        <v>0</v>
      </c>
      <c r="E209" s="17">
        <f>B209-C209-D209</f>
        <v/>
      </c>
      <c r="F209" s="16">
        <f>CHOOSE(WEEKDAY(A209,2),"Lunes","Martes","Miércoles","Jueves","Viernes","Sábado","Domingo")</f>
        <v/>
      </c>
      <c r="G209" s="23" t="n">
        <v>46134</v>
      </c>
      <c r="H209" s="16">
        <f>IF(G209&lt;=$B$7,"Cobrado","Retenido")</f>
        <v/>
      </c>
      <c r="I209" s="17">
        <f>IF(H209="Retenido",E209,0)</f>
        <v/>
      </c>
      <c r="J209" s="16" t="inlineStr">
        <is>
          <t>2026-W16</t>
        </is>
      </c>
    </row>
    <row r="210">
      <c r="A210" s="23" t="n">
        <v>46129</v>
      </c>
      <c r="B210" s="17" t="n">
        <v>587399.8100000001</v>
      </c>
      <c r="C210" s="17" t="n">
        <v>13312.33</v>
      </c>
      <c r="D210" s="17" t="n">
        <v>0</v>
      </c>
      <c r="E210" s="17">
        <f>B210-C210-D210</f>
        <v/>
      </c>
      <c r="F210" s="16">
        <f>CHOOSE(WEEKDAY(A210,2),"Lunes","Martes","Miércoles","Jueves","Viernes","Sábado","Domingo")</f>
        <v/>
      </c>
      <c r="G210" s="23" t="n">
        <v>46135</v>
      </c>
      <c r="H210" s="16">
        <f>IF(G210&lt;=$B$7,"Cobrado","Retenido")</f>
        <v/>
      </c>
      <c r="I210" s="17">
        <f>IF(H210="Retenido",E210,0)</f>
        <v/>
      </c>
      <c r="J210" s="16" t="inlineStr">
        <is>
          <t>2026-W16</t>
        </is>
      </c>
    </row>
    <row r="211">
      <c r="A211" s="23" t="n">
        <v>46130</v>
      </c>
      <c r="B211" s="17" t="n">
        <v>460535.68</v>
      </c>
      <c r="C211" s="17" t="n">
        <v>10500.27</v>
      </c>
      <c r="D211" s="17" t="n">
        <v>0</v>
      </c>
      <c r="E211" s="17">
        <f>B211-C211-D211</f>
        <v/>
      </c>
      <c r="F211" s="16">
        <f>CHOOSE(WEEKDAY(A211,2),"Lunes","Martes","Miércoles","Jueves","Viernes","Sábado","Domingo")</f>
        <v/>
      </c>
      <c r="G211" s="23" t="n">
        <v>46136</v>
      </c>
      <c r="H211" s="16">
        <f>IF(G211&lt;=$B$7,"Cobrado","Retenido")</f>
        <v/>
      </c>
      <c r="I211" s="17">
        <f>IF(H211="Retenido",E211,0)</f>
        <v/>
      </c>
      <c r="J211" s="16" t="inlineStr">
        <is>
          <t>2026-W16</t>
        </is>
      </c>
    </row>
    <row r="212">
      <c r="A212" s="23" t="n">
        <v>46131</v>
      </c>
      <c r="B212" s="17" t="n">
        <v>471800.1</v>
      </c>
      <c r="C212" s="17" t="n">
        <v>10197.25</v>
      </c>
      <c r="D212" s="17" t="n">
        <v>0</v>
      </c>
      <c r="E212" s="17">
        <f>B212-C212-D212</f>
        <v/>
      </c>
      <c r="F212" s="16">
        <f>CHOOSE(WEEKDAY(A212,2),"Lunes","Martes","Miércoles","Jueves","Viernes","Sábado","Domingo")</f>
        <v/>
      </c>
      <c r="G212" s="23" t="n">
        <v>46136</v>
      </c>
      <c r="H212" s="16">
        <f>IF(G212&lt;=$B$7,"Cobrado","Retenido")</f>
        <v/>
      </c>
      <c r="I212" s="17">
        <f>IF(H212="Retenido",E212,0)</f>
        <v/>
      </c>
      <c r="J212" s="16" t="inlineStr">
        <is>
          <t>2026-W16</t>
        </is>
      </c>
    </row>
    <row r="213">
      <c r="A213" s="23" t="n">
        <v>46132</v>
      </c>
      <c r="B213" s="17" t="n">
        <v>632450.54</v>
      </c>
      <c r="C213" s="17" t="n">
        <v>14281.51</v>
      </c>
      <c r="D213" s="17" t="n">
        <v>0</v>
      </c>
      <c r="E213" s="17">
        <f>B213-C213-D213</f>
        <v/>
      </c>
      <c r="F213" s="16">
        <f>CHOOSE(WEEKDAY(A213,2),"Lunes","Martes","Miércoles","Jueves","Viernes","Sábado","Domingo")</f>
        <v/>
      </c>
      <c r="G213" s="23" t="n">
        <v>46136</v>
      </c>
      <c r="H213" s="16">
        <f>IF(G213&lt;=$B$7,"Cobrado","Retenido")</f>
        <v/>
      </c>
      <c r="I213" s="17">
        <f>IF(H213="Retenido",E213,0)</f>
        <v/>
      </c>
      <c r="J213" s="16" t="inlineStr">
        <is>
          <t>2026-W17</t>
        </is>
      </c>
    </row>
    <row r="214">
      <c r="A214" s="23" t="n">
        <v>46133</v>
      </c>
      <c r="B214" s="17" t="n">
        <v>572495.0699999999</v>
      </c>
      <c r="C214" s="17" t="n">
        <v>14132.77</v>
      </c>
      <c r="D214" s="17" t="n">
        <v>0</v>
      </c>
      <c r="E214" s="17">
        <f>B214-C214-D214</f>
        <v/>
      </c>
      <c r="F214" s="16">
        <f>CHOOSE(WEEKDAY(A214,2),"Lunes","Martes","Miércoles","Jueves","Viernes","Sábado","Domingo")</f>
        <v/>
      </c>
      <c r="G214" s="23" t="n">
        <v>46139</v>
      </c>
      <c r="H214" s="16">
        <f>IF(G214&lt;=$B$7,"Cobrado","Retenido")</f>
        <v/>
      </c>
      <c r="I214" s="17">
        <f>IF(H214="Retenido",E214,0)</f>
        <v/>
      </c>
      <c r="J214" s="16" t="inlineStr">
        <is>
          <t>2026-W17</t>
        </is>
      </c>
    </row>
    <row r="215">
      <c r="A215" s="23" t="n">
        <v>46134</v>
      </c>
      <c r="B215" s="17" t="n">
        <v>490285.33</v>
      </c>
      <c r="C215" s="17" t="n">
        <v>14971.49</v>
      </c>
      <c r="D215" s="17" t="n">
        <v>0</v>
      </c>
      <c r="E215" s="17">
        <f>B215-C215-D215</f>
        <v/>
      </c>
      <c r="F215" s="16">
        <f>CHOOSE(WEEKDAY(A215,2),"Lunes","Martes","Miércoles","Jueves","Viernes","Sábado","Domingo")</f>
        <v/>
      </c>
      <c r="G215" s="23" t="n">
        <v>46140</v>
      </c>
      <c r="H215" s="16">
        <f>IF(G215&lt;=$B$7,"Cobrado","Retenido")</f>
        <v/>
      </c>
      <c r="I215" s="17">
        <f>IF(H215="Retenido",E215,0)</f>
        <v/>
      </c>
      <c r="J215" s="16" t="inlineStr">
        <is>
          <t>2026-W17</t>
        </is>
      </c>
    </row>
    <row r="216">
      <c r="A216" s="23" t="n">
        <v>46135</v>
      </c>
      <c r="B216" s="17" t="n">
        <v>553090.4300000001</v>
      </c>
      <c r="C216" s="17" t="n">
        <v>6704.84</v>
      </c>
      <c r="D216" s="17" t="n">
        <v>0</v>
      </c>
      <c r="E216" s="17">
        <f>B216-C216-D216</f>
        <v/>
      </c>
      <c r="F216" s="16">
        <f>CHOOSE(WEEKDAY(A216,2),"Lunes","Martes","Miércoles","Jueves","Viernes","Sábado","Domingo")</f>
        <v/>
      </c>
      <c r="G216" s="23" t="n">
        <v>46141</v>
      </c>
      <c r="H216" s="16">
        <f>IF(G216&lt;=$B$7,"Cobrado","Retenido")</f>
        <v/>
      </c>
      <c r="I216" s="17">
        <f>IF(H216="Retenido",E216,0)</f>
        <v/>
      </c>
      <c r="J216" s="16" t="inlineStr">
        <is>
          <t>2026-W17</t>
        </is>
      </c>
    </row>
    <row r="217">
      <c r="A217" s="23" t="n">
        <v>46136</v>
      </c>
      <c r="B217" s="17" t="n">
        <v>294103.56</v>
      </c>
      <c r="C217" s="17" t="n">
        <v>13268.42</v>
      </c>
      <c r="D217" s="17" t="n">
        <v>0</v>
      </c>
      <c r="E217" s="17">
        <f>B217-C217-D217</f>
        <v/>
      </c>
      <c r="F217" s="16">
        <f>CHOOSE(WEEKDAY(A217,2),"Lunes","Martes","Miércoles","Jueves","Viernes","Sábado","Domingo")</f>
        <v/>
      </c>
      <c r="G217" s="23" t="n">
        <v>46142</v>
      </c>
      <c r="H217" s="16">
        <f>IF(G217&lt;=$B$7,"Cobrado","Retenido")</f>
        <v/>
      </c>
      <c r="I217" s="17">
        <f>IF(H217="Retenido",E217,0)</f>
        <v/>
      </c>
      <c r="J217" s="16" t="inlineStr">
        <is>
          <t>2026-W17</t>
        </is>
      </c>
    </row>
    <row r="218">
      <c r="A218" s="23" t="n">
        <v>46137</v>
      </c>
      <c r="B218" s="17" t="n">
        <v>486120.04</v>
      </c>
      <c r="C218" s="17" t="n">
        <v>11113.78</v>
      </c>
      <c r="D218" s="17" t="n">
        <v>0</v>
      </c>
      <c r="E218" s="17">
        <f>B218-C218-D218</f>
        <v/>
      </c>
      <c r="F218" s="16">
        <f>CHOOSE(WEEKDAY(A218,2),"Lunes","Martes","Miércoles","Jueves","Viernes","Sábado","Domingo")</f>
        <v/>
      </c>
      <c r="G218" s="23" t="n">
        <v>46143</v>
      </c>
      <c r="H218" s="16">
        <f>IF(G218&lt;=$B$7,"Cobrado","Retenido")</f>
        <v/>
      </c>
      <c r="I218" s="17">
        <f>IF(H218="Retenido",E218,0)</f>
        <v/>
      </c>
      <c r="J218" s="16" t="inlineStr">
        <is>
          <t>2026-W17</t>
        </is>
      </c>
    </row>
    <row r="219">
      <c r="A219" s="23" t="n">
        <v>46138</v>
      </c>
      <c r="B219" s="17" t="n">
        <v>495796.39</v>
      </c>
      <c r="C219" s="17" t="n">
        <v>10381.54</v>
      </c>
      <c r="D219" s="17" t="n">
        <v>0</v>
      </c>
      <c r="E219" s="17">
        <f>B219-C219-D219</f>
        <v/>
      </c>
      <c r="F219" s="16">
        <f>CHOOSE(WEEKDAY(A219,2),"Lunes","Martes","Miércoles","Jueves","Viernes","Sábado","Domingo")</f>
        <v/>
      </c>
      <c r="G219" s="23" t="n">
        <v>46143</v>
      </c>
      <c r="H219" s="16">
        <f>IF(G219&lt;=$B$7,"Cobrado","Retenido")</f>
        <v/>
      </c>
      <c r="I219" s="17">
        <f>IF(H219="Retenido",E219,0)</f>
        <v/>
      </c>
      <c r="J219" s="16" t="inlineStr">
        <is>
          <t>2026-W17</t>
        </is>
      </c>
    </row>
    <row r="220">
      <c r="A220" s="23" t="n">
        <v>46139</v>
      </c>
      <c r="B220" s="17" t="n">
        <v>633075.22</v>
      </c>
      <c r="C220" s="17" t="n">
        <v>13438.85</v>
      </c>
      <c r="D220" s="17" t="n">
        <v>0</v>
      </c>
      <c r="E220" s="17">
        <f>B220-C220-D220</f>
        <v/>
      </c>
      <c r="F220" s="16">
        <f>CHOOSE(WEEKDAY(A220,2),"Lunes","Martes","Miércoles","Jueves","Viernes","Sábado","Domingo")</f>
        <v/>
      </c>
      <c r="G220" s="23" t="n">
        <v>46143</v>
      </c>
      <c r="H220" s="16">
        <f>IF(G220&lt;=$B$7,"Cobrado","Retenido")</f>
        <v/>
      </c>
      <c r="I220" s="17">
        <f>IF(H220="Retenido",E220,0)</f>
        <v/>
      </c>
      <c r="J220" s="16" t="inlineStr">
        <is>
          <t>2026-W18</t>
        </is>
      </c>
    </row>
    <row r="221">
      <c r="A221" s="23" t="n">
        <v>46140</v>
      </c>
      <c r="B221" s="17" t="n">
        <v>634850.95</v>
      </c>
      <c r="C221" s="17" t="n">
        <v>13605.08</v>
      </c>
      <c r="D221" s="17" t="n">
        <v>0</v>
      </c>
      <c r="E221" s="17">
        <f>B221-C221-D221</f>
        <v/>
      </c>
      <c r="F221" s="16">
        <f>CHOOSE(WEEKDAY(A221,2),"Lunes","Martes","Miércoles","Jueves","Viernes","Sábado","Domingo")</f>
        <v/>
      </c>
      <c r="G221" s="23" t="n">
        <v>46146</v>
      </c>
      <c r="H221" s="16">
        <f>IF(G221&lt;=$B$7,"Cobrado","Retenido")</f>
        <v/>
      </c>
      <c r="I221" s="17">
        <f>IF(H221="Retenido",E221,0)</f>
        <v/>
      </c>
      <c r="J221" s="16" t="inlineStr">
        <is>
          <t>2026-W18</t>
        </is>
      </c>
    </row>
    <row r="222">
      <c r="A222" s="23" t="n">
        <v>46141</v>
      </c>
      <c r="B222" s="17" t="n">
        <v>622422.48</v>
      </c>
      <c r="C222" s="17" t="n">
        <v>12891.16</v>
      </c>
      <c r="D222" s="17" t="n">
        <v>0</v>
      </c>
      <c r="E222" s="17">
        <f>B222-C222-D222</f>
        <v/>
      </c>
      <c r="F222" s="16">
        <f>CHOOSE(WEEKDAY(A222,2),"Lunes","Martes","Miércoles","Jueves","Viernes","Sábado","Domingo")</f>
        <v/>
      </c>
      <c r="G222" s="23" t="n">
        <v>46147</v>
      </c>
      <c r="H222" s="16">
        <f>IF(G222&lt;=$B$7,"Cobrado","Retenido")</f>
        <v/>
      </c>
      <c r="I222" s="17">
        <f>IF(H222="Retenido",E222,0)</f>
        <v/>
      </c>
      <c r="J222" s="16" t="inlineStr">
        <is>
          <t>2026-W18</t>
        </is>
      </c>
    </row>
    <row r="223">
      <c r="A223" s="23" t="n">
        <v>46142</v>
      </c>
      <c r="B223" s="17" t="n">
        <v>634885.91</v>
      </c>
      <c r="C223" s="17" t="n">
        <v>14008.2</v>
      </c>
      <c r="D223" s="17" t="n">
        <v>0</v>
      </c>
      <c r="E223" s="17">
        <f>B223-C223-D223</f>
        <v/>
      </c>
      <c r="F223" s="16">
        <f>CHOOSE(WEEKDAY(A223,2),"Lunes","Martes","Miércoles","Jueves","Viernes","Sábado","Domingo")</f>
        <v/>
      </c>
      <c r="G223" s="23" t="n">
        <v>46148</v>
      </c>
      <c r="H223" s="16">
        <f>IF(G223&lt;=$B$7,"Cobrado","Retenido")</f>
        <v/>
      </c>
      <c r="I223" s="17">
        <f>IF(H223="Retenido",E223,0)</f>
        <v/>
      </c>
      <c r="J223" s="16" t="inlineStr">
        <is>
          <t>2026-W18</t>
        </is>
      </c>
    </row>
    <row r="224">
      <c r="A224" s="23" t="n">
        <v>46143</v>
      </c>
      <c r="B224" s="17" t="n">
        <v>501686.64</v>
      </c>
      <c r="C224" s="17" t="n">
        <v>10075.58</v>
      </c>
      <c r="D224" s="17" t="n">
        <v>0</v>
      </c>
      <c r="E224" s="17">
        <f>B224-C224-D224</f>
        <v/>
      </c>
      <c r="F224" s="16">
        <f>CHOOSE(WEEKDAY(A224,2),"Lunes","Martes","Miércoles","Jueves","Viernes","Sábado","Domingo")</f>
        <v/>
      </c>
      <c r="G224" s="23" t="n">
        <v>46149</v>
      </c>
      <c r="H224" s="16">
        <f>IF(G224&lt;=$B$7,"Cobrado","Retenido")</f>
        <v/>
      </c>
      <c r="I224" s="17">
        <f>IF(H224="Retenido",E224,0)</f>
        <v/>
      </c>
      <c r="J224" s="16" t="inlineStr">
        <is>
          <t>2026-W18</t>
        </is>
      </c>
    </row>
    <row r="225">
      <c r="A225" s="23" t="n">
        <v>46144</v>
      </c>
      <c r="B225" s="17" t="n">
        <v>472266.63</v>
      </c>
      <c r="C225" s="17" t="n">
        <v>10288.51</v>
      </c>
      <c r="D225" s="17" t="n">
        <v>0</v>
      </c>
      <c r="E225" s="17">
        <f>B225-C225-D225</f>
        <v/>
      </c>
      <c r="F225" s="16">
        <f>CHOOSE(WEEKDAY(A225,2),"Lunes","Martes","Miércoles","Jueves","Viernes","Sábado","Domingo")</f>
        <v/>
      </c>
      <c r="G225" s="23" t="n">
        <v>46150</v>
      </c>
      <c r="H225" s="16">
        <f>IF(G225&lt;=$B$7,"Cobrado","Retenido")</f>
        <v/>
      </c>
      <c r="I225" s="17">
        <f>IF(H225="Retenido",E225,0)</f>
        <v/>
      </c>
      <c r="J225" s="16" t="inlineStr">
        <is>
          <t>2026-W18</t>
        </is>
      </c>
    </row>
    <row r="226">
      <c r="A226" s="23" t="n">
        <v>46145</v>
      </c>
      <c r="B226" s="17" t="n">
        <v>425572.77</v>
      </c>
      <c r="C226" s="17" t="n">
        <v>7637.29</v>
      </c>
      <c r="D226" s="17" t="n">
        <v>0</v>
      </c>
      <c r="E226" s="17">
        <f>B226-C226-D226</f>
        <v/>
      </c>
      <c r="F226" s="16">
        <f>CHOOSE(WEEKDAY(A226,2),"Lunes","Martes","Miércoles","Jueves","Viernes","Sábado","Domingo")</f>
        <v/>
      </c>
      <c r="G226" s="23" t="n">
        <v>46150</v>
      </c>
      <c r="H226" s="16">
        <f>IF(G226&lt;=$B$7,"Cobrado","Retenido")</f>
        <v/>
      </c>
      <c r="I226" s="17">
        <f>IF(H226="Retenido",E226,0)</f>
        <v/>
      </c>
      <c r="J226" s="16" t="inlineStr">
        <is>
          <t>2026-W18</t>
        </is>
      </c>
    </row>
    <row r="227">
      <c r="A227" s="23" t="n">
        <v>46146</v>
      </c>
      <c r="B227" s="17" t="n">
        <v>548413.24</v>
      </c>
      <c r="C227" s="17" t="n">
        <v>12489.81</v>
      </c>
      <c r="D227" s="17" t="n">
        <v>0</v>
      </c>
      <c r="E227" s="17">
        <f>B227-C227-D227</f>
        <v/>
      </c>
      <c r="F227" s="16">
        <f>CHOOSE(WEEKDAY(A227,2),"Lunes","Martes","Miércoles","Jueves","Viernes","Sábado","Domingo")</f>
        <v/>
      </c>
      <c r="G227" s="23" t="n">
        <v>46150</v>
      </c>
      <c r="H227" s="16">
        <f>IF(G227&lt;=$B$7,"Cobrado","Retenido")</f>
        <v/>
      </c>
      <c r="I227" s="17">
        <f>IF(H227="Retenido",E227,0)</f>
        <v/>
      </c>
      <c r="J227" s="16" t="inlineStr">
        <is>
          <t>2026-W19</t>
        </is>
      </c>
    </row>
    <row r="228">
      <c r="A228" s="23" t="n">
        <v>46147</v>
      </c>
      <c r="B228" s="17" t="n">
        <v>418945.65</v>
      </c>
      <c r="C228" s="17" t="n">
        <v>12215.41</v>
      </c>
      <c r="D228" s="17" t="n">
        <v>0</v>
      </c>
      <c r="E228" s="17">
        <f>B228-C228-D228</f>
        <v/>
      </c>
      <c r="F228" s="16">
        <f>CHOOSE(WEEKDAY(A228,2),"Lunes","Martes","Miércoles","Jueves","Viernes","Sábado","Domingo")</f>
        <v/>
      </c>
      <c r="G228" s="23" t="n">
        <v>46153</v>
      </c>
      <c r="H228" s="16">
        <f>IF(G228&lt;=$B$7,"Cobrado","Retenido")</f>
        <v/>
      </c>
      <c r="I228" s="17">
        <f>IF(H228="Retenido",E228,0)</f>
        <v/>
      </c>
      <c r="J228" s="16" t="inlineStr">
        <is>
          <t>2026-W19</t>
        </is>
      </c>
    </row>
    <row r="229">
      <c r="A229" s="23" t="n">
        <v>46148</v>
      </c>
      <c r="B229" s="17" t="n">
        <v>402938.28</v>
      </c>
      <c r="C229" s="17" t="n">
        <v>11858.79</v>
      </c>
      <c r="D229" s="17" t="n">
        <v>0</v>
      </c>
      <c r="E229" s="17">
        <f>B229-C229-D229</f>
        <v/>
      </c>
      <c r="F229" s="16">
        <f>CHOOSE(WEEKDAY(A229,2),"Lunes","Martes","Miércoles","Jueves","Viernes","Sábado","Domingo")</f>
        <v/>
      </c>
      <c r="G229" s="23" t="n">
        <v>46154</v>
      </c>
      <c r="H229" s="16">
        <f>IF(G229&lt;=$B$7,"Cobrado","Retenido")</f>
        <v/>
      </c>
      <c r="I229" s="17">
        <f>IF(H229="Retenido",E229,0)</f>
        <v/>
      </c>
      <c r="J229" s="16" t="inlineStr">
        <is>
          <t>2026-W19</t>
        </is>
      </c>
    </row>
    <row r="230">
      <c r="A230" s="23" t="n">
        <v>46149</v>
      </c>
      <c r="B230" s="17" t="n">
        <v>544039.05</v>
      </c>
      <c r="C230" s="17" t="n">
        <v>11427.7</v>
      </c>
      <c r="D230" s="17" t="n">
        <v>0</v>
      </c>
      <c r="E230" s="17">
        <f>B230-C230-D230</f>
        <v/>
      </c>
      <c r="F230" s="16">
        <f>CHOOSE(WEEKDAY(A230,2),"Lunes","Martes","Miércoles","Jueves","Viernes","Sábado","Domingo")</f>
        <v/>
      </c>
      <c r="G230" s="23" t="n">
        <v>46155</v>
      </c>
      <c r="H230" s="16">
        <f>IF(G230&lt;=$B$7,"Cobrado","Retenido")</f>
        <v/>
      </c>
      <c r="I230" s="17">
        <f>IF(H230="Retenido",E230,0)</f>
        <v/>
      </c>
      <c r="J230" s="16" t="inlineStr">
        <is>
          <t>2026-W19</t>
        </is>
      </c>
    </row>
    <row r="231">
      <c r="A231" s="23" t="n">
        <v>46150</v>
      </c>
      <c r="B231" s="17" t="n">
        <v>496949.84</v>
      </c>
      <c r="C231" s="17" t="n">
        <v>10040.04</v>
      </c>
      <c r="D231" s="17" t="n">
        <v>0</v>
      </c>
      <c r="E231" s="17">
        <f>B231-C231-D231</f>
        <v/>
      </c>
      <c r="F231" s="16">
        <f>CHOOSE(WEEKDAY(A231,2),"Lunes","Martes","Miércoles","Jueves","Viernes","Sábado","Domingo")</f>
        <v/>
      </c>
      <c r="G231" s="23" t="n">
        <v>46156</v>
      </c>
      <c r="H231" s="16">
        <f>IF(G231&lt;=$B$7,"Cobrado","Retenido")</f>
        <v/>
      </c>
      <c r="I231" s="17">
        <f>IF(H231="Retenido",E231,0)</f>
        <v/>
      </c>
      <c r="J231" s="16" t="inlineStr">
        <is>
          <t>2026-W19</t>
        </is>
      </c>
    </row>
    <row r="232">
      <c r="A232" s="23" t="n">
        <v>46151</v>
      </c>
      <c r="B232" s="17" t="n">
        <v>403902.45</v>
      </c>
      <c r="C232" s="17" t="n">
        <v>8491.190000000001</v>
      </c>
      <c r="D232" s="17" t="n">
        <v>0</v>
      </c>
      <c r="E232" s="17">
        <f>B232-C232-D232</f>
        <v/>
      </c>
      <c r="F232" s="16">
        <f>CHOOSE(WEEKDAY(A232,2),"Lunes","Martes","Miércoles","Jueves","Viernes","Sábado","Domingo")</f>
        <v/>
      </c>
      <c r="G232" s="23" t="n">
        <v>46157</v>
      </c>
      <c r="H232" s="16">
        <f>IF(G232&lt;=$B$7,"Cobrado","Retenido")</f>
        <v/>
      </c>
      <c r="I232" s="17">
        <f>IF(H232="Retenido",E232,0)</f>
        <v/>
      </c>
      <c r="J232" s="16" t="inlineStr">
        <is>
          <t>2026-W19</t>
        </is>
      </c>
    </row>
    <row r="233">
      <c r="A233" s="23" t="n">
        <v>46152</v>
      </c>
      <c r="B233" s="17" t="n">
        <v>462852.03</v>
      </c>
      <c r="C233" s="17" t="n">
        <v>9228.540000000001</v>
      </c>
      <c r="D233" s="17" t="n">
        <v>0</v>
      </c>
      <c r="E233" s="17">
        <f>B233-C233-D233</f>
        <v/>
      </c>
      <c r="F233" s="16">
        <f>CHOOSE(WEEKDAY(A233,2),"Lunes","Martes","Miércoles","Jueves","Viernes","Sábado","Domingo")</f>
        <v/>
      </c>
      <c r="G233" s="23" t="n">
        <v>46157</v>
      </c>
      <c r="H233" s="16">
        <f>IF(G233&lt;=$B$7,"Cobrado","Retenido")</f>
        <v/>
      </c>
      <c r="I233" s="17">
        <f>IF(H233="Retenido",E233,0)</f>
        <v/>
      </c>
      <c r="J233" s="16" t="inlineStr">
        <is>
          <t>2026-W19</t>
        </is>
      </c>
    </row>
    <row r="234">
      <c r="A234" s="23" t="n">
        <v>46153</v>
      </c>
      <c r="B234" s="17" t="n">
        <v>555101.8199999999</v>
      </c>
      <c r="C234" s="17" t="n">
        <v>11934.52</v>
      </c>
      <c r="D234" s="17" t="n">
        <v>0</v>
      </c>
      <c r="E234" s="17">
        <f>B234-C234-D234</f>
        <v/>
      </c>
      <c r="F234" s="16">
        <f>CHOOSE(WEEKDAY(A234,2),"Lunes","Martes","Miércoles","Jueves","Viernes","Sábado","Domingo")</f>
        <v/>
      </c>
      <c r="G234" s="23" t="n">
        <v>46157</v>
      </c>
      <c r="H234" s="16">
        <f>IF(G234&lt;=$B$7,"Cobrado","Retenido")</f>
        <v/>
      </c>
      <c r="I234" s="17">
        <f>IF(H234="Retenido",E234,0)</f>
        <v/>
      </c>
      <c r="J234" s="16" t="inlineStr">
        <is>
          <t>2026-W20</t>
        </is>
      </c>
    </row>
    <row r="235">
      <c r="A235" s="23" t="n">
        <v>46154</v>
      </c>
      <c r="B235" s="17" t="n">
        <v>463261.19</v>
      </c>
      <c r="C235" s="17" t="n">
        <v>11900.59</v>
      </c>
      <c r="D235" s="17" t="n">
        <v>0</v>
      </c>
      <c r="E235" s="17">
        <f>B235-C235-D235</f>
        <v/>
      </c>
      <c r="F235" s="16">
        <f>CHOOSE(WEEKDAY(A235,2),"Lunes","Martes","Miércoles","Jueves","Viernes","Sábado","Domingo")</f>
        <v/>
      </c>
      <c r="G235" s="23" t="n">
        <v>46160</v>
      </c>
      <c r="H235" s="16">
        <f>IF(G235&lt;=$B$7,"Cobrado","Retenido")</f>
        <v/>
      </c>
      <c r="I235" s="17">
        <f>IF(H235="Retenido",E235,0)</f>
        <v/>
      </c>
      <c r="J235" s="16" t="inlineStr">
        <is>
          <t>2026-W20</t>
        </is>
      </c>
    </row>
    <row r="236">
      <c r="A236" s="23" t="n">
        <v>46155</v>
      </c>
      <c r="B236" s="17" t="n">
        <v>253690.09</v>
      </c>
      <c r="C236" s="17" t="n">
        <v>11515.15</v>
      </c>
      <c r="D236" s="17" t="n">
        <v>0</v>
      </c>
      <c r="E236" s="17">
        <f>B236-C236-D236</f>
        <v/>
      </c>
      <c r="F236" s="16">
        <f>CHOOSE(WEEKDAY(A236,2),"Lunes","Martes","Miércoles","Jueves","Viernes","Sábado","Domingo")</f>
        <v/>
      </c>
      <c r="G236" s="23" t="n">
        <v>46161</v>
      </c>
      <c r="H236" s="16">
        <f>IF(G236&lt;=$B$7,"Cobrado","Retenido")</f>
        <v/>
      </c>
      <c r="I236" s="17">
        <f>IF(H236="Retenido",E236,0)</f>
        <v/>
      </c>
      <c r="J236" s="16" t="inlineStr">
        <is>
          <t>2026-W20</t>
        </is>
      </c>
    </row>
    <row r="237">
      <c r="A237" s="23" t="n">
        <v>46156</v>
      </c>
      <c r="B237" s="17" t="n">
        <v>552649.15</v>
      </c>
      <c r="C237" s="17" t="n">
        <v>10516.32</v>
      </c>
      <c r="D237" s="17" t="n">
        <v>0</v>
      </c>
      <c r="E237" s="17">
        <f>B237-C237-D237</f>
        <v/>
      </c>
      <c r="F237" s="16">
        <f>CHOOSE(WEEKDAY(A237,2),"Lunes","Martes","Miércoles","Jueves","Viernes","Sábado","Domingo")</f>
        <v/>
      </c>
      <c r="G237" s="23" t="n">
        <v>46162</v>
      </c>
      <c r="H237" s="16">
        <f>IF(G237&lt;=$B$7,"Cobrado","Retenido")</f>
        <v/>
      </c>
      <c r="I237" s="17">
        <f>IF(H237="Retenido",E237,0)</f>
        <v/>
      </c>
      <c r="J237" s="16" t="inlineStr">
        <is>
          <t>2026-W20</t>
        </is>
      </c>
    </row>
    <row r="238">
      <c r="A238" s="23" t="n">
        <v>46157</v>
      </c>
      <c r="B238" s="17" t="n">
        <v>532759.47</v>
      </c>
      <c r="C238" s="17" t="n">
        <v>11190.88</v>
      </c>
      <c r="D238" s="17" t="n">
        <v>0</v>
      </c>
      <c r="E238" s="17">
        <f>B238-C238-D238</f>
        <v/>
      </c>
      <c r="F238" s="16">
        <f>CHOOSE(WEEKDAY(A238,2),"Lunes","Martes","Miércoles","Jueves","Viernes","Sábado","Domingo")</f>
        <v/>
      </c>
      <c r="G238" s="23" t="n">
        <v>46163</v>
      </c>
      <c r="H238" s="16">
        <f>IF(G238&lt;=$B$7,"Cobrado","Retenido")</f>
        <v/>
      </c>
      <c r="I238" s="17">
        <f>IF(H238="Retenido",E238,0)</f>
        <v/>
      </c>
      <c r="J238" s="16" t="inlineStr">
        <is>
          <t>2026-W20</t>
        </is>
      </c>
    </row>
    <row r="239">
      <c r="A239" s="23" t="n">
        <v>46158</v>
      </c>
      <c r="B239" s="17" t="n">
        <v>428381.52</v>
      </c>
      <c r="C239" s="17" t="n">
        <v>8562</v>
      </c>
      <c r="D239" s="17" t="n">
        <v>0</v>
      </c>
      <c r="E239" s="17">
        <f>B239-C239-D239</f>
        <v/>
      </c>
      <c r="F239" s="16">
        <f>CHOOSE(WEEKDAY(A239,2),"Lunes","Martes","Miércoles","Jueves","Viernes","Sábado","Domingo")</f>
        <v/>
      </c>
      <c r="G239" s="23" t="n">
        <v>46164</v>
      </c>
      <c r="H239" s="16">
        <f>IF(G239&lt;=$B$7,"Cobrado","Retenido")</f>
        <v/>
      </c>
      <c r="I239" s="17">
        <f>IF(H239="Retenido",E239,0)</f>
        <v/>
      </c>
      <c r="J239" s="16" t="inlineStr">
        <is>
          <t>2026-W20</t>
        </is>
      </c>
    </row>
    <row r="240">
      <c r="A240" s="23" t="n">
        <v>46159</v>
      </c>
      <c r="B240" s="17" t="n">
        <v>450797.94</v>
      </c>
      <c r="C240" s="17" t="n">
        <v>8435.52</v>
      </c>
      <c r="D240" s="17" t="n">
        <v>0</v>
      </c>
      <c r="E240" s="17">
        <f>B240-C240-D240</f>
        <v/>
      </c>
      <c r="F240" s="16">
        <f>CHOOSE(WEEKDAY(A240,2),"Lunes","Martes","Miércoles","Jueves","Viernes","Sábado","Domingo")</f>
        <v/>
      </c>
      <c r="G240" s="23" t="n">
        <v>46164</v>
      </c>
      <c r="H240" s="16">
        <f>IF(G240&lt;=$B$7,"Cobrado","Retenido")</f>
        <v/>
      </c>
      <c r="I240" s="17">
        <f>IF(H240="Retenido",E240,0)</f>
        <v/>
      </c>
      <c r="J240" s="16" t="inlineStr">
        <is>
          <t>2026-W20</t>
        </is>
      </c>
    </row>
    <row r="241">
      <c r="A241" s="23" t="n">
        <v>46160</v>
      </c>
      <c r="B241" s="17" t="n">
        <v>607809.65</v>
      </c>
      <c r="C241" s="17" t="n">
        <v>12103.6</v>
      </c>
      <c r="D241" s="17" t="n">
        <v>0</v>
      </c>
      <c r="E241" s="17">
        <f>B241-C241-D241</f>
        <v/>
      </c>
      <c r="F241" s="16">
        <f>CHOOSE(WEEKDAY(A241,2),"Lunes","Martes","Miércoles","Jueves","Viernes","Sábado","Domingo")</f>
        <v/>
      </c>
      <c r="G241" s="23" t="n">
        <v>46164</v>
      </c>
      <c r="H241" s="16">
        <f>IF(G241&lt;=$B$7,"Cobrado","Retenido")</f>
        <v/>
      </c>
      <c r="I241" s="17">
        <f>IF(H241="Retenido",E241,0)</f>
        <v/>
      </c>
      <c r="J241" s="16" t="inlineStr">
        <is>
          <t>2026-W21</t>
        </is>
      </c>
    </row>
    <row r="242">
      <c r="A242" s="23" t="n">
        <v>46161</v>
      </c>
      <c r="B242" s="17" t="n">
        <v>460153.78</v>
      </c>
      <c r="C242" s="17" t="n">
        <v>11427.85</v>
      </c>
      <c r="D242" s="17" t="n">
        <v>0</v>
      </c>
      <c r="E242" s="17">
        <f>B242-C242-D242</f>
        <v/>
      </c>
      <c r="F242" s="16">
        <f>CHOOSE(WEEKDAY(A242,2),"Lunes","Martes","Miércoles","Jueves","Viernes","Sábado","Domingo")</f>
        <v/>
      </c>
      <c r="G242" s="23" t="n">
        <v>46167</v>
      </c>
      <c r="H242" s="16">
        <f>IF(G242&lt;=$B$7,"Cobrado","Retenido")</f>
        <v/>
      </c>
      <c r="I242" s="17">
        <f>IF(H242="Retenido",E242,0)</f>
        <v/>
      </c>
      <c r="J242" s="16" t="inlineStr">
        <is>
          <t>2026-W21</t>
        </is>
      </c>
    </row>
    <row r="243">
      <c r="A243" s="23" t="n">
        <v>46162</v>
      </c>
      <c r="B243" s="17" t="n">
        <v>524168.95</v>
      </c>
      <c r="C243" s="17" t="n">
        <v>11455.46</v>
      </c>
      <c r="D243" s="17" t="n">
        <v>0</v>
      </c>
      <c r="E243" s="17">
        <f>B243-C243-D243</f>
        <v/>
      </c>
      <c r="F243" s="16">
        <f>CHOOSE(WEEKDAY(A243,2),"Lunes","Martes","Miércoles","Jueves","Viernes","Sábado","Domingo")</f>
        <v/>
      </c>
      <c r="G243" s="23" t="n">
        <v>46168</v>
      </c>
      <c r="H243" s="16">
        <f>IF(G243&lt;=$B$7,"Cobrado","Retenido")</f>
        <v/>
      </c>
      <c r="I243" s="17">
        <f>IF(H243="Retenido",E243,0)</f>
        <v/>
      </c>
      <c r="J243" s="16" t="inlineStr">
        <is>
          <t>2026-W21</t>
        </is>
      </c>
    </row>
    <row r="244">
      <c r="A244" s="23" t="n">
        <v>46163</v>
      </c>
      <c r="B244" s="17" t="n">
        <v>563667.38</v>
      </c>
      <c r="C244" s="17" t="n">
        <v>11416.38</v>
      </c>
      <c r="D244" s="17" t="n">
        <v>0</v>
      </c>
      <c r="E244" s="17">
        <f>B244-C244-D244</f>
        <v/>
      </c>
      <c r="F244" s="16">
        <f>CHOOSE(WEEKDAY(A244,2),"Lunes","Martes","Miércoles","Jueves","Viernes","Sábado","Domingo")</f>
        <v/>
      </c>
      <c r="G244" s="23" t="n">
        <v>46169</v>
      </c>
      <c r="H244" s="16">
        <f>IF(G244&lt;=$B$7,"Cobrado","Retenido")</f>
        <v/>
      </c>
      <c r="I244" s="17">
        <f>IF(H244="Retenido",E244,0)</f>
        <v/>
      </c>
      <c r="J244" s="16" t="inlineStr">
        <is>
          <t>2026-W21</t>
        </is>
      </c>
    </row>
    <row r="245">
      <c r="A245" s="23" t="n">
        <v>46164</v>
      </c>
      <c r="B245" s="17" t="n">
        <v>509289.96</v>
      </c>
      <c r="C245" s="17" t="n">
        <v>10051.85</v>
      </c>
      <c r="D245" s="17" t="n">
        <v>0</v>
      </c>
      <c r="E245" s="17">
        <f>B245-C245-D245</f>
        <v/>
      </c>
      <c r="F245" s="16">
        <f>CHOOSE(WEEKDAY(A245,2),"Lunes","Martes","Miércoles","Jueves","Viernes","Sábado","Domingo")</f>
        <v/>
      </c>
      <c r="G245" s="23" t="n">
        <v>46170</v>
      </c>
      <c r="H245" s="16">
        <f>IF(G245&lt;=$B$7,"Cobrado","Retenido")</f>
        <v/>
      </c>
      <c r="I245" s="17">
        <f>IF(H245="Retenido",E245,0)</f>
        <v/>
      </c>
      <c r="J245" s="16" t="inlineStr">
        <is>
          <t>2026-W21</t>
        </is>
      </c>
    </row>
    <row r="246">
      <c r="A246" s="23" t="n">
        <v>46165</v>
      </c>
      <c r="B246" s="17" t="n">
        <v>395645.86</v>
      </c>
      <c r="C246" s="17" t="n">
        <v>8044.82</v>
      </c>
      <c r="D246" s="17" t="n">
        <v>0</v>
      </c>
      <c r="E246" s="17">
        <f>B246-C246-D246</f>
        <v/>
      </c>
      <c r="F246" s="16">
        <f>CHOOSE(WEEKDAY(A246,2),"Lunes","Martes","Miércoles","Jueves","Viernes","Sábado","Domingo")</f>
        <v/>
      </c>
      <c r="G246" s="23" t="n">
        <v>46171</v>
      </c>
      <c r="H246" s="16">
        <f>IF(G246&lt;=$B$7,"Cobrado","Retenido")</f>
        <v/>
      </c>
      <c r="I246" s="17">
        <f>IF(H246="Retenido",E246,0)</f>
        <v/>
      </c>
      <c r="J246" s="16" t="inlineStr">
        <is>
          <t>2026-W21</t>
        </is>
      </c>
    </row>
    <row r="247">
      <c r="A247" s="23" t="n">
        <v>46166</v>
      </c>
      <c r="B247" s="17" t="n">
        <v>413466.16</v>
      </c>
      <c r="C247" s="17" t="n">
        <v>6776.95</v>
      </c>
      <c r="D247" s="17" t="n">
        <v>0</v>
      </c>
      <c r="E247" s="17">
        <f>B247-C247-D247</f>
        <v/>
      </c>
      <c r="F247" s="16">
        <f>CHOOSE(WEEKDAY(A247,2),"Lunes","Martes","Miércoles","Jueves","Viernes","Sábado","Domingo")</f>
        <v/>
      </c>
      <c r="G247" s="23" t="n">
        <v>46171</v>
      </c>
      <c r="H247" s="16">
        <f>IF(G247&lt;=$B$7,"Cobrado","Retenido")</f>
        <v/>
      </c>
      <c r="I247" s="17">
        <f>IF(H247="Retenido",E247,0)</f>
        <v/>
      </c>
      <c r="J247" s="16" t="inlineStr">
        <is>
          <t>2026-W21</t>
        </is>
      </c>
    </row>
    <row r="248">
      <c r="A248" s="23" t="n">
        <v>46167</v>
      </c>
      <c r="B248" s="17" t="n">
        <v>513989.65</v>
      </c>
      <c r="C248" s="17" t="n">
        <v>9983.790000000001</v>
      </c>
      <c r="D248" s="17" t="n">
        <v>0</v>
      </c>
      <c r="E248" s="17">
        <f>B248-C248-D248</f>
        <v/>
      </c>
      <c r="F248" s="16">
        <f>CHOOSE(WEEKDAY(A248,2),"Lunes","Martes","Miércoles","Jueves","Viernes","Sábado","Domingo")</f>
        <v/>
      </c>
      <c r="G248" s="23" t="n">
        <v>46171</v>
      </c>
      <c r="H248" s="16">
        <f>IF(G248&lt;=$B$7,"Cobrado","Retenido")</f>
        <v/>
      </c>
      <c r="I248" s="17">
        <f>IF(H248="Retenido",E248,0)</f>
        <v/>
      </c>
      <c r="J248" s="16" t="inlineStr">
        <is>
          <t>2026-W22</t>
        </is>
      </c>
    </row>
    <row r="249">
      <c r="A249" s="23" t="n">
        <v>46168</v>
      </c>
      <c r="B249" s="17" t="n">
        <v>527347.1</v>
      </c>
      <c r="C249" s="17" t="n">
        <v>10084.75</v>
      </c>
      <c r="D249" s="17" t="n">
        <v>0</v>
      </c>
      <c r="E249" s="17">
        <f>B249-C249-D249</f>
        <v/>
      </c>
      <c r="F249" s="16">
        <f>CHOOSE(WEEKDAY(A249,2),"Lunes","Martes","Miércoles","Jueves","Viernes","Sábado","Domingo")</f>
        <v/>
      </c>
      <c r="G249" s="23" t="n">
        <v>46174</v>
      </c>
      <c r="H249" s="16">
        <f>IF(G249&lt;=$B$7,"Cobrado","Retenido")</f>
        <v/>
      </c>
      <c r="I249" s="17">
        <f>IF(H249="Retenido",E249,0)</f>
        <v/>
      </c>
      <c r="J249" s="16" t="inlineStr">
        <is>
          <t>2026-W22</t>
        </is>
      </c>
    </row>
    <row r="250">
      <c r="A250" s="23" t="n">
        <v>46169</v>
      </c>
      <c r="B250" s="17" t="n">
        <v>591835.75</v>
      </c>
      <c r="C250" s="17" t="n">
        <v>11838.64</v>
      </c>
      <c r="D250" s="17" t="n">
        <v>0</v>
      </c>
      <c r="E250" s="17">
        <f>B250-C250-D250</f>
        <v/>
      </c>
      <c r="F250" s="16">
        <f>CHOOSE(WEEKDAY(A250,2),"Lunes","Martes","Miércoles","Jueves","Viernes","Sábado","Domingo")</f>
        <v/>
      </c>
      <c r="G250" s="23" t="n">
        <v>46175</v>
      </c>
      <c r="H250" s="16">
        <f>IF(G250&lt;=$B$7,"Cobrado","Retenido")</f>
        <v/>
      </c>
      <c r="I250" s="17">
        <f>IF(H250="Retenido",E250,0)</f>
        <v/>
      </c>
      <c r="J250" s="16" t="inlineStr">
        <is>
          <t>2026-W22</t>
        </is>
      </c>
    </row>
    <row r="251">
      <c r="A251" s="23" t="n">
        <v>46170</v>
      </c>
      <c r="B251" s="17" t="n">
        <v>571387.83</v>
      </c>
      <c r="C251" s="17" t="n">
        <v>11154.72</v>
      </c>
      <c r="D251" s="17" t="n">
        <v>0</v>
      </c>
      <c r="E251" s="17">
        <f>B251-C251-D251</f>
        <v/>
      </c>
      <c r="F251" s="16">
        <f>CHOOSE(WEEKDAY(A251,2),"Lunes","Martes","Miércoles","Jueves","Viernes","Sábado","Domingo")</f>
        <v/>
      </c>
      <c r="G251" s="23" t="n">
        <v>46176</v>
      </c>
      <c r="H251" s="16">
        <f>IF(G251&lt;=$B$7,"Cobrado","Retenido")</f>
        <v/>
      </c>
      <c r="I251" s="17">
        <f>IF(H251="Retenido",E251,0)</f>
        <v/>
      </c>
      <c r="J251" s="16" t="inlineStr">
        <is>
          <t>2026-W22</t>
        </is>
      </c>
    </row>
    <row r="252">
      <c r="A252" s="23" t="n">
        <v>46171</v>
      </c>
      <c r="B252" s="17" t="n">
        <v>575611.59</v>
      </c>
      <c r="C252" s="17" t="n">
        <v>11334.7</v>
      </c>
      <c r="D252" s="17" t="n">
        <v>0</v>
      </c>
      <c r="E252" s="17">
        <f>B252-C252-D252</f>
        <v/>
      </c>
      <c r="F252" s="16">
        <f>CHOOSE(WEEKDAY(A252,2),"Lunes","Martes","Miércoles","Jueves","Viernes","Sábado","Domingo")</f>
        <v/>
      </c>
      <c r="G252" s="23" t="n">
        <v>46177</v>
      </c>
      <c r="H252" s="16">
        <f>IF(G252&lt;=$B$7,"Cobrado","Retenido")</f>
        <v/>
      </c>
      <c r="I252" s="17">
        <f>IF(H252="Retenido",E252,0)</f>
        <v/>
      </c>
      <c r="J252" s="16" t="inlineStr">
        <is>
          <t>2026-W22</t>
        </is>
      </c>
    </row>
    <row r="253">
      <c r="A253" s="23" t="n">
        <v>46172</v>
      </c>
      <c r="B253" s="17" t="n">
        <v>499097.08</v>
      </c>
      <c r="C253" s="17" t="n">
        <v>10060.19</v>
      </c>
      <c r="D253" s="17" t="n">
        <v>0</v>
      </c>
      <c r="E253" s="17">
        <f>B253-C253-D253</f>
        <v/>
      </c>
      <c r="F253" s="16">
        <f>CHOOSE(WEEKDAY(A253,2),"Lunes","Martes","Miércoles","Jueves","Viernes","Sábado","Domingo")</f>
        <v/>
      </c>
      <c r="G253" s="23" t="n">
        <v>46178</v>
      </c>
      <c r="H253" s="16">
        <f>IF(G253&lt;=$B$7,"Cobrado","Retenido")</f>
        <v/>
      </c>
      <c r="I253" s="17">
        <f>IF(H253="Retenido",E253,0)</f>
        <v/>
      </c>
      <c r="J253" s="16" t="inlineStr">
        <is>
          <t>2026-W22</t>
        </is>
      </c>
    </row>
    <row r="254">
      <c r="A254" s="23" t="n">
        <v>46173</v>
      </c>
      <c r="B254" s="17" t="n">
        <v>488208.99</v>
      </c>
      <c r="C254" s="17" t="n">
        <v>9383.6</v>
      </c>
      <c r="D254" s="17" t="n">
        <v>0</v>
      </c>
      <c r="E254" s="17">
        <f>B254-C254-D254</f>
        <v/>
      </c>
      <c r="F254" s="16">
        <f>CHOOSE(WEEKDAY(A254,2),"Lunes","Martes","Miércoles","Jueves","Viernes","Sábado","Domingo")</f>
        <v/>
      </c>
      <c r="G254" s="23" t="n">
        <v>46178</v>
      </c>
      <c r="H254" s="16">
        <f>IF(G254&lt;=$B$7,"Cobrado","Retenido")</f>
        <v/>
      </c>
      <c r="I254" s="17">
        <f>IF(H254="Retenido",E254,0)</f>
        <v/>
      </c>
      <c r="J254" s="16" t="inlineStr">
        <is>
          <t>2026-W22</t>
        </is>
      </c>
    </row>
    <row r="255">
      <c r="A255" s="23" t="n">
        <v>46174</v>
      </c>
      <c r="B255" s="17" t="n">
        <v>590565.12</v>
      </c>
      <c r="C255" s="17" t="n">
        <v>13142.85</v>
      </c>
      <c r="D255" s="17" t="n">
        <v>0</v>
      </c>
      <c r="E255" s="17">
        <f>B255-C255-D255</f>
        <v/>
      </c>
      <c r="F255" s="16">
        <f>CHOOSE(WEEKDAY(A255,2),"Lunes","Martes","Miércoles","Jueves","Viernes","Sábado","Domingo")</f>
        <v/>
      </c>
      <c r="G255" s="23" t="n">
        <v>46178</v>
      </c>
      <c r="H255" s="16">
        <f>IF(G255&lt;=$B$7,"Cobrado","Retenido")</f>
        <v/>
      </c>
      <c r="I255" s="17">
        <f>IF(H255="Retenido",E255,0)</f>
        <v/>
      </c>
      <c r="J255" s="16" t="inlineStr">
        <is>
          <t>2026-W23</t>
        </is>
      </c>
    </row>
    <row r="256">
      <c r="A256" s="23" t="n">
        <v>46175</v>
      </c>
      <c r="B256" s="17" t="n">
        <v>591300.16</v>
      </c>
      <c r="C256" s="17" t="n">
        <v>13450.53</v>
      </c>
      <c r="D256" s="17" t="n">
        <v>0</v>
      </c>
      <c r="E256" s="17">
        <f>B256-C256-D256</f>
        <v/>
      </c>
      <c r="F256" s="16">
        <f>CHOOSE(WEEKDAY(A256,2),"Lunes","Martes","Miércoles","Jueves","Viernes","Sábado","Domingo")</f>
        <v/>
      </c>
      <c r="G256" s="23" t="n">
        <v>46181</v>
      </c>
      <c r="H256" s="16">
        <f>IF(G256&lt;=$B$7,"Cobrado","Retenido")</f>
        <v/>
      </c>
      <c r="I256" s="17">
        <f>IF(H256="Retenido",E256,0)</f>
        <v/>
      </c>
      <c r="J256" s="16" t="inlineStr">
        <is>
          <t>2026-W23</t>
        </is>
      </c>
    </row>
    <row r="257">
      <c r="A257" s="23" t="n">
        <v>46176</v>
      </c>
      <c r="B257" s="17" t="n">
        <v>655934.52</v>
      </c>
      <c r="C257" s="17" t="n">
        <v>13278.14</v>
      </c>
      <c r="D257" s="17" t="n">
        <v>0</v>
      </c>
      <c r="E257" s="17">
        <f>B257-C257-D257</f>
        <v/>
      </c>
      <c r="F257" s="16">
        <f>CHOOSE(WEEKDAY(A257,2),"Lunes","Martes","Miércoles","Jueves","Viernes","Sábado","Domingo")</f>
        <v/>
      </c>
      <c r="G257" s="23" t="n">
        <v>46182</v>
      </c>
      <c r="H257" s="16">
        <f>IF(G257&lt;=$B$7,"Cobrado","Retenido")</f>
        <v/>
      </c>
      <c r="I257" s="17">
        <f>IF(H257="Retenido",E257,0)</f>
        <v/>
      </c>
      <c r="J257" s="16" t="inlineStr">
        <is>
          <t>2026-W23</t>
        </is>
      </c>
    </row>
    <row r="258">
      <c r="A258" s="23" t="n">
        <v>46177</v>
      </c>
      <c r="B258" s="17" t="n">
        <v>649089.4</v>
      </c>
      <c r="C258" s="17" t="n">
        <v>12604.86</v>
      </c>
      <c r="D258" s="17" t="n">
        <v>0</v>
      </c>
      <c r="E258" s="17">
        <f>B258-C258-D258</f>
        <v/>
      </c>
      <c r="F258" s="16">
        <f>CHOOSE(WEEKDAY(A258,2),"Lunes","Martes","Miércoles","Jueves","Viernes","Sábado","Domingo")</f>
        <v/>
      </c>
      <c r="G258" s="23" t="n">
        <v>46183</v>
      </c>
      <c r="H258" s="16">
        <f>IF(G258&lt;=$B$7,"Cobrado","Retenido")</f>
        <v/>
      </c>
      <c r="I258" s="17">
        <f>IF(H258="Retenido",E258,0)</f>
        <v/>
      </c>
      <c r="J258" s="16" t="inlineStr">
        <is>
          <t>2026-W23</t>
        </is>
      </c>
    </row>
    <row r="259">
      <c r="A259" s="23" t="n">
        <v>46178</v>
      </c>
      <c r="B259" s="17" t="n">
        <v>601315.8100000001</v>
      </c>
      <c r="C259" s="17" t="n">
        <v>12223.28</v>
      </c>
      <c r="D259" s="17" t="n">
        <v>0</v>
      </c>
      <c r="E259" s="17">
        <f>B259-C259-D259</f>
        <v/>
      </c>
      <c r="F259" s="16">
        <f>CHOOSE(WEEKDAY(A259,2),"Lunes","Martes","Miércoles","Jueves","Viernes","Sábado","Domingo")</f>
        <v/>
      </c>
      <c r="G259" s="23" t="n">
        <v>46184</v>
      </c>
      <c r="H259" s="16">
        <f>IF(G259&lt;=$B$7,"Cobrado","Retenido")</f>
        <v/>
      </c>
      <c r="I259" s="17">
        <f>IF(H259="Retenido",E259,0)</f>
        <v/>
      </c>
      <c r="J259" s="16" t="inlineStr">
        <is>
          <t>2026-W23</t>
        </is>
      </c>
    </row>
    <row r="260">
      <c r="A260" s="23" t="n">
        <v>46179</v>
      </c>
      <c r="B260" s="17" t="n">
        <v>532262.54</v>
      </c>
      <c r="C260" s="17" t="n">
        <v>11067.86</v>
      </c>
      <c r="D260" s="17" t="n">
        <v>0</v>
      </c>
      <c r="E260" s="17">
        <f>B260-C260-D260</f>
        <v/>
      </c>
      <c r="F260" s="16">
        <f>CHOOSE(WEEKDAY(A260,2),"Lunes","Martes","Miércoles","Jueves","Viernes","Sábado","Domingo")</f>
        <v/>
      </c>
      <c r="G260" s="23" t="n">
        <v>46185</v>
      </c>
      <c r="H260" s="16">
        <f>IF(G260&lt;=$B$7,"Cobrado","Retenido")</f>
        <v/>
      </c>
      <c r="I260" s="17">
        <f>IF(H260="Retenido",E260,0)</f>
        <v/>
      </c>
      <c r="J260" s="16" t="inlineStr">
        <is>
          <t>2026-W23</t>
        </is>
      </c>
    </row>
    <row r="261">
      <c r="A261" s="23" t="n">
        <v>46180</v>
      </c>
      <c r="B261" s="17" t="n">
        <v>508468.47</v>
      </c>
      <c r="C261" s="17" t="n">
        <v>9712.790000000001</v>
      </c>
      <c r="D261" s="17" t="n">
        <v>0</v>
      </c>
      <c r="E261" s="17">
        <f>B261-C261-D261</f>
        <v/>
      </c>
      <c r="F261" s="16">
        <f>CHOOSE(WEEKDAY(A261,2),"Lunes","Martes","Miércoles","Jueves","Viernes","Sábado","Domingo")</f>
        <v/>
      </c>
      <c r="G261" s="23" t="n">
        <v>46185</v>
      </c>
      <c r="H261" s="16">
        <f>IF(G261&lt;=$B$7,"Cobrado","Retenido")</f>
        <v/>
      </c>
      <c r="I261" s="17">
        <f>IF(H261="Retenido",E261,0)</f>
        <v/>
      </c>
      <c r="J261" s="16" t="inlineStr">
        <is>
          <t>2026-W23</t>
        </is>
      </c>
    </row>
    <row r="262">
      <c r="A262" s="23" t="n">
        <v>46181</v>
      </c>
      <c r="B262" s="17" t="n">
        <v>624092.76</v>
      </c>
      <c r="C262" s="17" t="n">
        <v>12339.03</v>
      </c>
      <c r="D262" s="17" t="n">
        <v>0</v>
      </c>
      <c r="E262" s="17">
        <f>B262-C262-D262</f>
        <v/>
      </c>
      <c r="F262" s="16">
        <f>CHOOSE(WEEKDAY(A262,2),"Lunes","Martes","Miércoles","Jueves","Viernes","Sábado","Domingo")</f>
        <v/>
      </c>
      <c r="G262" s="23" t="n">
        <v>46185</v>
      </c>
      <c r="H262" s="16">
        <f>IF(G262&lt;=$B$7,"Cobrado","Retenido")</f>
        <v/>
      </c>
      <c r="I262" s="17">
        <f>IF(H262="Retenido",E262,0)</f>
        <v/>
      </c>
      <c r="J262" s="16" t="inlineStr">
        <is>
          <t>2026-W24</t>
        </is>
      </c>
    </row>
    <row r="263">
      <c r="A263" s="23" t="n">
        <v>46182</v>
      </c>
      <c r="B263" s="17" t="n">
        <v>726005.98</v>
      </c>
      <c r="C263" s="17" t="n">
        <v>15136.56</v>
      </c>
      <c r="D263" s="17" t="n">
        <v>0</v>
      </c>
      <c r="E263" s="17">
        <f>B263-C263-D263</f>
        <v/>
      </c>
      <c r="F263" s="16">
        <f>CHOOSE(WEEKDAY(A263,2),"Lunes","Martes","Miércoles","Jueves","Viernes","Sábado","Domingo")</f>
        <v/>
      </c>
      <c r="G263" s="23" t="n">
        <v>46188</v>
      </c>
      <c r="H263" s="16">
        <f>IF(G263&lt;=$B$7,"Cobrado","Retenido")</f>
        <v/>
      </c>
      <c r="I263" s="17">
        <f>IF(H263="Retenido",E263,0)</f>
        <v/>
      </c>
      <c r="J263" s="16" t="inlineStr">
        <is>
          <t>2026-W24</t>
        </is>
      </c>
    </row>
    <row r="264">
      <c r="A264" s="23" t="n">
        <v>46183</v>
      </c>
      <c r="B264" s="17" t="n">
        <v>754793.84</v>
      </c>
      <c r="C264" s="17" t="n">
        <v>15958.39</v>
      </c>
      <c r="D264" s="17" t="n">
        <v>0</v>
      </c>
      <c r="E264" s="17">
        <f>B264-C264-D264</f>
        <v/>
      </c>
      <c r="F264" s="16">
        <f>CHOOSE(WEEKDAY(A264,2),"Lunes","Martes","Miércoles","Jueves","Viernes","Sábado","Domingo")</f>
        <v/>
      </c>
      <c r="G264" s="23" t="n">
        <v>46189</v>
      </c>
      <c r="H264" s="16">
        <f>IF(G264&lt;=$B$7,"Cobrado","Retenido")</f>
        <v/>
      </c>
      <c r="I264" s="17">
        <f>IF(H264="Retenido",E264,0)</f>
        <v/>
      </c>
      <c r="J264" s="16" t="inlineStr">
        <is>
          <t>2026-W24</t>
        </is>
      </c>
    </row>
    <row r="265">
      <c r="A265" s="23" t="n">
        <v>46184</v>
      </c>
      <c r="B265" s="17" t="n">
        <v>773799.39</v>
      </c>
      <c r="C265" s="17" t="n">
        <v>16584.45</v>
      </c>
      <c r="D265" s="17" t="n">
        <v>0</v>
      </c>
      <c r="E265" s="17">
        <f>B265-C265-D265</f>
        <v/>
      </c>
      <c r="F265" s="16">
        <f>CHOOSE(WEEKDAY(A265,2),"Lunes","Martes","Miércoles","Jueves","Viernes","Sábado","Domingo")</f>
        <v/>
      </c>
      <c r="G265" s="23" t="n">
        <v>46190</v>
      </c>
      <c r="H265" s="16">
        <f>IF(G265&lt;=$B$7,"Cobrado","Retenido")</f>
        <v/>
      </c>
      <c r="I265" s="17">
        <f>IF(H265="Retenido",E265,0)</f>
        <v/>
      </c>
      <c r="J265" s="16" t="inlineStr">
        <is>
          <t>2026-W24</t>
        </is>
      </c>
    </row>
    <row r="266">
      <c r="A266" s="23" t="n">
        <v>46185</v>
      </c>
      <c r="B266" s="17" t="n">
        <v>657868.7</v>
      </c>
      <c r="C266" s="17" t="n">
        <v>14593.02</v>
      </c>
      <c r="D266" s="17" t="n">
        <v>0</v>
      </c>
      <c r="E266" s="17">
        <f>B266-C266-D266</f>
        <v/>
      </c>
      <c r="F266" s="16">
        <f>CHOOSE(WEEKDAY(A266,2),"Lunes","Martes","Miércoles","Jueves","Viernes","Sábado","Domingo")</f>
        <v/>
      </c>
      <c r="G266" s="23" t="n">
        <v>46191</v>
      </c>
      <c r="H266" s="16">
        <f>IF(G266&lt;=$B$7,"Cobrado","Retenido")</f>
        <v/>
      </c>
      <c r="I266" s="17">
        <f>IF(H266="Retenido",E266,0)</f>
        <v/>
      </c>
      <c r="J266" s="16" t="inlineStr">
        <is>
          <t>2026-W24</t>
        </is>
      </c>
    </row>
    <row r="267">
      <c r="A267" s="23" t="n">
        <v>46186</v>
      </c>
      <c r="B267" s="17" t="n">
        <v>507582.85</v>
      </c>
      <c r="C267" s="17" t="n">
        <v>11431.81</v>
      </c>
      <c r="D267" s="17" t="n">
        <v>0</v>
      </c>
      <c r="E267" s="17">
        <f>B267-C267-D267</f>
        <v/>
      </c>
      <c r="F267" s="16">
        <f>CHOOSE(WEEKDAY(A267,2),"Lunes","Martes","Miércoles","Jueves","Viernes","Sábado","Domingo")</f>
        <v/>
      </c>
      <c r="G267" s="23" t="n">
        <v>46192</v>
      </c>
      <c r="H267" s="16">
        <f>IF(G267&lt;=$B$7,"Cobrado","Retenido")</f>
        <v/>
      </c>
      <c r="I267" s="17">
        <f>IF(H267="Retenido",E267,0)</f>
        <v/>
      </c>
      <c r="J267" s="16" t="inlineStr">
        <is>
          <t>2026-W24</t>
        </is>
      </c>
    </row>
    <row r="268">
      <c r="A268" s="23" t="n">
        <v>46187</v>
      </c>
      <c r="B268" s="17" t="n">
        <v>540928.8</v>
      </c>
      <c r="C268" s="17" t="n">
        <v>11312.21</v>
      </c>
      <c r="D268" s="17" t="n">
        <v>0</v>
      </c>
      <c r="E268" s="17">
        <f>B268-C268-D268</f>
        <v/>
      </c>
      <c r="F268" s="16">
        <f>CHOOSE(WEEKDAY(A268,2),"Lunes","Martes","Miércoles","Jueves","Viernes","Sábado","Domingo")</f>
        <v/>
      </c>
      <c r="G268" s="23" t="n">
        <v>46192</v>
      </c>
      <c r="H268" s="16">
        <f>IF(G268&lt;=$B$7,"Cobrado","Retenido")</f>
        <v/>
      </c>
      <c r="I268" s="17">
        <f>IF(H268="Retenido",E268,0)</f>
        <v/>
      </c>
      <c r="J268" s="16" t="inlineStr">
        <is>
          <t>2026-W24</t>
        </is>
      </c>
    </row>
    <row r="269">
      <c r="A269" s="23" t="n">
        <v>46188</v>
      </c>
      <c r="B269" s="17" t="n">
        <v>647830.28</v>
      </c>
      <c r="C269" s="17" t="n">
        <v>13297.95</v>
      </c>
      <c r="D269" s="17" t="n">
        <v>0</v>
      </c>
      <c r="E269" s="17">
        <f>B269-C269-D269</f>
        <v/>
      </c>
      <c r="F269" s="16">
        <f>CHOOSE(WEEKDAY(A269,2),"Lunes","Martes","Miércoles","Jueves","Viernes","Sábado","Domingo")</f>
        <v/>
      </c>
      <c r="G269" s="23" t="n">
        <v>46192</v>
      </c>
      <c r="H269" s="16">
        <f>IF(G269&lt;=$B$7,"Cobrado","Retenido")</f>
        <v/>
      </c>
      <c r="I269" s="17">
        <f>IF(H269="Retenido",E269,0)</f>
        <v/>
      </c>
      <c r="J269" s="16" t="inlineStr">
        <is>
          <t>2026-W25</t>
        </is>
      </c>
    </row>
    <row r="270">
      <c r="A270" s="23" t="n">
        <v>46189</v>
      </c>
      <c r="B270" s="17" t="n">
        <v>715294.73</v>
      </c>
      <c r="C270" s="17" t="n">
        <v>15177.13</v>
      </c>
      <c r="D270" s="17" t="n">
        <v>0</v>
      </c>
      <c r="E270" s="17">
        <f>B270-C270-D270</f>
        <v/>
      </c>
      <c r="F270" s="16">
        <f>CHOOSE(WEEKDAY(A270,2),"Lunes","Martes","Miércoles","Jueves","Viernes","Sábado","Domingo")</f>
        <v/>
      </c>
      <c r="G270" s="23" t="n">
        <v>46195</v>
      </c>
      <c r="H270" s="16">
        <f>IF(G270&lt;=$B$7,"Cobrado","Retenido")</f>
        <v/>
      </c>
      <c r="I270" s="17">
        <f>IF(H270="Retenido",E270,0)</f>
        <v/>
      </c>
      <c r="J270" s="16" t="inlineStr">
        <is>
          <t>2026-W25</t>
        </is>
      </c>
    </row>
    <row r="271">
      <c r="A271" s="23" t="n">
        <v>46190</v>
      </c>
      <c r="B271" s="17" t="n">
        <v>732494.86</v>
      </c>
      <c r="C271" s="17" t="n">
        <v>15812.16</v>
      </c>
      <c r="D271" s="17" t="n">
        <v>0</v>
      </c>
      <c r="E271" s="17">
        <f>B271-C271-D271</f>
        <v/>
      </c>
      <c r="F271" s="16">
        <f>CHOOSE(WEEKDAY(A271,2),"Lunes","Martes","Miércoles","Jueves","Viernes","Sábado","Domingo")</f>
        <v/>
      </c>
      <c r="G271" s="23" t="n">
        <v>46196</v>
      </c>
      <c r="H271" s="16">
        <f>IF(G271&lt;=$B$7,"Cobrado","Retenido")</f>
        <v/>
      </c>
      <c r="I271" s="17">
        <f>IF(H271="Retenido",E271,0)</f>
        <v/>
      </c>
      <c r="J271" s="16" t="inlineStr">
        <is>
          <t>2026-W25</t>
        </is>
      </c>
    </row>
    <row r="272">
      <c r="A272" s="23" t="n">
        <v>46191</v>
      </c>
      <c r="B272" s="17" t="n">
        <v>695190.5</v>
      </c>
      <c r="C272" s="17" t="n">
        <v>8179.71</v>
      </c>
      <c r="D272" s="17" t="n">
        <v>0</v>
      </c>
      <c r="E272" s="17">
        <f>B272-C272-D272</f>
        <v/>
      </c>
      <c r="F272" s="16">
        <f>CHOOSE(WEEKDAY(A272,2),"Lunes","Martes","Miércoles","Jueves","Viernes","Sábado","Domingo")</f>
        <v/>
      </c>
      <c r="G272" s="23" t="n">
        <v>46197</v>
      </c>
      <c r="H272" s="16">
        <f>IF(G272&lt;=$B$7,"Cobrado","Retenido")</f>
        <v/>
      </c>
      <c r="I272" s="17">
        <f>IF(H272="Retenido",E272,0)</f>
        <v/>
      </c>
      <c r="J272" s="16" t="inlineStr">
        <is>
          <t>2026-W25</t>
        </is>
      </c>
    </row>
    <row r="273">
      <c r="A273" s="23" t="n">
        <v>46192</v>
      </c>
      <c r="B273" s="17" t="n">
        <v>599809.92</v>
      </c>
      <c r="C273" s="17" t="n">
        <v>13289.4</v>
      </c>
      <c r="D273" s="17" t="n">
        <v>0</v>
      </c>
      <c r="E273" s="17">
        <f>B273-C273-D273</f>
        <v/>
      </c>
      <c r="F273" s="16">
        <f>CHOOSE(WEEKDAY(A273,2),"Lunes","Martes","Miércoles","Jueves","Viernes","Sábado","Domingo")</f>
        <v/>
      </c>
      <c r="G273" s="23" t="n">
        <v>46198</v>
      </c>
      <c r="H273" s="16">
        <f>IF(G273&lt;=$B$7,"Cobrado","Retenido")</f>
        <v/>
      </c>
      <c r="I273" s="17">
        <f>IF(H273="Retenido",E273,0)</f>
        <v/>
      </c>
      <c r="J273" s="16" t="inlineStr">
        <is>
          <t>2026-W25</t>
        </is>
      </c>
    </row>
    <row r="274">
      <c r="A274" s="23" t="n">
        <v>46193</v>
      </c>
      <c r="B274" s="17" t="n">
        <v>499538.84</v>
      </c>
      <c r="C274" s="17" t="n">
        <v>11485.34</v>
      </c>
      <c r="D274" s="17" t="n">
        <v>0</v>
      </c>
      <c r="E274" s="17">
        <f>B274-C274-D274</f>
        <v/>
      </c>
      <c r="F274" s="16">
        <f>CHOOSE(WEEKDAY(A274,2),"Lunes","Martes","Miércoles","Jueves","Viernes","Sábado","Domingo")</f>
        <v/>
      </c>
      <c r="G274" s="23" t="n">
        <v>46199</v>
      </c>
      <c r="H274" s="16">
        <f>IF(G274&lt;=$B$7,"Cobrado","Retenido")</f>
        <v/>
      </c>
      <c r="I274" s="17">
        <f>IF(H274="Retenido",E274,0)</f>
        <v/>
      </c>
      <c r="J274" s="16" t="inlineStr">
        <is>
          <t>2026-W25</t>
        </is>
      </c>
    </row>
    <row r="275">
      <c r="A275" s="23" t="n">
        <v>46194</v>
      </c>
      <c r="B275" s="17" t="n">
        <v>464239.6</v>
      </c>
      <c r="C275" s="17" t="n">
        <v>10334.83</v>
      </c>
      <c r="D275" s="17" t="n">
        <v>0</v>
      </c>
      <c r="E275" s="17">
        <f>B275-C275-D275</f>
        <v/>
      </c>
      <c r="F275" s="16">
        <f>CHOOSE(WEEKDAY(A275,2),"Lunes","Martes","Miércoles","Jueves","Viernes","Sábado","Domingo")</f>
        <v/>
      </c>
      <c r="G275" s="23" t="n">
        <v>46199</v>
      </c>
      <c r="H275" s="16">
        <f>IF(G275&lt;=$B$7,"Cobrado","Retenido")</f>
        <v/>
      </c>
      <c r="I275" s="17">
        <f>IF(H275="Retenido",E275,0)</f>
        <v/>
      </c>
      <c r="J275" s="16" t="inlineStr">
        <is>
          <t>2026-W25</t>
        </is>
      </c>
    </row>
    <row r="276">
      <c r="A276" s="23" t="n">
        <v>46195</v>
      </c>
      <c r="B276" s="17" t="n">
        <v>568867.4</v>
      </c>
      <c r="C276" s="17" t="n">
        <v>12392.14</v>
      </c>
      <c r="D276" s="17" t="n">
        <v>0</v>
      </c>
      <c r="E276" s="17">
        <f>B276-C276-D276</f>
        <v/>
      </c>
      <c r="F276" s="16">
        <f>CHOOSE(WEEKDAY(A276,2),"Lunes","Martes","Miércoles","Jueves","Viernes","Sábado","Domingo")</f>
        <v/>
      </c>
      <c r="G276" s="23" t="n">
        <v>46199</v>
      </c>
      <c r="H276" s="16">
        <f>IF(G276&lt;=$B$7,"Cobrado","Retenido")</f>
        <v/>
      </c>
      <c r="I276" s="17">
        <f>IF(H276="Retenido",E276,0)</f>
        <v/>
      </c>
      <c r="J276" s="16" t="inlineStr">
        <is>
          <t>2026-W26</t>
        </is>
      </c>
    </row>
    <row r="277">
      <c r="A277" s="23" t="n">
        <v>46196</v>
      </c>
      <c r="B277" s="17" t="n">
        <v>649023.99</v>
      </c>
      <c r="C277" s="17" t="n">
        <v>14295.75</v>
      </c>
      <c r="D277" s="17" t="n">
        <v>0</v>
      </c>
      <c r="E277" s="17">
        <f>B277-C277-D277</f>
        <v/>
      </c>
      <c r="F277" s="16">
        <f>CHOOSE(WEEKDAY(A277,2),"Lunes","Martes","Miércoles","Jueves","Viernes","Sábado","Domingo")</f>
        <v/>
      </c>
      <c r="G277" s="23" t="n">
        <v>46202</v>
      </c>
      <c r="H277" s="16">
        <f>IF(G277&lt;=$B$7,"Cobrado","Retenido")</f>
        <v/>
      </c>
      <c r="I277" s="17">
        <f>IF(H277="Retenido",E277,0)</f>
        <v/>
      </c>
      <c r="J277" s="16" t="inlineStr">
        <is>
          <t>2026-W26</t>
        </is>
      </c>
    </row>
    <row r="278">
      <c r="A278" s="23" t="n">
        <v>46197</v>
      </c>
      <c r="B278" s="17" t="n">
        <v>640440.58</v>
      </c>
      <c r="C278" s="17" t="n">
        <v>13998.99</v>
      </c>
      <c r="D278" s="17" t="n">
        <v>0</v>
      </c>
      <c r="E278" s="17">
        <f>B278-C278-D278</f>
        <v/>
      </c>
      <c r="F278" s="16">
        <f>CHOOSE(WEEKDAY(A278,2),"Lunes","Martes","Miércoles","Jueves","Viernes","Sábado","Domingo")</f>
        <v/>
      </c>
      <c r="G278" s="23" t="n">
        <v>46203</v>
      </c>
      <c r="H278" s="16">
        <f>IF(G278&lt;=$B$7,"Cobrado","Retenido")</f>
        <v/>
      </c>
      <c r="I278" s="17">
        <f>IF(H278="Retenido",E278,0)</f>
        <v/>
      </c>
      <c r="J278" s="16" t="inlineStr">
        <is>
          <t>2026-W26</t>
        </is>
      </c>
    </row>
    <row r="279">
      <c r="A279" s="23" t="n">
        <v>46198</v>
      </c>
      <c r="B279" s="17" t="n">
        <v>604760.55</v>
      </c>
      <c r="C279" s="17" t="n">
        <v>13323.45</v>
      </c>
      <c r="D279" s="17" t="n">
        <v>0</v>
      </c>
      <c r="E279" s="17">
        <f>B279-C279-D279</f>
        <v/>
      </c>
      <c r="F279" s="16">
        <f>CHOOSE(WEEKDAY(A279,2),"Lunes","Martes","Miércoles","Jueves","Viernes","Sábado","Domingo")</f>
        <v/>
      </c>
      <c r="G279" s="23" t="n">
        <v>46204</v>
      </c>
      <c r="H279" s="16">
        <f>IF(G279&lt;=$B$7,"Cobrado","Retenido")</f>
        <v/>
      </c>
      <c r="I279" s="17">
        <f>IF(H279="Retenido",E279,0)</f>
        <v/>
      </c>
      <c r="J279" s="16" t="inlineStr">
        <is>
          <t>2026-W26</t>
        </is>
      </c>
    </row>
    <row r="280">
      <c r="A280" s="23" t="n">
        <v>46199</v>
      </c>
      <c r="B280" s="17" t="n">
        <v>549692.65</v>
      </c>
      <c r="C280" s="17" t="n">
        <v>12629.31</v>
      </c>
      <c r="D280" s="17" t="n">
        <v>0</v>
      </c>
      <c r="E280" s="17">
        <f>B280-C280-D280</f>
        <v/>
      </c>
      <c r="F280" s="16">
        <f>CHOOSE(WEEKDAY(A280,2),"Lunes","Martes","Miércoles","Jueves","Viernes","Sábado","Domingo")</f>
        <v/>
      </c>
      <c r="G280" s="23" t="n">
        <v>46205</v>
      </c>
      <c r="H280" s="16">
        <f>IF(G280&lt;=$B$7,"Cobrado","Retenido")</f>
        <v/>
      </c>
      <c r="I280" s="17">
        <f>IF(H280="Retenido",E280,0)</f>
        <v/>
      </c>
      <c r="J280" s="16" t="inlineStr">
        <is>
          <t>2026-W26</t>
        </is>
      </c>
    </row>
    <row r="281">
      <c r="A281" s="23" t="n">
        <v>46200</v>
      </c>
      <c r="B281" s="17" t="n">
        <v>470100.33</v>
      </c>
      <c r="C281" s="17" t="n">
        <v>10879.71</v>
      </c>
      <c r="D281" s="17" t="n">
        <v>0</v>
      </c>
      <c r="E281" s="17">
        <f>B281-C281-D281</f>
        <v/>
      </c>
      <c r="F281" s="16">
        <f>CHOOSE(WEEKDAY(A281,2),"Lunes","Martes","Miércoles","Jueves","Viernes","Sábado","Domingo")</f>
        <v/>
      </c>
      <c r="G281" s="23" t="n">
        <v>46206</v>
      </c>
      <c r="H281" s="16">
        <f>IF(G281&lt;=$B$7,"Cobrado","Retenido")</f>
        <v/>
      </c>
      <c r="I281" s="17">
        <f>IF(H281="Retenido",E281,0)</f>
        <v/>
      </c>
      <c r="J281" s="16" t="inlineStr">
        <is>
          <t>2026-W26</t>
        </is>
      </c>
    </row>
    <row r="282">
      <c r="A282" s="23" t="n">
        <v>46201</v>
      </c>
      <c r="B282" s="17" t="n">
        <v>468056.95</v>
      </c>
      <c r="C282" s="17" t="n">
        <v>10427.7</v>
      </c>
      <c r="D282" s="17" t="n">
        <v>0</v>
      </c>
      <c r="E282" s="17">
        <f>B282-C282-D282</f>
        <v/>
      </c>
      <c r="F282" s="16">
        <f>CHOOSE(WEEKDAY(A282,2),"Lunes","Martes","Miércoles","Jueves","Viernes","Sábado","Domingo")</f>
        <v/>
      </c>
      <c r="G282" s="23" t="n">
        <v>46206</v>
      </c>
      <c r="H282" s="16">
        <f>IF(G282&lt;=$B$7,"Cobrado","Retenido")</f>
        <v/>
      </c>
      <c r="I282" s="17">
        <f>IF(H282="Retenido",E282,0)</f>
        <v/>
      </c>
      <c r="J282" s="16" t="inlineStr">
        <is>
          <t>2026-W26</t>
        </is>
      </c>
    </row>
    <row r="283">
      <c r="A283" s="23" t="n">
        <v>46202</v>
      </c>
      <c r="B283" s="17" t="n">
        <v>407876.67</v>
      </c>
      <c r="C283" s="17" t="n">
        <v>8545.34</v>
      </c>
      <c r="D283" s="17" t="n">
        <v>0</v>
      </c>
      <c r="E283" s="17">
        <f>B283-C283-D283</f>
        <v/>
      </c>
      <c r="F283" s="16">
        <f>CHOOSE(WEEKDAY(A283,2),"Lunes","Martes","Miércoles","Jueves","Viernes","Sábado","Domingo")</f>
        <v/>
      </c>
      <c r="G283" s="23" t="n">
        <v>46206</v>
      </c>
      <c r="H283" s="16">
        <f>IF(G283&lt;=$B$7,"Cobrado","Retenido")</f>
        <v/>
      </c>
      <c r="I283" s="17">
        <f>IF(H283="Retenido",E283,0)</f>
        <v/>
      </c>
      <c r="J283" s="16" t="inlineStr">
        <is>
          <t>2026-W27</t>
        </is>
      </c>
    </row>
    <row r="284">
      <c r="A284" s="23" t="n">
        <v>46203</v>
      </c>
      <c r="B284" s="17" t="n">
        <v>400804.81</v>
      </c>
      <c r="C284" s="17" t="n">
        <v>7818.41</v>
      </c>
      <c r="D284" s="17" t="n">
        <v>0</v>
      </c>
      <c r="E284" s="17">
        <f>B284-C284-D284</f>
        <v/>
      </c>
      <c r="F284" s="16">
        <f>CHOOSE(WEEKDAY(A284,2),"Lunes","Martes","Miércoles","Jueves","Viernes","Sábado","Domingo")</f>
        <v/>
      </c>
      <c r="G284" s="23" t="n">
        <v>46209</v>
      </c>
      <c r="H284" s="16">
        <f>IF(G284&lt;=$B$7,"Cobrado","Retenido")</f>
        <v/>
      </c>
      <c r="I284" s="17">
        <f>IF(H284="Retenido",E284,0)</f>
        <v/>
      </c>
      <c r="J284" s="16" t="inlineStr">
        <is>
          <t>2026-W27</t>
        </is>
      </c>
    </row>
    <row r="285">
      <c r="A285" s="23" t="n">
        <v>46204</v>
      </c>
      <c r="B285" s="17" t="n">
        <v>377881.46</v>
      </c>
      <c r="C285" s="17" t="n">
        <v>7103.39</v>
      </c>
      <c r="D285" s="17" t="n">
        <v>0</v>
      </c>
      <c r="E285" s="17">
        <f>B285-C285-D285</f>
        <v/>
      </c>
      <c r="F285" s="16">
        <f>CHOOSE(WEEKDAY(A285,2),"Lunes","Martes","Miércoles","Jueves","Viernes","Sábado","Domingo")</f>
        <v/>
      </c>
      <c r="G285" s="23" t="n">
        <v>46210</v>
      </c>
      <c r="H285" s="16">
        <f>IF(G285&lt;=$B$7,"Cobrado","Retenido")</f>
        <v/>
      </c>
      <c r="I285" s="17">
        <f>IF(H285="Retenido",E285,0)</f>
        <v/>
      </c>
      <c r="J285" s="16" t="inlineStr">
        <is>
          <t>2026-W27</t>
        </is>
      </c>
    </row>
    <row r="286">
      <c r="A286" s="23" t="n">
        <v>46205</v>
      </c>
      <c r="B286" s="17" t="n">
        <v>443314.16</v>
      </c>
      <c r="C286" s="17" t="n">
        <v>8463.120000000001</v>
      </c>
      <c r="D286" s="17" t="n">
        <v>0</v>
      </c>
      <c r="E286" s="17">
        <f>B286-C286-D286</f>
        <v/>
      </c>
      <c r="F286" s="16">
        <f>CHOOSE(WEEKDAY(A286,2),"Lunes","Martes","Miércoles","Jueves","Viernes","Sábado","Domingo")</f>
        <v/>
      </c>
      <c r="G286" s="23" t="n">
        <v>46211</v>
      </c>
      <c r="H286" s="16">
        <f>IF(G286&lt;=$B$7,"Cobrado","Retenido")</f>
        <v/>
      </c>
      <c r="I286" s="17">
        <f>IF(H286="Retenido",E286,0)</f>
        <v/>
      </c>
      <c r="J286" s="16" t="inlineStr">
        <is>
          <t>2026-W27</t>
        </is>
      </c>
    </row>
    <row r="287">
      <c r="A287" s="23" t="n">
        <v>46206</v>
      </c>
      <c r="B287" s="17" t="n">
        <v>524669.58</v>
      </c>
      <c r="C287" s="17" t="n">
        <v>12416.44</v>
      </c>
      <c r="D287" s="17" t="n">
        <v>0</v>
      </c>
      <c r="E287" s="17">
        <f>B287-C287-D287</f>
        <v/>
      </c>
      <c r="F287" s="16">
        <f>CHOOSE(WEEKDAY(A287,2),"Lunes","Martes","Miércoles","Jueves","Viernes","Sábado","Domingo")</f>
        <v/>
      </c>
      <c r="G287" s="23" t="n">
        <v>46212</v>
      </c>
      <c r="H287" s="16">
        <f>IF(G287&lt;=$B$7,"Cobrado","Retenido")</f>
        <v/>
      </c>
      <c r="I287" s="17">
        <f>IF(H287="Retenido",E287,0)</f>
        <v/>
      </c>
      <c r="J287" s="16" t="inlineStr">
        <is>
          <t>2026-W27</t>
        </is>
      </c>
    </row>
    <row r="288">
      <c r="A288" s="23" t="n">
        <v>46207</v>
      </c>
      <c r="B288" s="17" t="n">
        <v>420809.9</v>
      </c>
      <c r="C288" s="17" t="n">
        <v>10273.05</v>
      </c>
      <c r="D288" s="17" t="n">
        <v>0</v>
      </c>
      <c r="E288" s="17">
        <f>B288-C288-D288</f>
        <v/>
      </c>
      <c r="F288" s="16">
        <f>CHOOSE(WEEKDAY(A288,2),"Lunes","Martes","Miércoles","Jueves","Viernes","Sábado","Domingo")</f>
        <v/>
      </c>
      <c r="G288" s="23" t="n">
        <v>46213</v>
      </c>
      <c r="H288" s="16">
        <f>IF(G288&lt;=$B$7,"Cobrado","Retenido")</f>
        <v/>
      </c>
      <c r="I288" s="17">
        <f>IF(H288="Retenido",E288,0)</f>
        <v/>
      </c>
      <c r="J288" s="16" t="inlineStr">
        <is>
          <t>2026-W27</t>
        </is>
      </c>
    </row>
    <row r="289">
      <c r="A289" s="23" t="n">
        <v>46208</v>
      </c>
      <c r="B289" s="17" t="n">
        <v>423123.37</v>
      </c>
      <c r="C289" s="17" t="n">
        <v>10127.5</v>
      </c>
      <c r="D289" s="17" t="n">
        <v>0</v>
      </c>
      <c r="E289" s="17">
        <f>B289-C289-D289</f>
        <v/>
      </c>
      <c r="F289" s="16">
        <f>CHOOSE(WEEKDAY(A289,2),"Lunes","Martes","Miércoles","Jueves","Viernes","Sábado","Domingo")</f>
        <v/>
      </c>
      <c r="G289" s="23" t="n">
        <v>46213</v>
      </c>
      <c r="H289" s="16">
        <f>IF(G289&lt;=$B$7,"Cobrado","Retenido")</f>
        <v/>
      </c>
      <c r="I289" s="17">
        <f>IF(H289="Retenido",E289,0)</f>
        <v/>
      </c>
      <c r="J289" s="16" t="inlineStr">
        <is>
          <t>2026-W27</t>
        </is>
      </c>
    </row>
    <row r="290">
      <c r="A290" s="23" t="n">
        <v>46209</v>
      </c>
      <c r="B290" s="17" t="n">
        <v>567403.59</v>
      </c>
      <c r="C290" s="17" t="n">
        <v>13561.38</v>
      </c>
      <c r="D290" s="17" t="n">
        <v>0</v>
      </c>
      <c r="E290" s="17">
        <f>B290-C290-D290</f>
        <v/>
      </c>
      <c r="F290" s="16">
        <f>CHOOSE(WEEKDAY(A290,2),"Lunes","Martes","Miércoles","Jueves","Viernes","Sábado","Domingo")</f>
        <v/>
      </c>
      <c r="G290" s="23" t="n">
        <v>46213</v>
      </c>
      <c r="H290" s="16">
        <f>IF(G290&lt;=$B$7,"Cobrado","Retenido")</f>
        <v/>
      </c>
      <c r="I290" s="17">
        <f>IF(H290="Retenido",E290,0)</f>
        <v/>
      </c>
      <c r="J290" s="16" t="inlineStr">
        <is>
          <t>2026-W28</t>
        </is>
      </c>
    </row>
    <row r="291">
      <c r="A291" s="23" t="n">
        <v>46210</v>
      </c>
      <c r="B291" s="17" t="n">
        <v>597151.35</v>
      </c>
      <c r="C291" s="17" t="n">
        <v>14369.58</v>
      </c>
      <c r="D291" s="17" t="n">
        <v>0</v>
      </c>
      <c r="E291" s="17">
        <f>B291-C291-D291</f>
        <v/>
      </c>
      <c r="F291" s="16">
        <f>CHOOSE(WEEKDAY(A291,2),"Lunes","Martes","Miércoles","Jueves","Viernes","Sábado","Domingo")</f>
        <v/>
      </c>
      <c r="G291" s="23" t="n">
        <v>46216</v>
      </c>
      <c r="H291" s="16">
        <f>IF(G291&lt;=$B$7,"Cobrado","Retenido")</f>
        <v/>
      </c>
      <c r="I291" s="17">
        <f>IF(H291="Retenido",E291,0)</f>
        <v/>
      </c>
      <c r="J291" s="16" t="inlineStr">
        <is>
          <t>2026-W28</t>
        </is>
      </c>
    </row>
    <row r="292">
      <c r="A292" s="23" t="n">
        <v>46211</v>
      </c>
      <c r="B292" s="17" t="n">
        <v>624135.3199999999</v>
      </c>
      <c r="C292" s="17" t="n">
        <v>14548.96</v>
      </c>
      <c r="D292" s="17" t="n">
        <v>0</v>
      </c>
      <c r="E292" s="17">
        <f>B292-C292-D292</f>
        <v/>
      </c>
      <c r="F292" s="16">
        <f>CHOOSE(WEEKDAY(A292,2),"Lunes","Martes","Miércoles","Jueves","Viernes","Sábado","Domingo")</f>
        <v/>
      </c>
      <c r="G292" s="23" t="n">
        <v>46217</v>
      </c>
      <c r="H292" s="16">
        <f>IF(G292&lt;=$B$7,"Cobrado","Retenido")</f>
        <v/>
      </c>
      <c r="I292" s="17">
        <f>IF(H292="Retenido",E292,0)</f>
        <v/>
      </c>
      <c r="J292" s="16" t="inlineStr">
        <is>
          <t>2026-W28</t>
        </is>
      </c>
    </row>
    <row r="293">
      <c r="A293" s="23" t="n">
        <v>46212</v>
      </c>
      <c r="B293" s="17" t="n">
        <v>490598.41</v>
      </c>
      <c r="C293" s="17" t="n">
        <v>11471.81</v>
      </c>
      <c r="D293" s="17" t="n">
        <v>0</v>
      </c>
      <c r="E293" s="17">
        <f>B293-C293-D293</f>
        <v/>
      </c>
      <c r="F293" s="16">
        <f>CHOOSE(WEEKDAY(A293,2),"Lunes","Martes","Miércoles","Jueves","Viernes","Sábado","Domingo")</f>
        <v/>
      </c>
      <c r="G293" s="23" t="n">
        <v>46218</v>
      </c>
      <c r="H293" s="16">
        <f>IF(G293&lt;=$B$7,"Cobrado","Retenido")</f>
        <v/>
      </c>
      <c r="I293" s="17">
        <f>IF(H293="Retenido",E293,0)</f>
        <v/>
      </c>
      <c r="J293" s="16" t="inlineStr">
        <is>
          <t>2026-W28</t>
        </is>
      </c>
    </row>
    <row r="294">
      <c r="A294" s="23" t="n">
        <v>46213</v>
      </c>
      <c r="B294" s="17" t="n">
        <v>551873.63</v>
      </c>
      <c r="C294" s="17" t="n">
        <v>13228</v>
      </c>
      <c r="D294" s="17" t="n">
        <v>0</v>
      </c>
      <c r="E294" s="17">
        <f>B294-C294-D294</f>
        <v/>
      </c>
      <c r="F294" s="16">
        <f>CHOOSE(WEEKDAY(A294,2),"Lunes","Martes","Miércoles","Jueves","Viernes","Sábado","Domingo")</f>
        <v/>
      </c>
      <c r="G294" s="23" t="n">
        <v>46219</v>
      </c>
      <c r="H294" s="16">
        <f>IF(G294&lt;=$B$7,"Cobrado","Retenido")</f>
        <v/>
      </c>
      <c r="I294" s="17">
        <f>IF(H294="Retenido",E294,0)</f>
        <v/>
      </c>
      <c r="J294" s="16" t="inlineStr">
        <is>
          <t>2026-W28</t>
        </is>
      </c>
    </row>
    <row r="295">
      <c r="A295" s="23" t="n">
        <v>46214</v>
      </c>
      <c r="B295" s="17" t="n">
        <v>429154.7</v>
      </c>
      <c r="C295" s="17" t="n">
        <v>10581.8</v>
      </c>
      <c r="D295" s="17" t="n">
        <v>0</v>
      </c>
      <c r="E295" s="17">
        <f>B295-C295-D295</f>
        <v/>
      </c>
      <c r="F295" s="16">
        <f>CHOOSE(WEEKDAY(A295,2),"Lunes","Martes","Miércoles","Jueves","Viernes","Sábado","Domingo")</f>
        <v/>
      </c>
      <c r="G295" s="23" t="n">
        <v>46220</v>
      </c>
      <c r="H295" s="16">
        <f>IF(G295&lt;=$B$7,"Cobrado","Retenido")</f>
        <v/>
      </c>
      <c r="I295" s="17">
        <f>IF(H295="Retenido",E295,0)</f>
        <v/>
      </c>
      <c r="J295" s="16" t="inlineStr">
        <is>
          <t>2026-W28</t>
        </is>
      </c>
    </row>
    <row r="296">
      <c r="A296" s="23" t="n">
        <v>46215</v>
      </c>
      <c r="B296" s="17" t="n">
        <v>355104.7</v>
      </c>
      <c r="C296" s="17" t="n">
        <v>8495.040000000001</v>
      </c>
      <c r="D296" s="17" t="n">
        <v>0</v>
      </c>
      <c r="E296" s="17">
        <f>B296-C296-D296</f>
        <v/>
      </c>
      <c r="F296" s="16">
        <f>CHOOSE(WEEKDAY(A296,2),"Lunes","Martes","Miércoles","Jueves","Viernes","Sábado","Domingo")</f>
        <v/>
      </c>
      <c r="G296" s="23" t="n">
        <v>46220</v>
      </c>
      <c r="H296" s="16">
        <f>IF(G296&lt;=$B$7,"Cobrado","Retenido")</f>
        <v/>
      </c>
      <c r="I296" s="17">
        <f>IF(H296="Retenido",E296,0)</f>
        <v/>
      </c>
      <c r="J296" s="16" t="inlineStr">
        <is>
          <t>2026-W28</t>
        </is>
      </c>
    </row>
    <row r="297">
      <c r="A297" s="13" t="inlineStr">
        <is>
          <t>TOTAL</t>
        </is>
      </c>
      <c r="B297" s="14">
        <f>SUM(B11:B296)</f>
        <v/>
      </c>
      <c r="C297" s="14">
        <f>SUM(C11:C296)</f>
        <v/>
      </c>
      <c r="D297" s="14">
        <f>SUM(D11:D296)</f>
        <v/>
      </c>
      <c r="E297" s="14">
        <f>SUM(E11:E296)</f>
        <v/>
      </c>
      <c r="I297" s="14">
        <f>SUM(I11:I296)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3" customWidth="1" min="5" max="5"/>
    <col width="12" customWidth="1" min="6" max="6"/>
    <col width="15" customWidth="1" min="7" max="7"/>
    <col width="11" customWidth="1" min="8" max="8"/>
    <col width="15" customWidth="1" min="9" max="9"/>
    <col width="11" customWidth="1" min="10" max="10"/>
  </cols>
  <sheetData>
    <row r="1">
      <c r="A1" s="26" t="inlineStr">
        <is>
          <t>CALCULADORA DE COBROS — SHIFT4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</row>
    <row r="3">
      <c r="A3" s="13" t="inlineStr">
        <is>
          <t>Reglas del procesador (Venta → Settlement)</t>
        </is>
      </c>
    </row>
    <row r="4">
      <c r="A4" s="13" t="inlineStr">
        <is>
          <t>Vta</t>
        </is>
      </c>
      <c r="B4" s="15" t="inlineStr">
        <is>
          <t>Lunes</t>
        </is>
      </c>
      <c r="C4" s="15" t="inlineStr">
        <is>
          <t>Martes</t>
        </is>
      </c>
      <c r="D4" s="15" t="inlineStr">
        <is>
          <t>Miércoles</t>
        </is>
      </c>
      <c r="E4" s="15" t="inlineStr">
        <is>
          <t>Jueves</t>
        </is>
      </c>
      <c r="F4" s="15" t="inlineStr">
        <is>
          <t>Viernes</t>
        </is>
      </c>
      <c r="G4" s="15" t="inlineStr">
        <is>
          <t>Sábado</t>
        </is>
      </c>
      <c r="H4" s="15" t="inlineStr">
        <is>
          <t>Domingo</t>
        </is>
      </c>
    </row>
    <row r="5">
      <c r="A5" s="13" t="inlineStr">
        <is>
          <t>Setle</t>
        </is>
      </c>
      <c r="B5" s="21" t="inlineStr">
        <is>
          <t>Jueves</t>
        </is>
      </c>
      <c r="C5" s="21" t="inlineStr">
        <is>
          <t>Viernes</t>
        </is>
      </c>
      <c r="D5" s="21" t="inlineStr">
        <is>
          <t>Lunes</t>
        </is>
      </c>
      <c r="E5" s="21" t="inlineStr">
        <is>
          <t>Martes</t>
        </is>
      </c>
      <c r="F5" s="21" t="inlineStr">
        <is>
          <t>Miércoles</t>
        </is>
      </c>
      <c r="G5" s="21" t="inlineStr">
        <is>
          <t>Miércoles</t>
        </is>
      </c>
      <c r="H5" s="21" t="inlineStr">
        <is>
          <t>Miércoles</t>
        </is>
      </c>
    </row>
    <row r="7">
      <c r="A7" s="13" t="inlineStr">
        <is>
          <t>Hoy (fecha de corte):</t>
        </is>
      </c>
      <c r="B7" s="22" t="n">
        <v>46216</v>
      </c>
    </row>
    <row r="8">
      <c r="A8" s="12" t="inlineStr">
        <is>
          <t>Nota: cambia la fecha de corte para recalcular Cobrado/Retenido. Las reglas fijan la Fecha de Settlement.</t>
        </is>
      </c>
    </row>
    <row r="10">
      <c r="A10" s="4" t="inlineStr">
        <is>
          <t>Fecha Venta</t>
        </is>
      </c>
      <c r="B10" s="4" t="inlineStr">
        <is>
          <t>Importe Venta</t>
        </is>
      </c>
      <c r="C10" s="4" t="inlineStr">
        <is>
          <t>Importe Comisión</t>
        </is>
      </c>
      <c r="D10" s="4" t="inlineStr">
        <is>
          <t>Importe Refund</t>
        </is>
      </c>
      <c r="E10" s="4" t="inlineStr">
        <is>
          <t>Importe Neto</t>
        </is>
      </c>
      <c r="F10" s="4" t="inlineStr">
        <is>
          <t>Día de Venta</t>
        </is>
      </c>
      <c r="G10" s="4" t="inlineStr">
        <is>
          <t>Fecha de Settlement</t>
        </is>
      </c>
      <c r="H10" s="4" t="inlineStr">
        <is>
          <t>Estado</t>
        </is>
      </c>
      <c r="I10" s="4" t="inlineStr">
        <is>
          <t>Importe Retenido</t>
        </is>
      </c>
      <c r="J10" s="4" t="inlineStr">
        <is>
          <t>Semana</t>
        </is>
      </c>
    </row>
    <row r="11">
      <c r="A11" s="23" t="n">
        <v>46111</v>
      </c>
      <c r="B11" s="17" t="n">
        <v>289542.93</v>
      </c>
      <c r="C11" s="17" t="n">
        <v>3657.81</v>
      </c>
      <c r="D11" s="17" t="n">
        <v>0</v>
      </c>
      <c r="E11" s="17">
        <f>B11-C11-D11</f>
        <v/>
      </c>
      <c r="F11" s="16">
        <f>CHOOSE(WEEKDAY(A11,2),"Lunes","Martes","Miércoles","Jueves","Viernes","Sábado","Domingo")</f>
        <v/>
      </c>
      <c r="G11" s="23" t="n">
        <v>46114</v>
      </c>
      <c r="H11" s="16">
        <f>IF(G11&lt;=$B$7,"Cobrado","Retenido")</f>
        <v/>
      </c>
      <c r="I11" s="17">
        <f>IF(H11="Retenido",E11,0)</f>
        <v/>
      </c>
      <c r="J11" s="16" t="inlineStr">
        <is>
          <t>2026-W14</t>
        </is>
      </c>
    </row>
    <row r="12">
      <c r="A12" s="23" t="n">
        <v>46112</v>
      </c>
      <c r="B12" s="17" t="n">
        <v>454942.28</v>
      </c>
      <c r="C12" s="17" t="n">
        <v>5819.32</v>
      </c>
      <c r="D12" s="17" t="n">
        <v>0</v>
      </c>
      <c r="E12" s="17">
        <f>B12-C12-D12</f>
        <v/>
      </c>
      <c r="F12" s="16">
        <f>CHOOSE(WEEKDAY(A12,2),"Lunes","Martes","Miércoles","Jueves","Viernes","Sábado","Domingo")</f>
        <v/>
      </c>
      <c r="G12" s="23" t="n">
        <v>46115</v>
      </c>
      <c r="H12" s="16">
        <f>IF(G12&lt;=$B$7,"Cobrado","Retenido")</f>
        <v/>
      </c>
      <c r="I12" s="17">
        <f>IF(H12="Retenido",E12,0)</f>
        <v/>
      </c>
      <c r="J12" s="16" t="inlineStr">
        <is>
          <t>2026-W14</t>
        </is>
      </c>
    </row>
    <row r="13">
      <c r="A13" s="23" t="n">
        <v>46113</v>
      </c>
      <c r="B13" s="17" t="n">
        <v>664964.8199999999</v>
      </c>
      <c r="C13" s="17" t="n">
        <v>7493.08</v>
      </c>
      <c r="D13" s="17" t="n">
        <v>0</v>
      </c>
      <c r="E13" s="17">
        <f>B13-C13-D13</f>
        <v/>
      </c>
      <c r="F13" s="16">
        <f>CHOOSE(WEEKDAY(A13,2),"Lunes","Martes","Miércoles","Jueves","Viernes","Sábado","Domingo")</f>
        <v/>
      </c>
      <c r="G13" s="23" t="n">
        <v>46118</v>
      </c>
      <c r="H13" s="16">
        <f>IF(G13&lt;=$B$7,"Cobrado","Retenido")</f>
        <v/>
      </c>
      <c r="I13" s="17">
        <f>IF(H13="Retenido",E13,0)</f>
        <v/>
      </c>
      <c r="J13" s="16" t="inlineStr">
        <is>
          <t>2026-W14</t>
        </is>
      </c>
    </row>
    <row r="14">
      <c r="A14" s="23" t="n">
        <v>46114</v>
      </c>
      <c r="B14" s="17" t="n">
        <v>579089.9</v>
      </c>
      <c r="C14" s="17" t="n">
        <v>6416.15</v>
      </c>
      <c r="D14" s="17" t="n">
        <v>0</v>
      </c>
      <c r="E14" s="17">
        <f>B14-C14-D14</f>
        <v/>
      </c>
      <c r="F14" s="16">
        <f>CHOOSE(WEEKDAY(A14,2),"Lunes","Martes","Miércoles","Jueves","Viernes","Sábado","Domingo")</f>
        <v/>
      </c>
      <c r="G14" s="23" t="n">
        <v>46119</v>
      </c>
      <c r="H14" s="16">
        <f>IF(G14&lt;=$B$7,"Cobrado","Retenido")</f>
        <v/>
      </c>
      <c r="I14" s="17">
        <f>IF(H14="Retenido",E14,0)</f>
        <v/>
      </c>
      <c r="J14" s="16" t="inlineStr">
        <is>
          <t>2026-W14</t>
        </is>
      </c>
    </row>
    <row r="15">
      <c r="A15" s="23" t="n">
        <v>46115</v>
      </c>
      <c r="B15" s="17" t="n">
        <v>483670.16</v>
      </c>
      <c r="C15" s="17" t="n">
        <v>6028.77</v>
      </c>
      <c r="D15" s="17" t="n">
        <v>0</v>
      </c>
      <c r="E15" s="17">
        <f>B15-C15-D15</f>
        <v/>
      </c>
      <c r="F15" s="16">
        <f>CHOOSE(WEEKDAY(A15,2),"Lunes","Martes","Miércoles","Jueves","Viernes","Sábado","Domingo")</f>
        <v/>
      </c>
      <c r="G15" s="23" t="n">
        <v>46120</v>
      </c>
      <c r="H15" s="16">
        <f>IF(G15&lt;=$B$7,"Cobrado","Retenido")</f>
        <v/>
      </c>
      <c r="I15" s="17">
        <f>IF(H15="Retenido",E15,0)</f>
        <v/>
      </c>
      <c r="J15" s="16" t="inlineStr">
        <is>
          <t>2026-W14</t>
        </is>
      </c>
    </row>
    <row r="16">
      <c r="A16" s="23" t="n">
        <v>46116</v>
      </c>
      <c r="B16" s="17" t="n">
        <v>377860.65</v>
      </c>
      <c r="C16" s="17" t="n">
        <v>4215.53</v>
      </c>
      <c r="D16" s="17" t="n">
        <v>0</v>
      </c>
      <c r="E16" s="17">
        <f>B16-C16-D16</f>
        <v/>
      </c>
      <c r="F16" s="16">
        <f>CHOOSE(WEEKDAY(A16,2),"Lunes","Martes","Miércoles","Jueves","Viernes","Sábado","Domingo")</f>
        <v/>
      </c>
      <c r="G16" s="23" t="n">
        <v>46120</v>
      </c>
      <c r="H16" s="16">
        <f>IF(G16&lt;=$B$7,"Cobrado","Retenido")</f>
        <v/>
      </c>
      <c r="I16" s="17">
        <f>IF(H16="Retenido",E16,0)</f>
        <v/>
      </c>
      <c r="J16" s="16" t="inlineStr">
        <is>
          <t>2026-W14</t>
        </is>
      </c>
    </row>
    <row r="17">
      <c r="A17" s="23" t="n">
        <v>46117</v>
      </c>
      <c r="B17" s="17" t="n">
        <v>408096.3</v>
      </c>
      <c r="C17" s="17" t="n">
        <v>4523.94</v>
      </c>
      <c r="D17" s="17" t="n">
        <v>0</v>
      </c>
      <c r="E17" s="17">
        <f>B17-C17-D17</f>
        <v/>
      </c>
      <c r="F17" s="16">
        <f>CHOOSE(WEEKDAY(A17,2),"Lunes","Martes","Miércoles","Jueves","Viernes","Sábado","Domingo")</f>
        <v/>
      </c>
      <c r="G17" s="23" t="n">
        <v>46120</v>
      </c>
      <c r="H17" s="16">
        <f>IF(G17&lt;=$B$7,"Cobrado","Retenido")</f>
        <v/>
      </c>
      <c r="I17" s="17">
        <f>IF(H17="Retenido",E17,0)</f>
        <v/>
      </c>
      <c r="J17" s="16" t="inlineStr">
        <is>
          <t>2026-W14</t>
        </is>
      </c>
    </row>
    <row r="18">
      <c r="A18" s="23" t="n">
        <v>46118</v>
      </c>
      <c r="B18" s="17" t="n">
        <v>523324.71</v>
      </c>
      <c r="C18" s="17" t="n">
        <v>5661.1</v>
      </c>
      <c r="D18" s="17" t="n">
        <v>0</v>
      </c>
      <c r="E18" s="17">
        <f>B18-C18-D18</f>
        <v/>
      </c>
      <c r="F18" s="16">
        <f>CHOOSE(WEEKDAY(A18,2),"Lunes","Martes","Miércoles","Jueves","Viernes","Sábado","Domingo")</f>
        <v/>
      </c>
      <c r="G18" s="23" t="n">
        <v>46121</v>
      </c>
      <c r="H18" s="16">
        <f>IF(G18&lt;=$B$7,"Cobrado","Retenido")</f>
        <v/>
      </c>
      <c r="I18" s="17">
        <f>IF(H18="Retenido",E18,0)</f>
        <v/>
      </c>
      <c r="J18" s="16" t="inlineStr">
        <is>
          <t>2026-W15</t>
        </is>
      </c>
    </row>
    <row r="19">
      <c r="A19" s="23" t="n">
        <v>46119</v>
      </c>
      <c r="B19" s="17" t="n">
        <v>560218.53</v>
      </c>
      <c r="C19" s="17" t="n">
        <v>6183.08</v>
      </c>
      <c r="D19" s="17" t="n">
        <v>0</v>
      </c>
      <c r="E19" s="17">
        <f>B19-C19-D19</f>
        <v/>
      </c>
      <c r="F19" s="16">
        <f>CHOOSE(WEEKDAY(A19,2),"Lunes","Martes","Miércoles","Jueves","Viernes","Sábado","Domingo")</f>
        <v/>
      </c>
      <c r="G19" s="23" t="n">
        <v>46122</v>
      </c>
      <c r="H19" s="16">
        <f>IF(G19&lt;=$B$7,"Cobrado","Retenido")</f>
        <v/>
      </c>
      <c r="I19" s="17">
        <f>IF(H19="Retenido",E19,0)</f>
        <v/>
      </c>
      <c r="J19" s="16" t="inlineStr">
        <is>
          <t>2026-W15</t>
        </is>
      </c>
    </row>
    <row r="20">
      <c r="A20" s="23" t="n">
        <v>46120</v>
      </c>
      <c r="B20" s="17" t="n">
        <v>589642.6899999999</v>
      </c>
      <c r="C20" s="17" t="n">
        <v>6705.74</v>
      </c>
      <c r="D20" s="17" t="n">
        <v>0</v>
      </c>
      <c r="E20" s="17">
        <f>B20-C20-D20</f>
        <v/>
      </c>
      <c r="F20" s="16">
        <f>CHOOSE(WEEKDAY(A20,2),"Lunes","Martes","Miércoles","Jueves","Viernes","Sábado","Domingo")</f>
        <v/>
      </c>
      <c r="G20" s="23" t="n">
        <v>46125</v>
      </c>
      <c r="H20" s="16">
        <f>IF(G20&lt;=$B$7,"Cobrado","Retenido")</f>
        <v/>
      </c>
      <c r="I20" s="17">
        <f>IF(H20="Retenido",E20,0)</f>
        <v/>
      </c>
      <c r="J20" s="16" t="inlineStr">
        <is>
          <t>2026-W15</t>
        </is>
      </c>
    </row>
    <row r="21">
      <c r="A21" s="23" t="n">
        <v>46121</v>
      </c>
      <c r="B21" s="17" t="n">
        <v>611628.24</v>
      </c>
      <c r="C21" s="17" t="n">
        <v>6600.68</v>
      </c>
      <c r="D21" s="17" t="n">
        <v>0</v>
      </c>
      <c r="E21" s="17">
        <f>B21-C21-D21</f>
        <v/>
      </c>
      <c r="F21" s="16">
        <f>CHOOSE(WEEKDAY(A21,2),"Lunes","Martes","Miércoles","Jueves","Viernes","Sábado","Domingo")</f>
        <v/>
      </c>
      <c r="G21" s="23" t="n">
        <v>46126</v>
      </c>
      <c r="H21" s="16">
        <f>IF(G21&lt;=$B$7,"Cobrado","Retenido")</f>
        <v/>
      </c>
      <c r="I21" s="17">
        <f>IF(H21="Retenido",E21,0)</f>
        <v/>
      </c>
      <c r="J21" s="16" t="inlineStr">
        <is>
          <t>2026-W15</t>
        </is>
      </c>
    </row>
    <row r="22">
      <c r="A22" s="23" t="n">
        <v>46122</v>
      </c>
      <c r="B22" s="17" t="n">
        <v>626036.02</v>
      </c>
      <c r="C22" s="17" t="n">
        <v>7254.71</v>
      </c>
      <c r="D22" s="17" t="n">
        <v>0</v>
      </c>
      <c r="E22" s="17">
        <f>B22-C22-D22</f>
        <v/>
      </c>
      <c r="F22" s="16">
        <f>CHOOSE(WEEKDAY(A22,2),"Lunes","Martes","Miércoles","Jueves","Viernes","Sábado","Domingo")</f>
        <v/>
      </c>
      <c r="G22" s="23" t="n">
        <v>46127</v>
      </c>
      <c r="H22" s="16">
        <f>IF(G22&lt;=$B$7,"Cobrado","Retenido")</f>
        <v/>
      </c>
      <c r="I22" s="17">
        <f>IF(H22="Retenido",E22,0)</f>
        <v/>
      </c>
      <c r="J22" s="16" t="inlineStr">
        <is>
          <t>2026-W15</t>
        </is>
      </c>
    </row>
    <row r="23">
      <c r="A23" s="23" t="n">
        <v>46123</v>
      </c>
      <c r="B23" s="17" t="n">
        <v>525525.01</v>
      </c>
      <c r="C23" s="17" t="n">
        <v>5374.01</v>
      </c>
      <c r="D23" s="17" t="n">
        <v>0</v>
      </c>
      <c r="E23" s="17">
        <f>B23-C23-D23</f>
        <v/>
      </c>
      <c r="F23" s="16">
        <f>CHOOSE(WEEKDAY(A23,2),"Lunes","Martes","Miércoles","Jueves","Viernes","Sábado","Domingo")</f>
        <v/>
      </c>
      <c r="G23" s="23" t="n">
        <v>46127</v>
      </c>
      <c r="H23" s="16">
        <f>IF(G23&lt;=$B$7,"Cobrado","Retenido")</f>
        <v/>
      </c>
      <c r="I23" s="17">
        <f>IF(H23="Retenido",E23,0)</f>
        <v/>
      </c>
      <c r="J23" s="16" t="inlineStr">
        <is>
          <t>2026-W15</t>
        </is>
      </c>
    </row>
    <row r="24">
      <c r="A24" s="23" t="n">
        <v>46124</v>
      </c>
      <c r="B24" s="17" t="n">
        <v>672385.27</v>
      </c>
      <c r="C24" s="17" t="n">
        <v>6409.42</v>
      </c>
      <c r="D24" s="17" t="n">
        <v>0</v>
      </c>
      <c r="E24" s="17">
        <f>B24-C24-D24</f>
        <v/>
      </c>
      <c r="F24" s="16">
        <f>CHOOSE(WEEKDAY(A24,2),"Lunes","Martes","Miércoles","Jueves","Viernes","Sábado","Domingo")</f>
        <v/>
      </c>
      <c r="G24" s="23" t="n">
        <v>46127</v>
      </c>
      <c r="H24" s="16">
        <f>IF(G24&lt;=$B$7,"Cobrado","Retenido")</f>
        <v/>
      </c>
      <c r="I24" s="17">
        <f>IF(H24="Retenido",E24,0)</f>
        <v/>
      </c>
      <c r="J24" s="16" t="inlineStr">
        <is>
          <t>2026-W15</t>
        </is>
      </c>
    </row>
    <row r="25">
      <c r="A25" s="23" t="n">
        <v>46125</v>
      </c>
      <c r="B25" s="17" t="n">
        <v>649677.8</v>
      </c>
      <c r="C25" s="17" t="n">
        <v>7457.9</v>
      </c>
      <c r="D25" s="17" t="n">
        <v>0</v>
      </c>
      <c r="E25" s="17">
        <f>B25-C25-D25</f>
        <v/>
      </c>
      <c r="F25" s="16">
        <f>CHOOSE(WEEKDAY(A25,2),"Lunes","Martes","Miércoles","Jueves","Viernes","Sábado","Domingo")</f>
        <v/>
      </c>
      <c r="G25" s="23" t="n">
        <v>46128</v>
      </c>
      <c r="H25" s="16">
        <f>IF(G25&lt;=$B$7,"Cobrado","Retenido")</f>
        <v/>
      </c>
      <c r="I25" s="17">
        <f>IF(H25="Retenido",E25,0)</f>
        <v/>
      </c>
      <c r="J25" s="16" t="inlineStr">
        <is>
          <t>2026-W16</t>
        </is>
      </c>
    </row>
    <row r="26">
      <c r="A26" s="23" t="n">
        <v>46126</v>
      </c>
      <c r="B26" s="17" t="n">
        <v>742026.15</v>
      </c>
      <c r="C26" s="17" t="n">
        <v>8444.620000000001</v>
      </c>
      <c r="D26" s="17" t="n">
        <v>0</v>
      </c>
      <c r="E26" s="17">
        <f>B26-C26-D26</f>
        <v/>
      </c>
      <c r="F26" s="16">
        <f>CHOOSE(WEEKDAY(A26,2),"Lunes","Martes","Miércoles","Jueves","Viernes","Sábado","Domingo")</f>
        <v/>
      </c>
      <c r="G26" s="23" t="n">
        <v>46129</v>
      </c>
      <c r="H26" s="16">
        <f>IF(G26&lt;=$B$7,"Cobrado","Retenido")</f>
        <v/>
      </c>
      <c r="I26" s="17">
        <f>IF(H26="Retenido",E26,0)</f>
        <v/>
      </c>
      <c r="J26" s="16" t="inlineStr">
        <is>
          <t>2026-W16</t>
        </is>
      </c>
    </row>
    <row r="27">
      <c r="A27" s="23" t="n">
        <v>46127</v>
      </c>
      <c r="B27" s="17" t="n">
        <v>689126.47</v>
      </c>
      <c r="C27" s="17" t="n">
        <v>8119.98</v>
      </c>
      <c r="D27" s="17" t="n">
        <v>0</v>
      </c>
      <c r="E27" s="17">
        <f>B27-C27-D27</f>
        <v/>
      </c>
      <c r="F27" s="16">
        <f>CHOOSE(WEEKDAY(A27,2),"Lunes","Martes","Miércoles","Jueves","Viernes","Sábado","Domingo")</f>
        <v/>
      </c>
      <c r="G27" s="23" t="n">
        <v>46132</v>
      </c>
      <c r="H27" s="16">
        <f>IF(G27&lt;=$B$7,"Cobrado","Retenido")</f>
        <v/>
      </c>
      <c r="I27" s="17">
        <f>IF(H27="Retenido",E27,0)</f>
        <v/>
      </c>
      <c r="J27" s="16" t="inlineStr">
        <is>
          <t>2026-W16</t>
        </is>
      </c>
    </row>
    <row r="28">
      <c r="A28" s="23" t="n">
        <v>46128</v>
      </c>
      <c r="B28" s="17" t="n">
        <v>422116.8</v>
      </c>
      <c r="C28" s="17" t="n">
        <v>4669.95</v>
      </c>
      <c r="D28" s="17" t="n">
        <v>0</v>
      </c>
      <c r="E28" s="17">
        <f>B28-C28-D28</f>
        <v/>
      </c>
      <c r="F28" s="16">
        <f>CHOOSE(WEEKDAY(A28,2),"Lunes","Martes","Miércoles","Jueves","Viernes","Sábado","Domingo")</f>
        <v/>
      </c>
      <c r="G28" s="23" t="n">
        <v>46133</v>
      </c>
      <c r="H28" s="16">
        <f>IF(G28&lt;=$B$7,"Cobrado","Retenido")</f>
        <v/>
      </c>
      <c r="I28" s="17">
        <f>IF(H28="Retenido",E28,0)</f>
        <v/>
      </c>
      <c r="J28" s="16" t="inlineStr">
        <is>
          <t>2026-W16</t>
        </is>
      </c>
    </row>
    <row r="29">
      <c r="A29" s="23" t="n">
        <v>46129</v>
      </c>
      <c r="B29" s="17" t="n">
        <v>497315.09</v>
      </c>
      <c r="C29" s="17" t="n">
        <v>5437.09</v>
      </c>
      <c r="D29" s="17" t="n">
        <v>0</v>
      </c>
      <c r="E29" s="17">
        <f>B29-C29-D29</f>
        <v/>
      </c>
      <c r="F29" s="16">
        <f>CHOOSE(WEEKDAY(A29,2),"Lunes","Martes","Miércoles","Jueves","Viernes","Sábado","Domingo")</f>
        <v/>
      </c>
      <c r="G29" s="23" t="n">
        <v>46134</v>
      </c>
      <c r="H29" s="16">
        <f>IF(G29&lt;=$B$7,"Cobrado","Retenido")</f>
        <v/>
      </c>
      <c r="I29" s="17">
        <f>IF(H29="Retenido",E29,0)</f>
        <v/>
      </c>
      <c r="J29" s="16" t="inlineStr">
        <is>
          <t>2026-W16</t>
        </is>
      </c>
    </row>
    <row r="30">
      <c r="A30" s="23" t="n">
        <v>46130</v>
      </c>
      <c r="B30" s="17" t="n">
        <v>418632.35</v>
      </c>
      <c r="C30" s="17" t="n">
        <v>4140.83</v>
      </c>
      <c r="D30" s="17" t="n">
        <v>0</v>
      </c>
      <c r="E30" s="17">
        <f>B30-C30-D30</f>
        <v/>
      </c>
      <c r="F30" s="16">
        <f>CHOOSE(WEEKDAY(A30,2),"Lunes","Martes","Miércoles","Jueves","Viernes","Sábado","Domingo")</f>
        <v/>
      </c>
      <c r="G30" s="23" t="n">
        <v>46134</v>
      </c>
      <c r="H30" s="16">
        <f>IF(G30&lt;=$B$7,"Cobrado","Retenido")</f>
        <v/>
      </c>
      <c r="I30" s="17">
        <f>IF(H30="Retenido",E30,0)</f>
        <v/>
      </c>
      <c r="J30" s="16" t="inlineStr">
        <is>
          <t>2026-W16</t>
        </is>
      </c>
    </row>
    <row r="31">
      <c r="A31" s="23" t="n">
        <v>46131</v>
      </c>
      <c r="B31" s="17" t="n">
        <v>580326.77</v>
      </c>
      <c r="C31" s="17" t="n">
        <v>5770.9</v>
      </c>
      <c r="D31" s="17" t="n">
        <v>0</v>
      </c>
      <c r="E31" s="17">
        <f>B31-C31-D31</f>
        <v/>
      </c>
      <c r="F31" s="16">
        <f>CHOOSE(WEEKDAY(A31,2),"Lunes","Martes","Miércoles","Jueves","Viernes","Sábado","Domingo")</f>
        <v/>
      </c>
      <c r="G31" s="23" t="n">
        <v>46134</v>
      </c>
      <c r="H31" s="16">
        <f>IF(G31&lt;=$B$7,"Cobrado","Retenido")</f>
        <v/>
      </c>
      <c r="I31" s="17">
        <f>IF(H31="Retenido",E31,0)</f>
        <v/>
      </c>
      <c r="J31" s="16" t="inlineStr">
        <is>
          <t>2026-W16</t>
        </is>
      </c>
    </row>
    <row r="32">
      <c r="A32" s="23" t="n">
        <v>46132</v>
      </c>
      <c r="B32" s="17" t="n">
        <v>591116.75</v>
      </c>
      <c r="C32" s="17" t="n">
        <v>6500.54</v>
      </c>
      <c r="D32" s="17" t="n">
        <v>0</v>
      </c>
      <c r="E32" s="17">
        <f>B32-C32-D32</f>
        <v/>
      </c>
      <c r="F32" s="16">
        <f>CHOOSE(WEEKDAY(A32,2),"Lunes","Martes","Miércoles","Jueves","Viernes","Sábado","Domingo")</f>
        <v/>
      </c>
      <c r="G32" s="23" t="n">
        <v>46135</v>
      </c>
      <c r="H32" s="16">
        <f>IF(G32&lt;=$B$7,"Cobrado","Retenido")</f>
        <v/>
      </c>
      <c r="I32" s="17">
        <f>IF(H32="Retenido",E32,0)</f>
        <v/>
      </c>
      <c r="J32" s="16" t="inlineStr">
        <is>
          <t>2026-W17</t>
        </is>
      </c>
    </row>
    <row r="33">
      <c r="A33" s="23" t="n">
        <v>46133</v>
      </c>
      <c r="B33" s="17" t="n">
        <v>630570.01</v>
      </c>
      <c r="C33" s="17" t="n">
        <v>6918.84</v>
      </c>
      <c r="D33" s="17" t="n">
        <v>0</v>
      </c>
      <c r="E33" s="17">
        <f>B33-C33-D33</f>
        <v/>
      </c>
      <c r="F33" s="16">
        <f>CHOOSE(WEEKDAY(A33,2),"Lunes","Martes","Miércoles","Jueves","Viernes","Sábado","Domingo")</f>
        <v/>
      </c>
      <c r="G33" s="23" t="n">
        <v>46136</v>
      </c>
      <c r="H33" s="16">
        <f>IF(G33&lt;=$B$7,"Cobrado","Retenido")</f>
        <v/>
      </c>
      <c r="I33" s="17">
        <f>IF(H33="Retenido",E33,0)</f>
        <v/>
      </c>
      <c r="J33" s="16" t="inlineStr">
        <is>
          <t>2026-W17</t>
        </is>
      </c>
    </row>
    <row r="34">
      <c r="A34" s="23" t="n">
        <v>46134</v>
      </c>
      <c r="B34" s="17" t="n">
        <v>639006.03</v>
      </c>
      <c r="C34" s="17" t="n">
        <v>6980.42</v>
      </c>
      <c r="D34" s="17" t="n">
        <v>0</v>
      </c>
      <c r="E34" s="17">
        <f>B34-C34-D34</f>
        <v/>
      </c>
      <c r="F34" s="16">
        <f>CHOOSE(WEEKDAY(A34,2),"Lunes","Martes","Miércoles","Jueves","Viernes","Sábado","Domingo")</f>
        <v/>
      </c>
      <c r="G34" s="23" t="n">
        <v>46139</v>
      </c>
      <c r="H34" s="16">
        <f>IF(G34&lt;=$B$7,"Cobrado","Retenido")</f>
        <v/>
      </c>
      <c r="I34" s="17">
        <f>IF(H34="Retenido",E34,0)</f>
        <v/>
      </c>
      <c r="J34" s="16" t="inlineStr">
        <is>
          <t>2026-W17</t>
        </is>
      </c>
    </row>
    <row r="35">
      <c r="A35" s="23" t="n">
        <v>46135</v>
      </c>
      <c r="B35" s="17" t="n">
        <v>515576.22</v>
      </c>
      <c r="C35" s="17" t="n">
        <v>5496.15</v>
      </c>
      <c r="D35" s="17" t="n">
        <v>0</v>
      </c>
      <c r="E35" s="17">
        <f>B35-C35-D35</f>
        <v/>
      </c>
      <c r="F35" s="16">
        <f>CHOOSE(WEEKDAY(A35,2),"Lunes","Martes","Miércoles","Jueves","Viernes","Sábado","Domingo")</f>
        <v/>
      </c>
      <c r="G35" s="23" t="n">
        <v>46140</v>
      </c>
      <c r="H35" s="16">
        <f>IF(G35&lt;=$B$7,"Cobrado","Retenido")</f>
        <v/>
      </c>
      <c r="I35" s="17">
        <f>IF(H35="Retenido",E35,0)</f>
        <v/>
      </c>
      <c r="J35" s="16" t="inlineStr">
        <is>
          <t>2026-W17</t>
        </is>
      </c>
    </row>
    <row r="36">
      <c r="A36" s="23" t="n">
        <v>46136</v>
      </c>
      <c r="B36" s="17" t="n">
        <v>433899.46</v>
      </c>
      <c r="C36" s="17" t="n">
        <v>4786.19</v>
      </c>
      <c r="D36" s="17" t="n">
        <v>0</v>
      </c>
      <c r="E36" s="17">
        <f>B36-C36-D36</f>
        <v/>
      </c>
      <c r="F36" s="16">
        <f>CHOOSE(WEEKDAY(A36,2),"Lunes","Martes","Miércoles","Jueves","Viernes","Sábado","Domingo")</f>
        <v/>
      </c>
      <c r="G36" s="23" t="n">
        <v>46141</v>
      </c>
      <c r="H36" s="16">
        <f>IF(G36&lt;=$B$7,"Cobrado","Retenido")</f>
        <v/>
      </c>
      <c r="I36" s="17">
        <f>IF(H36="Retenido",E36,0)</f>
        <v/>
      </c>
      <c r="J36" s="16" t="inlineStr">
        <is>
          <t>2026-W17</t>
        </is>
      </c>
    </row>
    <row r="37">
      <c r="A37" s="23" t="n">
        <v>46137</v>
      </c>
      <c r="B37" s="17" t="n">
        <v>390685.6</v>
      </c>
      <c r="C37" s="17" t="n">
        <v>3455.54</v>
      </c>
      <c r="D37" s="17" t="n">
        <v>0</v>
      </c>
      <c r="E37" s="17">
        <f>B37-C37-D37</f>
        <v/>
      </c>
      <c r="F37" s="16">
        <f>CHOOSE(WEEKDAY(A37,2),"Lunes","Martes","Miércoles","Jueves","Viernes","Sábado","Domingo")</f>
        <v/>
      </c>
      <c r="G37" s="23" t="n">
        <v>46141</v>
      </c>
      <c r="H37" s="16">
        <f>IF(G37&lt;=$B$7,"Cobrado","Retenido")</f>
        <v/>
      </c>
      <c r="I37" s="17">
        <f>IF(H37="Retenido",E37,0)</f>
        <v/>
      </c>
      <c r="J37" s="16" t="inlineStr">
        <is>
          <t>2026-W17</t>
        </is>
      </c>
    </row>
    <row r="38">
      <c r="A38" s="23" t="n">
        <v>46138</v>
      </c>
      <c r="B38" s="17" t="n">
        <v>517931.47</v>
      </c>
      <c r="C38" s="17" t="n">
        <v>4437.64</v>
      </c>
      <c r="D38" s="17" t="n">
        <v>0</v>
      </c>
      <c r="E38" s="17">
        <f>B38-C38-D38</f>
        <v/>
      </c>
      <c r="F38" s="16">
        <f>CHOOSE(WEEKDAY(A38,2),"Lunes","Martes","Miércoles","Jueves","Viernes","Sábado","Domingo")</f>
        <v/>
      </c>
      <c r="G38" s="23" t="n">
        <v>46141</v>
      </c>
      <c r="H38" s="16">
        <f>IF(G38&lt;=$B$7,"Cobrado","Retenido")</f>
        <v/>
      </c>
      <c r="I38" s="17">
        <f>IF(H38="Retenido",E38,0)</f>
        <v/>
      </c>
      <c r="J38" s="16" t="inlineStr">
        <is>
          <t>2026-W17</t>
        </is>
      </c>
    </row>
    <row r="39">
      <c r="A39" s="23" t="n">
        <v>46139</v>
      </c>
      <c r="B39" s="17" t="n">
        <v>570764.49</v>
      </c>
      <c r="C39" s="17" t="n">
        <v>5438.47</v>
      </c>
      <c r="D39" s="17" t="n">
        <v>0</v>
      </c>
      <c r="E39" s="17">
        <f>B39-C39-D39</f>
        <v/>
      </c>
      <c r="F39" s="16">
        <f>CHOOSE(WEEKDAY(A39,2),"Lunes","Martes","Miércoles","Jueves","Viernes","Sábado","Domingo")</f>
        <v/>
      </c>
      <c r="G39" s="23" t="n">
        <v>46142</v>
      </c>
      <c r="H39" s="16">
        <f>IF(G39&lt;=$B$7,"Cobrado","Retenido")</f>
        <v/>
      </c>
      <c r="I39" s="17">
        <f>IF(H39="Retenido",E39,0)</f>
        <v/>
      </c>
      <c r="J39" s="16" t="inlineStr">
        <is>
          <t>2026-W18</t>
        </is>
      </c>
    </row>
    <row r="40">
      <c r="A40" s="23" t="n">
        <v>46140</v>
      </c>
      <c r="B40" s="17" t="n">
        <v>631968.95</v>
      </c>
      <c r="C40" s="17" t="n">
        <v>6478.9</v>
      </c>
      <c r="D40" s="17" t="n">
        <v>123.86</v>
      </c>
      <c r="E40" s="17">
        <f>B40-C40-D40</f>
        <v/>
      </c>
      <c r="F40" s="16">
        <f>CHOOSE(WEEKDAY(A40,2),"Lunes","Martes","Miércoles","Jueves","Viernes","Sábado","Domingo")</f>
        <v/>
      </c>
      <c r="G40" s="23" t="n">
        <v>46143</v>
      </c>
      <c r="H40" s="16">
        <f>IF(G40&lt;=$B$7,"Cobrado","Retenido")</f>
        <v/>
      </c>
      <c r="I40" s="17">
        <f>IF(H40="Retenido",E40,0)</f>
        <v/>
      </c>
      <c r="J40" s="16" t="inlineStr">
        <is>
          <t>2026-W18</t>
        </is>
      </c>
    </row>
    <row r="41">
      <c r="A41" s="23" t="n">
        <v>46141</v>
      </c>
      <c r="B41" s="17" t="n">
        <v>593217.22</v>
      </c>
      <c r="C41" s="17" t="n">
        <v>5741.51</v>
      </c>
      <c r="D41" s="17" t="n">
        <v>130.17</v>
      </c>
      <c r="E41" s="17">
        <f>B41-C41-D41</f>
        <v/>
      </c>
      <c r="F41" s="16">
        <f>CHOOSE(WEEKDAY(A41,2),"Lunes","Martes","Miércoles","Jueves","Viernes","Sábado","Domingo")</f>
        <v/>
      </c>
      <c r="G41" s="23" t="n">
        <v>46146</v>
      </c>
      <c r="H41" s="16">
        <f>IF(G41&lt;=$B$7,"Cobrado","Retenido")</f>
        <v/>
      </c>
      <c r="I41" s="17">
        <f>IF(H41="Retenido",E41,0)</f>
        <v/>
      </c>
      <c r="J41" s="16" t="inlineStr">
        <is>
          <t>2026-W18</t>
        </is>
      </c>
    </row>
    <row r="42">
      <c r="A42" s="23" t="n">
        <v>46142</v>
      </c>
      <c r="B42" s="17" t="n">
        <v>555274.4300000001</v>
      </c>
      <c r="C42" s="17" t="n">
        <v>5943.23</v>
      </c>
      <c r="D42" s="17" t="n">
        <v>0</v>
      </c>
      <c r="E42" s="17">
        <f>B42-C42-D42</f>
        <v/>
      </c>
      <c r="F42" s="16">
        <f>CHOOSE(WEEKDAY(A42,2),"Lunes","Martes","Miércoles","Jueves","Viernes","Sábado","Domingo")</f>
        <v/>
      </c>
      <c r="G42" s="23" t="n">
        <v>46147</v>
      </c>
      <c r="H42" s="16">
        <f>IF(G42&lt;=$B$7,"Cobrado","Retenido")</f>
        <v/>
      </c>
      <c r="I42" s="17">
        <f>IF(H42="Retenido",E42,0)</f>
        <v/>
      </c>
      <c r="J42" s="16" t="inlineStr">
        <is>
          <t>2026-W18</t>
        </is>
      </c>
    </row>
    <row r="43">
      <c r="A43" s="23" t="n">
        <v>46143</v>
      </c>
      <c r="B43" s="17" t="n">
        <v>515586.4</v>
      </c>
      <c r="C43" s="17" t="n">
        <v>4564.62</v>
      </c>
      <c r="D43" s="17" t="n">
        <v>182.93</v>
      </c>
      <c r="E43" s="17">
        <f>B43-C43-D43</f>
        <v/>
      </c>
      <c r="F43" s="16">
        <f>CHOOSE(WEEKDAY(A43,2),"Lunes","Martes","Miércoles","Jueves","Viernes","Sábado","Domingo")</f>
        <v/>
      </c>
      <c r="G43" s="23" t="n">
        <v>46148</v>
      </c>
      <c r="H43" s="16">
        <f>IF(G43&lt;=$B$7,"Cobrado","Retenido")</f>
        <v/>
      </c>
      <c r="I43" s="17">
        <f>IF(H43="Retenido",E43,0)</f>
        <v/>
      </c>
      <c r="J43" s="16" t="inlineStr">
        <is>
          <t>2026-W18</t>
        </is>
      </c>
    </row>
    <row r="44">
      <c r="A44" s="23" t="n">
        <v>46144</v>
      </c>
      <c r="B44" s="17" t="n">
        <v>418115.95</v>
      </c>
      <c r="C44" s="17" t="n">
        <v>3721.36</v>
      </c>
      <c r="D44" s="17" t="n">
        <v>0</v>
      </c>
      <c r="E44" s="17">
        <f>B44-C44-D44</f>
        <v/>
      </c>
      <c r="F44" s="16">
        <f>CHOOSE(WEEKDAY(A44,2),"Lunes","Martes","Miércoles","Jueves","Viernes","Sábado","Domingo")</f>
        <v/>
      </c>
      <c r="G44" s="23" t="n">
        <v>46148</v>
      </c>
      <c r="H44" s="16">
        <f>IF(G44&lt;=$B$7,"Cobrado","Retenido")</f>
        <v/>
      </c>
      <c r="I44" s="17">
        <f>IF(H44="Retenido",E44,0)</f>
        <v/>
      </c>
      <c r="J44" s="16" t="inlineStr">
        <is>
          <t>2026-W18</t>
        </is>
      </c>
    </row>
    <row r="45">
      <c r="A45" s="23" t="n">
        <v>46145</v>
      </c>
      <c r="B45" s="17" t="n">
        <v>570854.72</v>
      </c>
      <c r="C45" s="17" t="n">
        <v>4628.81</v>
      </c>
      <c r="D45" s="17" t="n">
        <v>0</v>
      </c>
      <c r="E45" s="17">
        <f>B45-C45-D45</f>
        <v/>
      </c>
      <c r="F45" s="16">
        <f>CHOOSE(WEEKDAY(A45,2),"Lunes","Martes","Miércoles","Jueves","Viernes","Sábado","Domingo")</f>
        <v/>
      </c>
      <c r="G45" s="23" t="n">
        <v>46148</v>
      </c>
      <c r="H45" s="16">
        <f>IF(G45&lt;=$B$7,"Cobrado","Retenido")</f>
        <v/>
      </c>
      <c r="I45" s="17">
        <f>IF(H45="Retenido",E45,0)</f>
        <v/>
      </c>
      <c r="J45" s="16" t="inlineStr">
        <is>
          <t>2026-W18</t>
        </is>
      </c>
    </row>
    <row r="46">
      <c r="A46" s="23" t="n">
        <v>46146</v>
      </c>
      <c r="B46" s="17" t="n">
        <v>619114.08</v>
      </c>
      <c r="C46" s="17" t="n">
        <v>6227.64</v>
      </c>
      <c r="D46" s="17" t="n">
        <v>0</v>
      </c>
      <c r="E46" s="17">
        <f>B46-C46-D46</f>
        <v/>
      </c>
      <c r="F46" s="16">
        <f>CHOOSE(WEEKDAY(A46,2),"Lunes","Martes","Miércoles","Jueves","Viernes","Sábado","Domingo")</f>
        <v/>
      </c>
      <c r="G46" s="23" t="n">
        <v>46149</v>
      </c>
      <c r="H46" s="16">
        <f>IF(G46&lt;=$B$7,"Cobrado","Retenido")</f>
        <v/>
      </c>
      <c r="I46" s="17">
        <f>IF(H46="Retenido",E46,0)</f>
        <v/>
      </c>
      <c r="J46" s="16" t="inlineStr">
        <is>
          <t>2026-W19</t>
        </is>
      </c>
    </row>
    <row r="47">
      <c r="A47" s="23" t="n">
        <v>46147</v>
      </c>
      <c r="B47" s="17" t="n">
        <v>626457.35</v>
      </c>
      <c r="C47" s="17" t="n">
        <v>6525.3</v>
      </c>
      <c r="D47" s="17" t="n">
        <v>0</v>
      </c>
      <c r="E47" s="17">
        <f>B47-C47-D47</f>
        <v/>
      </c>
      <c r="F47" s="16">
        <f>CHOOSE(WEEKDAY(A47,2),"Lunes","Martes","Miércoles","Jueves","Viernes","Sábado","Domingo")</f>
        <v/>
      </c>
      <c r="G47" s="23" t="n">
        <v>46150</v>
      </c>
      <c r="H47" s="16">
        <f>IF(G47&lt;=$B$7,"Cobrado","Retenido")</f>
        <v/>
      </c>
      <c r="I47" s="17">
        <f>IF(H47="Retenido",E47,0)</f>
        <v/>
      </c>
      <c r="J47" s="16" t="inlineStr">
        <is>
          <t>2026-W19</t>
        </is>
      </c>
    </row>
    <row r="48">
      <c r="A48" s="23" t="n">
        <v>46148</v>
      </c>
      <c r="B48" s="17" t="n">
        <v>583474.48</v>
      </c>
      <c r="C48" s="17" t="n">
        <v>5562.84</v>
      </c>
      <c r="D48" s="17" t="n">
        <v>0</v>
      </c>
      <c r="E48" s="17">
        <f>B48-C48-D48</f>
        <v/>
      </c>
      <c r="F48" s="16">
        <f>CHOOSE(WEEKDAY(A48,2),"Lunes","Martes","Miércoles","Jueves","Viernes","Sábado","Domingo")</f>
        <v/>
      </c>
      <c r="G48" s="23" t="n">
        <v>46153</v>
      </c>
      <c r="H48" s="16">
        <f>IF(G48&lt;=$B$7,"Cobrado","Retenido")</f>
        <v/>
      </c>
      <c r="I48" s="17">
        <f>IF(H48="Retenido",E48,0)</f>
        <v/>
      </c>
      <c r="J48" s="16" t="inlineStr">
        <is>
          <t>2026-W19</t>
        </is>
      </c>
    </row>
    <row r="49">
      <c r="A49" s="23" t="n">
        <v>46149</v>
      </c>
      <c r="B49" s="17" t="n">
        <v>519280.8</v>
      </c>
      <c r="C49" s="17" t="n">
        <v>5121.68</v>
      </c>
      <c r="D49" s="17" t="n">
        <v>0</v>
      </c>
      <c r="E49" s="17">
        <f>B49-C49-D49</f>
        <v/>
      </c>
      <c r="F49" s="16">
        <f>CHOOSE(WEEKDAY(A49,2),"Lunes","Martes","Miércoles","Jueves","Viernes","Sábado","Domingo")</f>
        <v/>
      </c>
      <c r="G49" s="23" t="n">
        <v>46154</v>
      </c>
      <c r="H49" s="16">
        <f>IF(G49&lt;=$B$7,"Cobrado","Retenido")</f>
        <v/>
      </c>
      <c r="I49" s="17">
        <f>IF(H49="Retenido",E49,0)</f>
        <v/>
      </c>
      <c r="J49" s="16" t="inlineStr">
        <is>
          <t>2026-W19</t>
        </is>
      </c>
    </row>
    <row r="50">
      <c r="A50" s="23" t="n">
        <v>46150</v>
      </c>
      <c r="B50" s="17" t="n">
        <v>485500.64</v>
      </c>
      <c r="C50" s="17" t="n">
        <v>4597.27</v>
      </c>
      <c r="D50" s="17" t="n">
        <v>0</v>
      </c>
      <c r="E50" s="17">
        <f>B50-C50-D50</f>
        <v/>
      </c>
      <c r="F50" s="16">
        <f>CHOOSE(WEEKDAY(A50,2),"Lunes","Martes","Miércoles","Jueves","Viernes","Sábado","Domingo")</f>
        <v/>
      </c>
      <c r="G50" s="23" t="n">
        <v>46155</v>
      </c>
      <c r="H50" s="16">
        <f>IF(G50&lt;=$B$7,"Cobrado","Retenido")</f>
        <v/>
      </c>
      <c r="I50" s="17">
        <f>IF(H50="Retenido",E50,0)</f>
        <v/>
      </c>
      <c r="J50" s="16" t="inlineStr">
        <is>
          <t>2026-W19</t>
        </is>
      </c>
    </row>
    <row r="51">
      <c r="A51" s="23" t="n">
        <v>46151</v>
      </c>
      <c r="B51" s="17" t="n">
        <v>414331.91</v>
      </c>
      <c r="C51" s="17" t="n">
        <v>3753.68</v>
      </c>
      <c r="D51" s="17" t="n">
        <v>0</v>
      </c>
      <c r="E51" s="17">
        <f>B51-C51-D51</f>
        <v/>
      </c>
      <c r="F51" s="16">
        <f>CHOOSE(WEEKDAY(A51,2),"Lunes","Martes","Miércoles","Jueves","Viernes","Sábado","Domingo")</f>
        <v/>
      </c>
      <c r="G51" s="23" t="n">
        <v>46155</v>
      </c>
      <c r="H51" s="16">
        <f>IF(G51&lt;=$B$7,"Cobrado","Retenido")</f>
        <v/>
      </c>
      <c r="I51" s="17">
        <f>IF(H51="Retenido",E51,0)</f>
        <v/>
      </c>
      <c r="J51" s="16" t="inlineStr">
        <is>
          <t>2026-W19</t>
        </is>
      </c>
    </row>
    <row r="52">
      <c r="A52" s="23" t="n">
        <v>46152</v>
      </c>
      <c r="B52" s="17" t="n">
        <v>586739.22</v>
      </c>
      <c r="C52" s="17" t="n">
        <v>5016.49</v>
      </c>
      <c r="D52" s="17" t="n">
        <v>0</v>
      </c>
      <c r="E52" s="17">
        <f>B52-C52-D52</f>
        <v/>
      </c>
      <c r="F52" s="16">
        <f>CHOOSE(WEEKDAY(A52,2),"Lunes","Martes","Miércoles","Jueves","Viernes","Sábado","Domingo")</f>
        <v/>
      </c>
      <c r="G52" s="23" t="n">
        <v>46155</v>
      </c>
      <c r="H52" s="16">
        <f>IF(G52&lt;=$B$7,"Cobrado","Retenido")</f>
        <v/>
      </c>
      <c r="I52" s="17">
        <f>IF(H52="Retenido",E52,0)</f>
        <v/>
      </c>
      <c r="J52" s="16" t="inlineStr">
        <is>
          <t>2026-W19</t>
        </is>
      </c>
    </row>
    <row r="53">
      <c r="A53" s="23" t="n">
        <v>46153</v>
      </c>
      <c r="B53" s="17" t="n">
        <v>578116.73</v>
      </c>
      <c r="C53" s="17" t="n">
        <v>5848.93</v>
      </c>
      <c r="D53" s="17" t="n">
        <v>0</v>
      </c>
      <c r="E53" s="17">
        <f>B53-C53-D53</f>
        <v/>
      </c>
      <c r="F53" s="16">
        <f>CHOOSE(WEEKDAY(A53,2),"Lunes","Martes","Miércoles","Jueves","Viernes","Sábado","Domingo")</f>
        <v/>
      </c>
      <c r="G53" s="23" t="n">
        <v>46156</v>
      </c>
      <c r="H53" s="16">
        <f>IF(G53&lt;=$B$7,"Cobrado","Retenido")</f>
        <v/>
      </c>
      <c r="I53" s="17">
        <f>IF(H53="Retenido",E53,0)</f>
        <v/>
      </c>
      <c r="J53" s="16" t="inlineStr">
        <is>
          <t>2026-W20</t>
        </is>
      </c>
    </row>
    <row r="54">
      <c r="A54" s="23" t="n">
        <v>46154</v>
      </c>
      <c r="B54" s="17" t="n">
        <v>520326.57</v>
      </c>
      <c r="C54" s="17" t="n">
        <v>5602.86</v>
      </c>
      <c r="D54" s="17" t="n">
        <v>0</v>
      </c>
      <c r="E54" s="17">
        <f>B54-C54-D54</f>
        <v/>
      </c>
      <c r="F54" s="16">
        <f>CHOOSE(WEEKDAY(A54,2),"Lunes","Martes","Miércoles","Jueves","Viernes","Sábado","Domingo")</f>
        <v/>
      </c>
      <c r="G54" s="23" t="n">
        <v>46157</v>
      </c>
      <c r="H54" s="16">
        <f>IF(G54&lt;=$B$7,"Cobrado","Retenido")</f>
        <v/>
      </c>
      <c r="I54" s="17">
        <f>IF(H54="Retenido",E54,0)</f>
        <v/>
      </c>
      <c r="J54" s="16" t="inlineStr">
        <is>
          <t>2026-W20</t>
        </is>
      </c>
    </row>
    <row r="55">
      <c r="A55" s="23" t="n">
        <v>46155</v>
      </c>
      <c r="B55" s="17" t="n">
        <v>557707.8199999999</v>
      </c>
      <c r="C55" s="17" t="n">
        <v>5652.69</v>
      </c>
      <c r="D55" s="17" t="n">
        <v>0</v>
      </c>
      <c r="E55" s="17">
        <f>B55-C55-D55</f>
        <v/>
      </c>
      <c r="F55" s="16">
        <f>CHOOSE(WEEKDAY(A55,2),"Lunes","Martes","Miércoles","Jueves","Viernes","Sábado","Domingo")</f>
        <v/>
      </c>
      <c r="G55" s="23" t="n">
        <v>46160</v>
      </c>
      <c r="H55" s="16">
        <f>IF(G55&lt;=$B$7,"Cobrado","Retenido")</f>
        <v/>
      </c>
      <c r="I55" s="17">
        <f>IF(H55="Retenido",E55,0)</f>
        <v/>
      </c>
      <c r="J55" s="16" t="inlineStr">
        <is>
          <t>2026-W20</t>
        </is>
      </c>
    </row>
    <row r="56">
      <c r="A56" s="23" t="n">
        <v>46156</v>
      </c>
      <c r="B56" s="17" t="n">
        <v>611027.17</v>
      </c>
      <c r="C56" s="17" t="n">
        <v>5663.27</v>
      </c>
      <c r="D56" s="17" t="n">
        <v>0</v>
      </c>
      <c r="E56" s="17">
        <f>B56-C56-D56</f>
        <v/>
      </c>
      <c r="F56" s="16">
        <f>CHOOSE(WEEKDAY(A56,2),"Lunes","Martes","Miércoles","Jueves","Viernes","Sábado","Domingo")</f>
        <v/>
      </c>
      <c r="G56" s="23" t="n">
        <v>46161</v>
      </c>
      <c r="H56" s="16">
        <f>IF(G56&lt;=$B$7,"Cobrado","Retenido")</f>
        <v/>
      </c>
      <c r="I56" s="17">
        <f>IF(H56="Retenido",E56,0)</f>
        <v/>
      </c>
      <c r="J56" s="16" t="inlineStr">
        <is>
          <t>2026-W20</t>
        </is>
      </c>
    </row>
    <row r="57">
      <c r="A57" s="23" t="n">
        <v>46157</v>
      </c>
      <c r="B57" s="17" t="n">
        <v>491508.27</v>
      </c>
      <c r="C57" s="17" t="n">
        <v>4721.9</v>
      </c>
      <c r="D57" s="17" t="n">
        <v>0</v>
      </c>
      <c r="E57" s="17">
        <f>B57-C57-D57</f>
        <v/>
      </c>
      <c r="F57" s="16">
        <f>CHOOSE(WEEKDAY(A57,2),"Lunes","Martes","Miércoles","Jueves","Viernes","Sábado","Domingo")</f>
        <v/>
      </c>
      <c r="G57" s="23" t="n">
        <v>46162</v>
      </c>
      <c r="H57" s="16">
        <f>IF(G57&lt;=$B$7,"Cobrado","Retenido")</f>
        <v/>
      </c>
      <c r="I57" s="17">
        <f>IF(H57="Retenido",E57,0)</f>
        <v/>
      </c>
      <c r="J57" s="16" t="inlineStr">
        <is>
          <t>2026-W20</t>
        </is>
      </c>
    </row>
    <row r="58">
      <c r="A58" s="23" t="n">
        <v>46158</v>
      </c>
      <c r="B58" s="17" t="n">
        <v>411317.15</v>
      </c>
      <c r="C58" s="17" t="n">
        <v>3722.34</v>
      </c>
      <c r="D58" s="17" t="n">
        <v>0</v>
      </c>
      <c r="E58" s="17">
        <f>B58-C58-D58</f>
        <v/>
      </c>
      <c r="F58" s="16">
        <f>CHOOSE(WEEKDAY(A58,2),"Lunes","Martes","Miércoles","Jueves","Viernes","Sábado","Domingo")</f>
        <v/>
      </c>
      <c r="G58" s="23" t="n">
        <v>46162</v>
      </c>
      <c r="H58" s="16">
        <f>IF(G58&lt;=$B$7,"Cobrado","Retenido")</f>
        <v/>
      </c>
      <c r="I58" s="17">
        <f>IF(H58="Retenido",E58,0)</f>
        <v/>
      </c>
      <c r="J58" s="16" t="inlineStr">
        <is>
          <t>2026-W20</t>
        </is>
      </c>
    </row>
    <row r="59">
      <c r="A59" s="23" t="n">
        <v>46159</v>
      </c>
      <c r="B59" s="17" t="n">
        <v>611530.55</v>
      </c>
      <c r="C59" s="17" t="n">
        <v>5152.37</v>
      </c>
      <c r="D59" s="17" t="n">
        <v>0</v>
      </c>
      <c r="E59" s="17">
        <f>B59-C59-D59</f>
        <v/>
      </c>
      <c r="F59" s="16">
        <f>CHOOSE(WEEKDAY(A59,2),"Lunes","Martes","Miércoles","Jueves","Viernes","Sábado","Domingo")</f>
        <v/>
      </c>
      <c r="G59" s="23" t="n">
        <v>46162</v>
      </c>
      <c r="H59" s="16">
        <f>IF(G59&lt;=$B$7,"Cobrado","Retenido")</f>
        <v/>
      </c>
      <c r="I59" s="17">
        <f>IF(H59="Retenido",E59,0)</f>
        <v/>
      </c>
      <c r="J59" s="16" t="inlineStr">
        <is>
          <t>2026-W20</t>
        </is>
      </c>
    </row>
    <row r="60">
      <c r="A60" s="23" t="n">
        <v>46160</v>
      </c>
      <c r="B60" s="17" t="n">
        <v>618522.14</v>
      </c>
      <c r="C60" s="17" t="n">
        <v>6153.5</v>
      </c>
      <c r="D60" s="17" t="n">
        <v>84.03</v>
      </c>
      <c r="E60" s="17">
        <f>B60-C60-D60</f>
        <v/>
      </c>
      <c r="F60" s="16">
        <f>CHOOSE(WEEKDAY(A60,2),"Lunes","Martes","Miércoles","Jueves","Viernes","Sábado","Domingo")</f>
        <v/>
      </c>
      <c r="G60" s="23" t="n">
        <v>46163</v>
      </c>
      <c r="H60" s="16">
        <f>IF(G60&lt;=$B$7,"Cobrado","Retenido")</f>
        <v/>
      </c>
      <c r="I60" s="17">
        <f>IF(H60="Retenido",E60,0)</f>
        <v/>
      </c>
      <c r="J60" s="16" t="inlineStr">
        <is>
          <t>2026-W21</t>
        </is>
      </c>
    </row>
    <row r="61">
      <c r="A61" s="23" t="n">
        <v>46161</v>
      </c>
      <c r="B61" s="17" t="n">
        <v>564768.08</v>
      </c>
      <c r="C61" s="17" t="n">
        <v>5578.15</v>
      </c>
      <c r="D61" s="17" t="n">
        <v>0</v>
      </c>
      <c r="E61" s="17">
        <f>B61-C61-D61</f>
        <v/>
      </c>
      <c r="F61" s="16">
        <f>CHOOSE(WEEKDAY(A61,2),"Lunes","Martes","Miércoles","Jueves","Viernes","Sábado","Domingo")</f>
        <v/>
      </c>
      <c r="G61" s="23" t="n">
        <v>46164</v>
      </c>
      <c r="H61" s="16">
        <f>IF(G61&lt;=$B$7,"Cobrado","Retenido")</f>
        <v/>
      </c>
      <c r="I61" s="17">
        <f>IF(H61="Retenido",E61,0)</f>
        <v/>
      </c>
      <c r="J61" s="16" t="inlineStr">
        <is>
          <t>2026-W21</t>
        </is>
      </c>
    </row>
    <row r="62">
      <c r="A62" s="23" t="n">
        <v>46162</v>
      </c>
      <c r="B62" s="17" t="n">
        <v>567310.34</v>
      </c>
      <c r="C62" s="17" t="n">
        <v>5470</v>
      </c>
      <c r="D62" s="17" t="n">
        <v>0</v>
      </c>
      <c r="E62" s="17">
        <f>B62-C62-D62</f>
        <v/>
      </c>
      <c r="F62" s="16">
        <f>CHOOSE(WEEKDAY(A62,2),"Lunes","Martes","Miércoles","Jueves","Viernes","Sábado","Domingo")</f>
        <v/>
      </c>
      <c r="G62" s="23" t="n">
        <v>46167</v>
      </c>
      <c r="H62" s="16">
        <f>IF(G62&lt;=$B$7,"Cobrado","Retenido")</f>
        <v/>
      </c>
      <c r="I62" s="17">
        <f>IF(H62="Retenido",E62,0)</f>
        <v/>
      </c>
      <c r="J62" s="16" t="inlineStr">
        <is>
          <t>2026-W21</t>
        </is>
      </c>
    </row>
    <row r="63">
      <c r="A63" s="23" t="n">
        <v>46163</v>
      </c>
      <c r="B63" s="17" t="n">
        <v>538459.8100000001</v>
      </c>
      <c r="C63" s="17" t="n">
        <v>5484.39</v>
      </c>
      <c r="D63" s="17" t="n">
        <v>0</v>
      </c>
      <c r="E63" s="17">
        <f>B63-C63-D63</f>
        <v/>
      </c>
      <c r="F63" s="16">
        <f>CHOOSE(WEEKDAY(A63,2),"Lunes","Martes","Miércoles","Jueves","Viernes","Sábado","Domingo")</f>
        <v/>
      </c>
      <c r="G63" s="23" t="n">
        <v>46168</v>
      </c>
      <c r="H63" s="16">
        <f>IF(G63&lt;=$B$7,"Cobrado","Retenido")</f>
        <v/>
      </c>
      <c r="I63" s="17">
        <f>IF(H63="Retenido",E63,0)</f>
        <v/>
      </c>
      <c r="J63" s="16" t="inlineStr">
        <is>
          <t>2026-W21</t>
        </is>
      </c>
    </row>
    <row r="64">
      <c r="A64" s="23" t="n">
        <v>46164</v>
      </c>
      <c r="B64" s="17" t="n">
        <v>505892.75</v>
      </c>
      <c r="C64" s="17" t="n">
        <v>5193.08</v>
      </c>
      <c r="D64" s="17" t="n">
        <v>0</v>
      </c>
      <c r="E64" s="17">
        <f>B64-C64-D64</f>
        <v/>
      </c>
      <c r="F64" s="16">
        <f>CHOOSE(WEEKDAY(A64,2),"Lunes","Martes","Miércoles","Jueves","Viernes","Sábado","Domingo")</f>
        <v/>
      </c>
      <c r="G64" s="23" t="n">
        <v>46169</v>
      </c>
      <c r="H64" s="16">
        <f>IF(G64&lt;=$B$7,"Cobrado","Retenido")</f>
        <v/>
      </c>
      <c r="I64" s="17">
        <f>IF(H64="Retenido",E64,0)</f>
        <v/>
      </c>
      <c r="J64" s="16" t="inlineStr">
        <is>
          <t>2026-W21</t>
        </is>
      </c>
    </row>
    <row r="65">
      <c r="A65" s="23" t="n">
        <v>46165</v>
      </c>
      <c r="B65" s="17" t="n">
        <v>382928.68</v>
      </c>
      <c r="C65" s="17" t="n">
        <v>3657.51</v>
      </c>
      <c r="D65" s="17" t="n">
        <v>0</v>
      </c>
      <c r="E65" s="17">
        <f>B65-C65-D65</f>
        <v/>
      </c>
      <c r="F65" s="16">
        <f>CHOOSE(WEEKDAY(A65,2),"Lunes","Martes","Miércoles","Jueves","Viernes","Sábado","Domingo")</f>
        <v/>
      </c>
      <c r="G65" s="23" t="n">
        <v>46169</v>
      </c>
      <c r="H65" s="16">
        <f>IF(G65&lt;=$B$7,"Cobrado","Retenido")</f>
        <v/>
      </c>
      <c r="I65" s="17">
        <f>IF(H65="Retenido",E65,0)</f>
        <v/>
      </c>
      <c r="J65" s="16" t="inlineStr">
        <is>
          <t>2026-W21</t>
        </is>
      </c>
    </row>
    <row r="66">
      <c r="A66" s="23" t="n">
        <v>46166</v>
      </c>
      <c r="B66" s="17" t="n">
        <v>492557.15</v>
      </c>
      <c r="C66" s="17" t="n">
        <v>4326.32</v>
      </c>
      <c r="D66" s="17" t="n">
        <v>0</v>
      </c>
      <c r="E66" s="17">
        <f>B66-C66-D66</f>
        <v/>
      </c>
      <c r="F66" s="16">
        <f>CHOOSE(WEEKDAY(A66,2),"Lunes","Martes","Miércoles","Jueves","Viernes","Sábado","Domingo")</f>
        <v/>
      </c>
      <c r="G66" s="23" t="n">
        <v>46169</v>
      </c>
      <c r="H66" s="16">
        <f>IF(G66&lt;=$B$7,"Cobrado","Retenido")</f>
        <v/>
      </c>
      <c r="I66" s="17">
        <f>IF(H66="Retenido",E66,0)</f>
        <v/>
      </c>
      <c r="J66" s="16" t="inlineStr">
        <is>
          <t>2026-W21</t>
        </is>
      </c>
    </row>
    <row r="67">
      <c r="A67" s="23" t="n">
        <v>46167</v>
      </c>
      <c r="B67" s="17" t="n">
        <v>585474.1</v>
      </c>
      <c r="C67" s="17" t="n">
        <v>5533.72</v>
      </c>
      <c r="D67" s="17" t="n">
        <v>0</v>
      </c>
      <c r="E67" s="17">
        <f>B67-C67-D67</f>
        <v/>
      </c>
      <c r="F67" s="16">
        <f>CHOOSE(WEEKDAY(A67,2),"Lunes","Martes","Miércoles","Jueves","Viernes","Sábado","Domingo")</f>
        <v/>
      </c>
      <c r="G67" s="23" t="n">
        <v>46170</v>
      </c>
      <c r="H67" s="16">
        <f>IF(G67&lt;=$B$7,"Cobrado","Retenido")</f>
        <v/>
      </c>
      <c r="I67" s="17">
        <f>IF(H67="Retenido",E67,0)</f>
        <v/>
      </c>
      <c r="J67" s="16" t="inlineStr">
        <is>
          <t>2026-W22</t>
        </is>
      </c>
    </row>
    <row r="68">
      <c r="A68" s="23" t="n">
        <v>46168</v>
      </c>
      <c r="B68" s="17" t="n">
        <v>582096.4300000001</v>
      </c>
      <c r="C68" s="17" t="n">
        <v>5743.15</v>
      </c>
      <c r="D68" s="17" t="n">
        <v>0</v>
      </c>
      <c r="E68" s="17">
        <f>B68-C68-D68</f>
        <v/>
      </c>
      <c r="F68" s="16">
        <f>CHOOSE(WEEKDAY(A68,2),"Lunes","Martes","Miércoles","Jueves","Viernes","Sábado","Domingo")</f>
        <v/>
      </c>
      <c r="G68" s="23" t="n">
        <v>46171</v>
      </c>
      <c r="H68" s="16">
        <f>IF(G68&lt;=$B$7,"Cobrado","Retenido")</f>
        <v/>
      </c>
      <c r="I68" s="17">
        <f>IF(H68="Retenido",E68,0)</f>
        <v/>
      </c>
      <c r="J68" s="16" t="inlineStr">
        <is>
          <t>2026-W22</t>
        </is>
      </c>
    </row>
    <row r="69">
      <c r="A69" s="23" t="n">
        <v>46169</v>
      </c>
      <c r="B69" s="17" t="n">
        <v>590634.6800000001</v>
      </c>
      <c r="C69" s="17" t="n">
        <v>5959.22</v>
      </c>
      <c r="D69" s="17" t="n">
        <v>0</v>
      </c>
      <c r="E69" s="17">
        <f>B69-C69-D69</f>
        <v/>
      </c>
      <c r="F69" s="16">
        <f>CHOOSE(WEEKDAY(A69,2),"Lunes","Martes","Miércoles","Jueves","Viernes","Sábado","Domingo")</f>
        <v/>
      </c>
      <c r="G69" s="23" t="n">
        <v>46174</v>
      </c>
      <c r="H69" s="16">
        <f>IF(G69&lt;=$B$7,"Cobrado","Retenido")</f>
        <v/>
      </c>
      <c r="I69" s="17">
        <f>IF(H69="Retenido",E69,0)</f>
        <v/>
      </c>
      <c r="J69" s="16" t="inlineStr">
        <is>
          <t>2026-W22</t>
        </is>
      </c>
    </row>
    <row r="70">
      <c r="A70" s="23" t="n">
        <v>46170</v>
      </c>
      <c r="B70" s="17" t="n">
        <v>555593.33</v>
      </c>
      <c r="C70" s="17" t="n">
        <v>5750.66</v>
      </c>
      <c r="D70" s="17" t="n">
        <v>0</v>
      </c>
      <c r="E70" s="17">
        <f>B70-C70-D70</f>
        <v/>
      </c>
      <c r="F70" s="16">
        <f>CHOOSE(WEEKDAY(A70,2),"Lunes","Martes","Miércoles","Jueves","Viernes","Sábado","Domingo")</f>
        <v/>
      </c>
      <c r="G70" s="23" t="n">
        <v>46175</v>
      </c>
      <c r="H70" s="16">
        <f>IF(G70&lt;=$B$7,"Cobrado","Retenido")</f>
        <v/>
      </c>
      <c r="I70" s="17">
        <f>IF(H70="Retenido",E70,0)</f>
        <v/>
      </c>
      <c r="J70" s="16" t="inlineStr">
        <is>
          <t>2026-W22</t>
        </is>
      </c>
    </row>
    <row r="71">
      <c r="A71" s="23" t="n">
        <v>46171</v>
      </c>
      <c r="B71" s="17" t="n">
        <v>557581.6899999999</v>
      </c>
      <c r="C71" s="17" t="n">
        <v>5679.73</v>
      </c>
      <c r="D71" s="17" t="n">
        <v>0</v>
      </c>
      <c r="E71" s="17">
        <f>B71-C71-D71</f>
        <v/>
      </c>
      <c r="F71" s="16">
        <f>CHOOSE(WEEKDAY(A71,2),"Lunes","Martes","Miércoles","Jueves","Viernes","Sábado","Domingo")</f>
        <v/>
      </c>
      <c r="G71" s="23" t="n">
        <v>46176</v>
      </c>
      <c r="H71" s="16">
        <f>IF(G71&lt;=$B$7,"Cobrado","Retenido")</f>
        <v/>
      </c>
      <c r="I71" s="17">
        <f>IF(H71="Retenido",E71,0)</f>
        <v/>
      </c>
      <c r="J71" s="16" t="inlineStr">
        <is>
          <t>2026-W22</t>
        </is>
      </c>
    </row>
    <row r="72">
      <c r="A72" s="23" t="n">
        <v>46172</v>
      </c>
      <c r="B72" s="17" t="n">
        <v>481298.3</v>
      </c>
      <c r="C72" s="17" t="n">
        <v>4456.28</v>
      </c>
      <c r="D72" s="17" t="n">
        <v>0</v>
      </c>
      <c r="E72" s="17">
        <f>B72-C72-D72</f>
        <v/>
      </c>
      <c r="F72" s="16">
        <f>CHOOSE(WEEKDAY(A72,2),"Lunes","Martes","Miércoles","Jueves","Viernes","Sábado","Domingo")</f>
        <v/>
      </c>
      <c r="G72" s="23" t="n">
        <v>46176</v>
      </c>
      <c r="H72" s="16">
        <f>IF(G72&lt;=$B$7,"Cobrado","Retenido")</f>
        <v/>
      </c>
      <c r="I72" s="17">
        <f>IF(H72="Retenido",E72,0)</f>
        <v/>
      </c>
      <c r="J72" s="16" t="inlineStr">
        <is>
          <t>2026-W22</t>
        </is>
      </c>
    </row>
    <row r="73">
      <c r="A73" s="23" t="n">
        <v>46173</v>
      </c>
      <c r="B73" s="17" t="n">
        <v>652651.75</v>
      </c>
      <c r="C73" s="17" t="n">
        <v>5852.83</v>
      </c>
      <c r="D73" s="17" t="n">
        <v>0</v>
      </c>
      <c r="E73" s="17">
        <f>B73-C73-D73</f>
        <v/>
      </c>
      <c r="F73" s="16">
        <f>CHOOSE(WEEKDAY(A73,2),"Lunes","Martes","Miércoles","Jueves","Viernes","Sábado","Domingo")</f>
        <v/>
      </c>
      <c r="G73" s="23" t="n">
        <v>46176</v>
      </c>
      <c r="H73" s="16">
        <f>IF(G73&lt;=$B$7,"Cobrado","Retenido")</f>
        <v/>
      </c>
      <c r="I73" s="17">
        <f>IF(H73="Retenido",E73,0)</f>
        <v/>
      </c>
      <c r="J73" s="16" t="inlineStr">
        <is>
          <t>2026-W22</t>
        </is>
      </c>
    </row>
    <row r="74">
      <c r="A74" s="23" t="n">
        <v>46174</v>
      </c>
      <c r="B74" s="17" t="n">
        <v>666746.92</v>
      </c>
      <c r="C74" s="17" t="n">
        <v>7042.03</v>
      </c>
      <c r="D74" s="17" t="n">
        <v>0</v>
      </c>
      <c r="E74" s="17">
        <f>B74-C74-D74</f>
        <v/>
      </c>
      <c r="F74" s="16">
        <f>CHOOSE(WEEKDAY(A74,2),"Lunes","Martes","Miércoles","Jueves","Viernes","Sábado","Domingo")</f>
        <v/>
      </c>
      <c r="G74" s="23" t="n">
        <v>46177</v>
      </c>
      <c r="H74" s="16">
        <f>IF(G74&lt;=$B$7,"Cobrado","Retenido")</f>
        <v/>
      </c>
      <c r="I74" s="17">
        <f>IF(H74="Retenido",E74,0)</f>
        <v/>
      </c>
      <c r="J74" s="16" t="inlineStr">
        <is>
          <t>2026-W23</t>
        </is>
      </c>
    </row>
    <row r="75">
      <c r="A75" s="23" t="n">
        <v>46175</v>
      </c>
      <c r="B75" s="17" t="n">
        <v>683054.24</v>
      </c>
      <c r="C75" s="17" t="n">
        <v>7173.22</v>
      </c>
      <c r="D75" s="17" t="n">
        <v>0</v>
      </c>
      <c r="E75" s="17">
        <f>B75-C75-D75</f>
        <v/>
      </c>
      <c r="F75" s="16">
        <f>CHOOSE(WEEKDAY(A75,2),"Lunes","Martes","Miércoles","Jueves","Viernes","Sábado","Domingo")</f>
        <v/>
      </c>
      <c r="G75" s="23" t="n">
        <v>46178</v>
      </c>
      <c r="H75" s="16">
        <f>IF(G75&lt;=$B$7,"Cobrado","Retenido")</f>
        <v/>
      </c>
      <c r="I75" s="17">
        <f>IF(H75="Retenido",E75,0)</f>
        <v/>
      </c>
      <c r="J75" s="16" t="inlineStr">
        <is>
          <t>2026-W23</t>
        </is>
      </c>
    </row>
    <row r="76">
      <c r="A76" s="23" t="n">
        <v>46176</v>
      </c>
      <c r="B76" s="17" t="n">
        <v>658519.6899999999</v>
      </c>
      <c r="C76" s="17" t="n">
        <v>6828.28</v>
      </c>
      <c r="D76" s="17" t="n">
        <v>0</v>
      </c>
      <c r="E76" s="17">
        <f>B76-C76-D76</f>
        <v/>
      </c>
      <c r="F76" s="16">
        <f>CHOOSE(WEEKDAY(A76,2),"Lunes","Martes","Miércoles","Jueves","Viernes","Sábado","Domingo")</f>
        <v/>
      </c>
      <c r="G76" s="23" t="n">
        <v>46181</v>
      </c>
      <c r="H76" s="16">
        <f>IF(G76&lt;=$B$7,"Cobrado","Retenido")</f>
        <v/>
      </c>
      <c r="I76" s="17">
        <f>IF(H76="Retenido",E76,0)</f>
        <v/>
      </c>
      <c r="J76" s="16" t="inlineStr">
        <is>
          <t>2026-W23</t>
        </is>
      </c>
    </row>
    <row r="77">
      <c r="A77" s="23" t="n">
        <v>46177</v>
      </c>
      <c r="B77" s="17" t="n">
        <v>631135.95</v>
      </c>
      <c r="C77" s="17" t="n">
        <v>6834.65</v>
      </c>
      <c r="D77" s="17" t="n">
        <v>0</v>
      </c>
      <c r="E77" s="17">
        <f>B77-C77-D77</f>
        <v/>
      </c>
      <c r="F77" s="16">
        <f>CHOOSE(WEEKDAY(A77,2),"Lunes","Martes","Miércoles","Jueves","Viernes","Sábado","Domingo")</f>
        <v/>
      </c>
      <c r="G77" s="23" t="n">
        <v>46182</v>
      </c>
      <c r="H77" s="16">
        <f>IF(G77&lt;=$B$7,"Cobrado","Retenido")</f>
        <v/>
      </c>
      <c r="I77" s="17">
        <f>IF(H77="Retenido",E77,0)</f>
        <v/>
      </c>
      <c r="J77" s="16" t="inlineStr">
        <is>
          <t>2026-W23</t>
        </is>
      </c>
    </row>
    <row r="78">
      <c r="A78" s="23" t="n">
        <v>46178</v>
      </c>
      <c r="B78" s="17" t="n">
        <v>525829.5699999999</v>
      </c>
      <c r="C78" s="17" t="n">
        <v>5458.67</v>
      </c>
      <c r="D78" s="17" t="n">
        <v>0</v>
      </c>
      <c r="E78" s="17">
        <f>B78-C78-D78</f>
        <v/>
      </c>
      <c r="F78" s="16">
        <f>CHOOSE(WEEKDAY(A78,2),"Lunes","Martes","Miércoles","Jueves","Viernes","Sábado","Domingo")</f>
        <v/>
      </c>
      <c r="G78" s="23" t="n">
        <v>46183</v>
      </c>
      <c r="H78" s="16">
        <f>IF(G78&lt;=$B$7,"Cobrado","Retenido")</f>
        <v/>
      </c>
      <c r="I78" s="17">
        <f>IF(H78="Retenido",E78,0)</f>
        <v/>
      </c>
      <c r="J78" s="16" t="inlineStr">
        <is>
          <t>2026-W23</t>
        </is>
      </c>
    </row>
    <row r="79">
      <c r="A79" s="23" t="n">
        <v>46179</v>
      </c>
      <c r="B79" s="17" t="n">
        <v>502638.33</v>
      </c>
      <c r="C79" s="17" t="n">
        <v>4875.75</v>
      </c>
      <c r="D79" s="17" t="n">
        <v>0</v>
      </c>
      <c r="E79" s="17">
        <f>B79-C79-D79</f>
        <v/>
      </c>
      <c r="F79" s="16">
        <f>CHOOSE(WEEKDAY(A79,2),"Lunes","Martes","Miércoles","Jueves","Viernes","Sábado","Domingo")</f>
        <v/>
      </c>
      <c r="G79" s="23" t="n">
        <v>46183</v>
      </c>
      <c r="H79" s="16">
        <f>IF(G79&lt;=$B$7,"Cobrado","Retenido")</f>
        <v/>
      </c>
      <c r="I79" s="17">
        <f>IF(H79="Retenido",E79,0)</f>
        <v/>
      </c>
      <c r="J79" s="16" t="inlineStr">
        <is>
          <t>2026-W23</t>
        </is>
      </c>
    </row>
    <row r="80">
      <c r="A80" s="23" t="n">
        <v>46180</v>
      </c>
      <c r="B80" s="17" t="n">
        <v>606274.3</v>
      </c>
      <c r="C80" s="17" t="n">
        <v>5841.35</v>
      </c>
      <c r="D80" s="17" t="n">
        <v>0</v>
      </c>
      <c r="E80" s="17">
        <f>B80-C80-D80</f>
        <v/>
      </c>
      <c r="F80" s="16">
        <f>CHOOSE(WEEKDAY(A80,2),"Lunes","Martes","Miércoles","Jueves","Viernes","Sábado","Domingo")</f>
        <v/>
      </c>
      <c r="G80" s="23" t="n">
        <v>46183</v>
      </c>
      <c r="H80" s="16">
        <f>IF(G80&lt;=$B$7,"Cobrado","Retenido")</f>
        <v/>
      </c>
      <c r="I80" s="17">
        <f>IF(H80="Retenido",E80,0)</f>
        <v/>
      </c>
      <c r="J80" s="16" t="inlineStr">
        <is>
          <t>2026-W23</t>
        </is>
      </c>
    </row>
    <row r="81">
      <c r="A81" s="23" t="n">
        <v>46181</v>
      </c>
      <c r="B81" s="17" t="n">
        <v>682896.83</v>
      </c>
      <c r="C81" s="17" t="n">
        <v>7194.98</v>
      </c>
      <c r="D81" s="17" t="n">
        <v>0</v>
      </c>
      <c r="E81" s="17">
        <f>B81-C81-D81</f>
        <v/>
      </c>
      <c r="F81" s="16">
        <f>CHOOSE(WEEKDAY(A81,2),"Lunes","Martes","Miércoles","Jueves","Viernes","Sábado","Domingo")</f>
        <v/>
      </c>
      <c r="G81" s="23" t="n">
        <v>46184</v>
      </c>
      <c r="H81" s="16">
        <f>IF(G81&lt;=$B$7,"Cobrado","Retenido")</f>
        <v/>
      </c>
      <c r="I81" s="17">
        <f>IF(H81="Retenido",E81,0)</f>
        <v/>
      </c>
      <c r="J81" s="16" t="inlineStr">
        <is>
          <t>2026-W24</t>
        </is>
      </c>
    </row>
    <row r="82">
      <c r="A82" s="23" t="n">
        <v>46182</v>
      </c>
      <c r="B82" s="17" t="n">
        <v>682589.15</v>
      </c>
      <c r="C82" s="17" t="n">
        <v>7268.57</v>
      </c>
      <c r="D82" s="17" t="n">
        <v>0</v>
      </c>
      <c r="E82" s="17">
        <f>B82-C82-D82</f>
        <v/>
      </c>
      <c r="F82" s="16">
        <f>CHOOSE(WEEKDAY(A82,2),"Lunes","Martes","Miércoles","Jueves","Viernes","Sábado","Domingo")</f>
        <v/>
      </c>
      <c r="G82" s="23" t="n">
        <v>46185</v>
      </c>
      <c r="H82" s="16">
        <f>IF(G82&lt;=$B$7,"Cobrado","Retenido")</f>
        <v/>
      </c>
      <c r="I82" s="17">
        <f>IF(H82="Retenido",E82,0)</f>
        <v/>
      </c>
      <c r="J82" s="16" t="inlineStr">
        <is>
          <t>2026-W24</t>
        </is>
      </c>
    </row>
    <row r="83">
      <c r="A83" s="23" t="n">
        <v>46183</v>
      </c>
      <c r="B83" s="17" t="n">
        <v>664999.87</v>
      </c>
      <c r="C83" s="17" t="n">
        <v>7531.23</v>
      </c>
      <c r="D83" s="17" t="n">
        <v>0</v>
      </c>
      <c r="E83" s="17">
        <f>B83-C83-D83</f>
        <v/>
      </c>
      <c r="F83" s="16">
        <f>CHOOSE(WEEKDAY(A83,2),"Lunes","Martes","Miércoles","Jueves","Viernes","Sábado","Domingo")</f>
        <v/>
      </c>
      <c r="G83" s="23" t="n">
        <v>46188</v>
      </c>
      <c r="H83" s="16">
        <f>IF(G83&lt;=$B$7,"Cobrado","Retenido")</f>
        <v/>
      </c>
      <c r="I83" s="17">
        <f>IF(H83="Retenido",E83,0)</f>
        <v/>
      </c>
      <c r="J83" s="16" t="inlineStr">
        <is>
          <t>2026-W24</t>
        </is>
      </c>
    </row>
    <row r="84">
      <c r="A84" s="23" t="n">
        <v>46184</v>
      </c>
      <c r="B84" s="17" t="n">
        <v>556405.88</v>
      </c>
      <c r="C84" s="17" t="n">
        <v>5752.93</v>
      </c>
      <c r="D84" s="17" t="n">
        <v>0</v>
      </c>
      <c r="E84" s="17">
        <f>B84-C84-D84</f>
        <v/>
      </c>
      <c r="F84" s="16">
        <f>CHOOSE(WEEKDAY(A84,2),"Lunes","Martes","Miércoles","Jueves","Viernes","Sábado","Domingo")</f>
        <v/>
      </c>
      <c r="G84" s="23" t="n">
        <v>46189</v>
      </c>
      <c r="H84" s="16">
        <f>IF(G84&lt;=$B$7,"Cobrado","Retenido")</f>
        <v/>
      </c>
      <c r="I84" s="17">
        <f>IF(H84="Retenido",E84,0)</f>
        <v/>
      </c>
      <c r="J84" s="16" t="inlineStr">
        <is>
          <t>2026-W24</t>
        </is>
      </c>
    </row>
    <row r="85">
      <c r="A85" s="23" t="n">
        <v>46185</v>
      </c>
      <c r="B85" s="17" t="n">
        <v>516544.17</v>
      </c>
      <c r="C85" s="17" t="n">
        <v>5436.48</v>
      </c>
      <c r="D85" s="17" t="n">
        <v>0</v>
      </c>
      <c r="E85" s="17">
        <f>B85-C85-D85</f>
        <v/>
      </c>
      <c r="F85" s="16">
        <f>CHOOSE(WEEKDAY(A85,2),"Lunes","Martes","Miércoles","Jueves","Viernes","Sábado","Domingo")</f>
        <v/>
      </c>
      <c r="G85" s="23" t="n">
        <v>46190</v>
      </c>
      <c r="H85" s="16">
        <f>IF(G85&lt;=$B$7,"Cobrado","Retenido")</f>
        <v/>
      </c>
      <c r="I85" s="17">
        <f>IF(H85="Retenido",E85,0)</f>
        <v/>
      </c>
      <c r="J85" s="16" t="inlineStr">
        <is>
          <t>2026-W24</t>
        </is>
      </c>
    </row>
    <row r="86">
      <c r="A86" s="23" t="n">
        <v>46186</v>
      </c>
      <c r="B86" s="17" t="n">
        <v>359553.35</v>
      </c>
      <c r="C86" s="17" t="n">
        <v>2679.46</v>
      </c>
      <c r="D86" s="17" t="n">
        <v>0</v>
      </c>
      <c r="E86" s="17">
        <f>B86-C86-D86</f>
        <v/>
      </c>
      <c r="F86" s="16">
        <f>CHOOSE(WEEKDAY(A86,2),"Lunes","Martes","Miércoles","Jueves","Viernes","Sábado","Domingo")</f>
        <v/>
      </c>
      <c r="G86" s="23" t="n">
        <v>46190</v>
      </c>
      <c r="H86" s="16">
        <f>IF(G86&lt;=$B$7,"Cobrado","Retenido")</f>
        <v/>
      </c>
      <c r="I86" s="17">
        <f>IF(H86="Retenido",E86,0)</f>
        <v/>
      </c>
      <c r="J86" s="16" t="inlineStr">
        <is>
          <t>2026-W24</t>
        </is>
      </c>
    </row>
    <row r="87">
      <c r="A87" s="23" t="n">
        <v>46187</v>
      </c>
      <c r="B87" s="17" t="n">
        <v>550647.23</v>
      </c>
      <c r="C87" s="17" t="n">
        <v>3515.22</v>
      </c>
      <c r="D87" s="17" t="n">
        <v>0</v>
      </c>
      <c r="E87" s="17">
        <f>B87-C87-D87</f>
        <v/>
      </c>
      <c r="F87" s="16">
        <f>CHOOSE(WEEKDAY(A87,2),"Lunes","Martes","Miércoles","Jueves","Viernes","Sábado","Domingo")</f>
        <v/>
      </c>
      <c r="G87" s="23" t="n">
        <v>46190</v>
      </c>
      <c r="H87" s="16">
        <f>IF(G87&lt;=$B$7,"Cobrado","Retenido")</f>
        <v/>
      </c>
      <c r="I87" s="17">
        <f>IF(H87="Retenido",E87,0)</f>
        <v/>
      </c>
      <c r="J87" s="16" t="inlineStr">
        <is>
          <t>2026-W24</t>
        </is>
      </c>
    </row>
    <row r="88">
      <c r="A88" s="23" t="n">
        <v>46188</v>
      </c>
      <c r="B88" s="17" t="n">
        <v>585317.42</v>
      </c>
      <c r="C88" s="17" t="n">
        <v>4576.3</v>
      </c>
      <c r="D88" s="17" t="n">
        <v>114.01</v>
      </c>
      <c r="E88" s="17">
        <f>B88-C88-D88</f>
        <v/>
      </c>
      <c r="F88" s="16">
        <f>CHOOSE(WEEKDAY(A88,2),"Lunes","Martes","Miércoles","Jueves","Viernes","Sábado","Domingo")</f>
        <v/>
      </c>
      <c r="G88" s="23" t="n">
        <v>46191</v>
      </c>
      <c r="H88" s="16">
        <f>IF(G88&lt;=$B$7,"Cobrado","Retenido")</f>
        <v/>
      </c>
      <c r="I88" s="17">
        <f>IF(H88="Retenido",E88,0)</f>
        <v/>
      </c>
      <c r="J88" s="16" t="inlineStr">
        <is>
          <t>2026-W25</t>
        </is>
      </c>
    </row>
    <row r="89">
      <c r="A89" s="23" t="n">
        <v>46189</v>
      </c>
      <c r="B89" s="17" t="n">
        <v>581378.46</v>
      </c>
      <c r="C89" s="17" t="n">
        <v>6245.15</v>
      </c>
      <c r="D89" s="17" t="n">
        <v>0</v>
      </c>
      <c r="E89" s="17">
        <f>B89-C89-D89</f>
        <v/>
      </c>
      <c r="F89" s="16">
        <f>CHOOSE(WEEKDAY(A89,2),"Lunes","Martes","Miércoles","Jueves","Viernes","Sábado","Domingo")</f>
        <v/>
      </c>
      <c r="G89" s="23" t="n">
        <v>46192</v>
      </c>
      <c r="H89" s="16">
        <f>IF(G89&lt;=$B$7,"Cobrado","Retenido")</f>
        <v/>
      </c>
      <c r="I89" s="17">
        <f>IF(H89="Retenido",E89,0)</f>
        <v/>
      </c>
      <c r="J89" s="16" t="inlineStr">
        <is>
          <t>2026-W25</t>
        </is>
      </c>
    </row>
    <row r="90">
      <c r="A90" s="23" t="n">
        <v>46190</v>
      </c>
      <c r="B90" s="17" t="n">
        <v>559251.89</v>
      </c>
      <c r="C90" s="17" t="n">
        <v>5884.36</v>
      </c>
      <c r="D90" s="17" t="n">
        <v>0</v>
      </c>
      <c r="E90" s="17">
        <f>B90-C90-D90</f>
        <v/>
      </c>
      <c r="F90" s="16">
        <f>CHOOSE(WEEKDAY(A90,2),"Lunes","Martes","Miércoles","Jueves","Viernes","Sábado","Domingo")</f>
        <v/>
      </c>
      <c r="G90" s="23" t="n">
        <v>46195</v>
      </c>
      <c r="H90" s="16">
        <f>IF(G90&lt;=$B$7,"Cobrado","Retenido")</f>
        <v/>
      </c>
      <c r="I90" s="17">
        <f>IF(H90="Retenido",E90,0)</f>
        <v/>
      </c>
      <c r="J90" s="16" t="inlineStr">
        <is>
          <t>2026-W25</t>
        </is>
      </c>
    </row>
    <row r="91">
      <c r="A91" s="23" t="n">
        <v>46191</v>
      </c>
      <c r="B91" s="17" t="n">
        <v>543814.9300000001</v>
      </c>
      <c r="C91" s="17" t="n">
        <v>5810.17</v>
      </c>
      <c r="D91" s="17" t="n">
        <v>0</v>
      </c>
      <c r="E91" s="17">
        <f>B91-C91-D91</f>
        <v/>
      </c>
      <c r="F91" s="16">
        <f>CHOOSE(WEEKDAY(A91,2),"Lunes","Martes","Miércoles","Jueves","Viernes","Sábado","Domingo")</f>
        <v/>
      </c>
      <c r="G91" s="23" t="n">
        <v>46196</v>
      </c>
      <c r="H91" s="16">
        <f>IF(G91&lt;=$B$7,"Cobrado","Retenido")</f>
        <v/>
      </c>
      <c r="I91" s="17">
        <f>IF(H91="Retenido",E91,0)</f>
        <v/>
      </c>
      <c r="J91" s="16" t="inlineStr">
        <is>
          <t>2026-W25</t>
        </is>
      </c>
    </row>
    <row r="92">
      <c r="A92" s="23" t="n">
        <v>46192</v>
      </c>
      <c r="B92" s="17" t="n">
        <v>444761.8</v>
      </c>
      <c r="C92" s="17" t="n">
        <v>5121.17</v>
      </c>
      <c r="D92" s="17" t="n">
        <v>0</v>
      </c>
      <c r="E92" s="17">
        <f>B92-C92-D92</f>
        <v/>
      </c>
      <c r="F92" s="16">
        <f>CHOOSE(WEEKDAY(A92,2),"Lunes","Martes","Miércoles","Jueves","Viernes","Sábado","Domingo")</f>
        <v/>
      </c>
      <c r="G92" s="23" t="n">
        <v>46197</v>
      </c>
      <c r="H92" s="16">
        <f>IF(G92&lt;=$B$7,"Cobrado","Retenido")</f>
        <v/>
      </c>
      <c r="I92" s="17">
        <f>IF(H92="Retenido",E92,0)</f>
        <v/>
      </c>
      <c r="J92" s="16" t="inlineStr">
        <is>
          <t>2026-W25</t>
        </is>
      </c>
    </row>
    <row r="93">
      <c r="A93" s="23" t="n">
        <v>46193</v>
      </c>
      <c r="B93" s="17" t="n">
        <v>359557.71</v>
      </c>
      <c r="C93" s="17" t="n">
        <v>3512.78</v>
      </c>
      <c r="D93" s="17" t="n">
        <v>0</v>
      </c>
      <c r="E93" s="17">
        <f>B93-C93-D93</f>
        <v/>
      </c>
      <c r="F93" s="16">
        <f>CHOOSE(WEEKDAY(A93,2),"Lunes","Martes","Miércoles","Jueves","Viernes","Sábado","Domingo")</f>
        <v/>
      </c>
      <c r="G93" s="23" t="n">
        <v>46197</v>
      </c>
      <c r="H93" s="16">
        <f>IF(G93&lt;=$B$7,"Cobrado","Retenido")</f>
        <v/>
      </c>
      <c r="I93" s="17">
        <f>IF(H93="Retenido",E93,0)</f>
        <v/>
      </c>
      <c r="J93" s="16" t="inlineStr">
        <is>
          <t>2026-W25</t>
        </is>
      </c>
    </row>
    <row r="94">
      <c r="A94" s="23" t="n">
        <v>46194</v>
      </c>
      <c r="B94" s="17" t="n">
        <v>441783.72</v>
      </c>
      <c r="C94" s="17" t="n">
        <v>3978.14</v>
      </c>
      <c r="D94" s="17" t="n">
        <v>0</v>
      </c>
      <c r="E94" s="17">
        <f>B94-C94-D94</f>
        <v/>
      </c>
      <c r="F94" s="16">
        <f>CHOOSE(WEEKDAY(A94,2),"Lunes","Martes","Miércoles","Jueves","Viernes","Sábado","Domingo")</f>
        <v/>
      </c>
      <c r="G94" s="23" t="n">
        <v>46197</v>
      </c>
      <c r="H94" s="16">
        <f>IF(G94&lt;=$B$7,"Cobrado","Retenido")</f>
        <v/>
      </c>
      <c r="I94" s="17">
        <f>IF(H94="Retenido",E94,0)</f>
        <v/>
      </c>
      <c r="J94" s="16" t="inlineStr">
        <is>
          <t>2026-W25</t>
        </is>
      </c>
    </row>
    <row r="95">
      <c r="A95" s="23" t="n">
        <v>46195</v>
      </c>
      <c r="B95" s="17" t="n">
        <v>475270.19</v>
      </c>
      <c r="C95" s="17" t="n">
        <v>5061.34</v>
      </c>
      <c r="D95" s="17" t="n">
        <v>0</v>
      </c>
      <c r="E95" s="17">
        <f>B95-C95-D95</f>
        <v/>
      </c>
      <c r="F95" s="16">
        <f>CHOOSE(WEEKDAY(A95,2),"Lunes","Martes","Miércoles","Jueves","Viernes","Sábado","Domingo")</f>
        <v/>
      </c>
      <c r="G95" s="23" t="n">
        <v>46198</v>
      </c>
      <c r="H95" s="16">
        <f>IF(G95&lt;=$B$7,"Cobrado","Retenido")</f>
        <v/>
      </c>
      <c r="I95" s="17">
        <f>IF(H95="Retenido",E95,0)</f>
        <v/>
      </c>
      <c r="J95" s="16" t="inlineStr">
        <is>
          <t>2026-W26</t>
        </is>
      </c>
    </row>
    <row r="96">
      <c r="A96" s="23" t="n">
        <v>46196</v>
      </c>
      <c r="B96" s="17" t="n">
        <v>483495.75</v>
      </c>
      <c r="C96" s="17" t="n">
        <v>5357.67</v>
      </c>
      <c r="D96" s="17" t="n">
        <v>0</v>
      </c>
      <c r="E96" s="17">
        <f>B96-C96-D96</f>
        <v/>
      </c>
      <c r="F96" s="16">
        <f>CHOOSE(WEEKDAY(A96,2),"Lunes","Martes","Miércoles","Jueves","Viernes","Sábado","Domingo")</f>
        <v/>
      </c>
      <c r="G96" s="23" t="n">
        <v>46199</v>
      </c>
      <c r="H96" s="16">
        <f>IF(G96&lt;=$B$7,"Cobrado","Retenido")</f>
        <v/>
      </c>
      <c r="I96" s="17">
        <f>IF(H96="Retenido",E96,0)</f>
        <v/>
      </c>
      <c r="J96" s="16" t="inlineStr">
        <is>
          <t>2026-W26</t>
        </is>
      </c>
    </row>
    <row r="97">
      <c r="A97" s="23" t="n">
        <v>46197</v>
      </c>
      <c r="B97" s="17" t="n">
        <v>452546.5</v>
      </c>
      <c r="C97" s="17" t="n">
        <v>5250.25</v>
      </c>
      <c r="D97" s="17" t="n">
        <v>0</v>
      </c>
      <c r="E97" s="17">
        <f>B97-C97-D97</f>
        <v/>
      </c>
      <c r="F97" s="16">
        <f>CHOOSE(WEEKDAY(A97,2),"Lunes","Martes","Miércoles","Jueves","Viernes","Sábado","Domingo")</f>
        <v/>
      </c>
      <c r="G97" s="23" t="n">
        <v>46202</v>
      </c>
      <c r="H97" s="16">
        <f>IF(G97&lt;=$B$7,"Cobrado","Retenido")</f>
        <v/>
      </c>
      <c r="I97" s="17">
        <f>IF(H97="Retenido",E97,0)</f>
        <v/>
      </c>
      <c r="J97" s="16" t="inlineStr">
        <is>
          <t>2026-W26</t>
        </is>
      </c>
    </row>
    <row r="98">
      <c r="A98" s="23" t="n">
        <v>46198</v>
      </c>
      <c r="B98" s="17" t="n">
        <v>482335.67</v>
      </c>
      <c r="C98" s="17" t="n">
        <v>5810.7</v>
      </c>
      <c r="D98" s="17" t="n">
        <v>0</v>
      </c>
      <c r="E98" s="17">
        <f>B98-C98-D98</f>
        <v/>
      </c>
      <c r="F98" s="16">
        <f>CHOOSE(WEEKDAY(A98,2),"Lunes","Martes","Miércoles","Jueves","Viernes","Sábado","Domingo")</f>
        <v/>
      </c>
      <c r="G98" s="23" t="n">
        <v>46203</v>
      </c>
      <c r="H98" s="16">
        <f>IF(G98&lt;=$B$7,"Cobrado","Retenido")</f>
        <v/>
      </c>
      <c r="I98" s="17">
        <f>IF(H98="Retenido",E98,0)</f>
        <v/>
      </c>
      <c r="J98" s="16" t="inlineStr">
        <is>
          <t>2026-W26</t>
        </is>
      </c>
    </row>
    <row r="99">
      <c r="A99" s="23" t="n">
        <v>46199</v>
      </c>
      <c r="B99" s="17" t="n">
        <v>410346.96</v>
      </c>
      <c r="C99" s="17" t="n">
        <v>5260.97</v>
      </c>
      <c r="D99" s="17" t="n">
        <v>0</v>
      </c>
      <c r="E99" s="17">
        <f>B99-C99-D99</f>
        <v/>
      </c>
      <c r="F99" s="16">
        <f>CHOOSE(WEEKDAY(A99,2),"Lunes","Martes","Miércoles","Jueves","Viernes","Sábado","Domingo")</f>
        <v/>
      </c>
      <c r="G99" s="23" t="n">
        <v>46204</v>
      </c>
      <c r="H99" s="16">
        <f>IF(G99&lt;=$B$7,"Cobrado","Retenido")</f>
        <v/>
      </c>
      <c r="I99" s="17">
        <f>IF(H99="Retenido",E99,0)</f>
        <v/>
      </c>
      <c r="J99" s="16" t="inlineStr">
        <is>
          <t>2026-W26</t>
        </is>
      </c>
    </row>
    <row r="100">
      <c r="A100" s="23" t="n">
        <v>46200</v>
      </c>
      <c r="B100" s="17" t="n">
        <v>339381.22</v>
      </c>
      <c r="C100" s="17" t="n">
        <v>3959.24</v>
      </c>
      <c r="D100" s="17" t="n">
        <v>0</v>
      </c>
      <c r="E100" s="17">
        <f>B100-C100-D100</f>
        <v/>
      </c>
      <c r="F100" s="16">
        <f>CHOOSE(WEEKDAY(A100,2),"Lunes","Martes","Miércoles","Jueves","Viernes","Sábado","Domingo")</f>
        <v/>
      </c>
      <c r="G100" s="23" t="n">
        <v>46204</v>
      </c>
      <c r="H100" s="16">
        <f>IF(G100&lt;=$B$7,"Cobrado","Retenido")</f>
        <v/>
      </c>
      <c r="I100" s="17">
        <f>IF(H100="Retenido",E100,0)</f>
        <v/>
      </c>
      <c r="J100" s="16" t="inlineStr">
        <is>
          <t>2026-W26</t>
        </is>
      </c>
    </row>
    <row r="101">
      <c r="A101" s="23" t="n">
        <v>46201</v>
      </c>
      <c r="B101" s="17" t="n">
        <v>427058.91</v>
      </c>
      <c r="C101" s="17" t="n">
        <v>4331.86</v>
      </c>
      <c r="D101" s="17" t="n">
        <v>0</v>
      </c>
      <c r="E101" s="17">
        <f>B101-C101-D101</f>
        <v/>
      </c>
      <c r="F101" s="16">
        <f>CHOOSE(WEEKDAY(A101,2),"Lunes","Martes","Miércoles","Jueves","Viernes","Sábado","Domingo")</f>
        <v/>
      </c>
      <c r="G101" s="23" t="n">
        <v>46204</v>
      </c>
      <c r="H101" s="16">
        <f>IF(G101&lt;=$B$7,"Cobrado","Retenido")</f>
        <v/>
      </c>
      <c r="I101" s="17">
        <f>IF(H101="Retenido",E101,0)</f>
        <v/>
      </c>
      <c r="J101" s="16" t="inlineStr">
        <is>
          <t>2026-W26</t>
        </is>
      </c>
    </row>
    <row r="102">
      <c r="A102" s="23" t="n">
        <v>46202</v>
      </c>
      <c r="B102" s="17" t="n">
        <v>445487.2</v>
      </c>
      <c r="C102" s="17" t="n">
        <v>5458.81</v>
      </c>
      <c r="D102" s="17" t="n">
        <v>0</v>
      </c>
      <c r="E102" s="17">
        <f>B102-C102-D102</f>
        <v/>
      </c>
      <c r="F102" s="16">
        <f>CHOOSE(WEEKDAY(A102,2),"Lunes","Martes","Miércoles","Jueves","Viernes","Sábado","Domingo")</f>
        <v/>
      </c>
      <c r="G102" s="23" t="n">
        <v>46205</v>
      </c>
      <c r="H102" s="16">
        <f>IF(G102&lt;=$B$7,"Cobrado","Retenido")</f>
        <v/>
      </c>
      <c r="I102" s="17">
        <f>IF(H102="Retenido",E102,0)</f>
        <v/>
      </c>
      <c r="J102" s="16" t="inlineStr">
        <is>
          <t>2026-W27</t>
        </is>
      </c>
    </row>
    <row r="103">
      <c r="A103" s="23" t="n">
        <v>46203</v>
      </c>
      <c r="B103" s="17" t="n">
        <v>483762.14</v>
      </c>
      <c r="C103" s="17" t="n">
        <v>5653.29</v>
      </c>
      <c r="D103" s="17" t="n">
        <v>0</v>
      </c>
      <c r="E103" s="17">
        <f>B103-C103-D103</f>
        <v/>
      </c>
      <c r="F103" s="16">
        <f>CHOOSE(WEEKDAY(A103,2),"Lunes","Martes","Miércoles","Jueves","Viernes","Sábado","Domingo")</f>
        <v/>
      </c>
      <c r="G103" s="23" t="n">
        <v>46206</v>
      </c>
      <c r="H103" s="16">
        <f>IF(G103&lt;=$B$7,"Cobrado","Retenido")</f>
        <v/>
      </c>
      <c r="I103" s="17">
        <f>IF(H103="Retenido",E103,0)</f>
        <v/>
      </c>
      <c r="J103" s="16" t="inlineStr">
        <is>
          <t>2026-W27</t>
        </is>
      </c>
    </row>
    <row r="104">
      <c r="A104" s="23" t="n">
        <v>46204</v>
      </c>
      <c r="B104" s="17" t="n">
        <v>505055.42</v>
      </c>
      <c r="C104" s="17" t="n">
        <v>6353.27</v>
      </c>
      <c r="D104" s="17" t="n">
        <v>0</v>
      </c>
      <c r="E104" s="17">
        <f>B104-C104-D104</f>
        <v/>
      </c>
      <c r="F104" s="16">
        <f>CHOOSE(WEEKDAY(A104,2),"Lunes","Martes","Miércoles","Jueves","Viernes","Sábado","Domingo")</f>
        <v/>
      </c>
      <c r="G104" s="23" t="n">
        <v>46209</v>
      </c>
      <c r="H104" s="16">
        <f>IF(G104&lt;=$B$7,"Cobrado","Retenido")</f>
        <v/>
      </c>
      <c r="I104" s="17">
        <f>IF(H104="Retenido",E104,0)</f>
        <v/>
      </c>
      <c r="J104" s="16" t="inlineStr">
        <is>
          <t>2026-W27</t>
        </is>
      </c>
    </row>
    <row r="105">
      <c r="A105" s="23" t="n">
        <v>46205</v>
      </c>
      <c r="B105" s="17" t="n">
        <v>373754.47</v>
      </c>
      <c r="C105" s="17" t="n">
        <v>4167.48</v>
      </c>
      <c r="D105" s="17" t="n">
        <v>0</v>
      </c>
      <c r="E105" s="17">
        <f>B105-C105-D105</f>
        <v/>
      </c>
      <c r="F105" s="16">
        <f>CHOOSE(WEEKDAY(A105,2),"Lunes","Martes","Miércoles","Jueves","Viernes","Sábado","Domingo")</f>
        <v/>
      </c>
      <c r="G105" s="23" t="n">
        <v>46210</v>
      </c>
      <c r="H105" s="16">
        <f>IF(G105&lt;=$B$7,"Cobrado","Retenido")</f>
        <v/>
      </c>
      <c r="I105" s="17">
        <f>IF(H105="Retenido",E105,0)</f>
        <v/>
      </c>
      <c r="J105" s="16" t="inlineStr">
        <is>
          <t>2026-W27</t>
        </is>
      </c>
    </row>
    <row r="106">
      <c r="A106" s="23" t="n">
        <v>46206</v>
      </c>
      <c r="B106" s="17" t="n">
        <v>333158.9</v>
      </c>
      <c r="C106" s="17" t="n">
        <v>4071.01</v>
      </c>
      <c r="D106" s="17" t="n">
        <v>0</v>
      </c>
      <c r="E106" s="17">
        <f>B106-C106-D106</f>
        <v/>
      </c>
      <c r="F106" s="16">
        <f>CHOOSE(WEEKDAY(A106,2),"Lunes","Martes","Miércoles","Jueves","Viernes","Sábado","Domingo")</f>
        <v/>
      </c>
      <c r="G106" s="23" t="n">
        <v>46211</v>
      </c>
      <c r="H106" s="16">
        <f>IF(G106&lt;=$B$7,"Cobrado","Retenido")</f>
        <v/>
      </c>
      <c r="I106" s="17">
        <f>IF(H106="Retenido",E106,0)</f>
        <v/>
      </c>
      <c r="J106" s="16" t="inlineStr">
        <is>
          <t>2026-W27</t>
        </is>
      </c>
    </row>
    <row r="107">
      <c r="A107" s="23" t="n">
        <v>46207</v>
      </c>
      <c r="B107" s="17" t="n">
        <v>270696.79</v>
      </c>
      <c r="C107" s="17" t="n">
        <v>2926.14</v>
      </c>
      <c r="D107" s="17" t="n">
        <v>0</v>
      </c>
      <c r="E107" s="17">
        <f>B107-C107-D107</f>
        <v/>
      </c>
      <c r="F107" s="16">
        <f>CHOOSE(WEEKDAY(A107,2),"Lunes","Martes","Miércoles","Jueves","Viernes","Sábado","Domingo")</f>
        <v/>
      </c>
      <c r="G107" s="23" t="n">
        <v>46211</v>
      </c>
      <c r="H107" s="16">
        <f>IF(G107&lt;=$B$7,"Cobrado","Retenido")</f>
        <v/>
      </c>
      <c r="I107" s="17">
        <f>IF(H107="Retenido",E107,0)</f>
        <v/>
      </c>
      <c r="J107" s="16" t="inlineStr">
        <is>
          <t>2026-W27</t>
        </is>
      </c>
    </row>
    <row r="108">
      <c r="A108" s="23" t="n">
        <v>46208</v>
      </c>
      <c r="B108" s="17" t="n">
        <v>333569.35</v>
      </c>
      <c r="C108" s="17" t="n">
        <v>3479.29</v>
      </c>
      <c r="D108" s="17" t="n">
        <v>0</v>
      </c>
      <c r="E108" s="17">
        <f>B108-C108-D108</f>
        <v/>
      </c>
      <c r="F108" s="16">
        <f>CHOOSE(WEEKDAY(A108,2),"Lunes","Martes","Miércoles","Jueves","Viernes","Sábado","Domingo")</f>
        <v/>
      </c>
      <c r="G108" s="23" t="n">
        <v>46211</v>
      </c>
      <c r="H108" s="16">
        <f>IF(G108&lt;=$B$7,"Cobrado","Retenido")</f>
        <v/>
      </c>
      <c r="I108" s="17">
        <f>IF(H108="Retenido",E108,0)</f>
        <v/>
      </c>
      <c r="J108" s="16" t="inlineStr">
        <is>
          <t>2026-W27</t>
        </is>
      </c>
    </row>
    <row r="109">
      <c r="A109" s="23" t="n">
        <v>46209</v>
      </c>
      <c r="B109" s="17" t="n">
        <v>398738.16</v>
      </c>
      <c r="C109" s="17" t="n">
        <v>4661.16</v>
      </c>
      <c r="D109" s="17" t="n">
        <v>0</v>
      </c>
      <c r="E109" s="17">
        <f>B109-C109-D109</f>
        <v/>
      </c>
      <c r="F109" s="16">
        <f>CHOOSE(WEEKDAY(A109,2),"Lunes","Martes","Miércoles","Jueves","Viernes","Sábado","Domingo")</f>
        <v/>
      </c>
      <c r="G109" s="23" t="n">
        <v>46212</v>
      </c>
      <c r="H109" s="16">
        <f>IF(G109&lt;=$B$7,"Cobrado","Retenido")</f>
        <v/>
      </c>
      <c r="I109" s="17">
        <f>IF(H109="Retenido",E109,0)</f>
        <v/>
      </c>
      <c r="J109" s="16" t="inlineStr">
        <is>
          <t>2026-W28</t>
        </is>
      </c>
    </row>
    <row r="110">
      <c r="A110" s="23" t="n">
        <v>46210</v>
      </c>
      <c r="B110" s="17" t="n">
        <v>408852.17</v>
      </c>
      <c r="C110" s="17" t="n">
        <v>5043.15</v>
      </c>
      <c r="D110" s="17" t="n">
        <v>0</v>
      </c>
      <c r="E110" s="17">
        <f>B110-C110-D110</f>
        <v/>
      </c>
      <c r="F110" s="16">
        <f>CHOOSE(WEEKDAY(A110,2),"Lunes","Martes","Miércoles","Jueves","Viernes","Sábado","Domingo")</f>
        <v/>
      </c>
      <c r="G110" s="23" t="n">
        <v>46213</v>
      </c>
      <c r="H110" s="16">
        <f>IF(G110&lt;=$B$7,"Cobrado","Retenido")</f>
        <v/>
      </c>
      <c r="I110" s="17">
        <f>IF(H110="Retenido",E110,0)</f>
        <v/>
      </c>
      <c r="J110" s="16" t="inlineStr">
        <is>
          <t>2026-W28</t>
        </is>
      </c>
    </row>
    <row r="111">
      <c r="A111" s="23" t="n">
        <v>46211</v>
      </c>
      <c r="B111" s="17" t="n">
        <v>410762.74</v>
      </c>
      <c r="C111" s="17" t="n">
        <v>4692.82</v>
      </c>
      <c r="D111" s="17" t="n">
        <v>0</v>
      </c>
      <c r="E111" s="17">
        <f>B111-C111-D111</f>
        <v/>
      </c>
      <c r="F111" s="16">
        <f>CHOOSE(WEEKDAY(A111,2),"Lunes","Martes","Miércoles","Jueves","Viernes","Sábado","Domingo")</f>
        <v/>
      </c>
      <c r="G111" s="23" t="n">
        <v>46216</v>
      </c>
      <c r="H111" s="16">
        <f>IF(G111&lt;=$B$7,"Cobrado","Retenido")</f>
        <v/>
      </c>
      <c r="I111" s="17">
        <f>IF(H111="Retenido",E111,0)</f>
        <v/>
      </c>
      <c r="J111" s="16" t="inlineStr">
        <is>
          <t>2026-W28</t>
        </is>
      </c>
    </row>
    <row r="112">
      <c r="A112" s="23" t="n">
        <v>46212</v>
      </c>
      <c r="B112" s="17" t="n">
        <v>329737.56</v>
      </c>
      <c r="C112" s="17" t="n">
        <v>4032.63</v>
      </c>
      <c r="D112" s="17" t="n">
        <v>0</v>
      </c>
      <c r="E112" s="17">
        <f>B112-C112-D112</f>
        <v/>
      </c>
      <c r="F112" s="16">
        <f>CHOOSE(WEEKDAY(A112,2),"Lunes","Martes","Miércoles","Jueves","Viernes","Sábado","Domingo")</f>
        <v/>
      </c>
      <c r="G112" s="23" t="n">
        <v>46217</v>
      </c>
      <c r="H112" s="16">
        <f>IF(G112&lt;=$B$7,"Cobrado","Retenido")</f>
        <v/>
      </c>
      <c r="I112" s="17">
        <f>IF(H112="Retenido",E112,0)</f>
        <v/>
      </c>
      <c r="J112" s="16" t="inlineStr">
        <is>
          <t>2026-W28</t>
        </is>
      </c>
    </row>
    <row r="113">
      <c r="A113" s="23" t="n">
        <v>46213</v>
      </c>
      <c r="B113" s="17" t="n">
        <v>363752.36</v>
      </c>
      <c r="C113" s="17" t="n">
        <v>4634.62</v>
      </c>
      <c r="D113" s="17" t="n">
        <v>0</v>
      </c>
      <c r="E113" s="17">
        <f>B113-C113-D113</f>
        <v/>
      </c>
      <c r="F113" s="16">
        <f>CHOOSE(WEEKDAY(A113,2),"Lunes","Martes","Miércoles","Jueves","Viernes","Sábado","Domingo")</f>
        <v/>
      </c>
      <c r="G113" s="23" t="n">
        <v>46218</v>
      </c>
      <c r="H113" s="16">
        <f>IF(G113&lt;=$B$7,"Cobrado","Retenido")</f>
        <v/>
      </c>
      <c r="I113" s="17">
        <f>IF(H113="Retenido",E113,0)</f>
        <v/>
      </c>
      <c r="J113" s="16" t="inlineStr">
        <is>
          <t>2026-W28</t>
        </is>
      </c>
    </row>
    <row r="114">
      <c r="A114" s="23" t="n">
        <v>46214</v>
      </c>
      <c r="B114" s="17" t="n">
        <v>278432.78</v>
      </c>
      <c r="C114" s="17" t="n">
        <v>3169.69</v>
      </c>
      <c r="D114" s="17" t="n">
        <v>0</v>
      </c>
      <c r="E114" s="17">
        <f>B114-C114-D114</f>
        <v/>
      </c>
      <c r="F114" s="16">
        <f>CHOOSE(WEEKDAY(A114,2),"Lunes","Martes","Miércoles","Jueves","Viernes","Sábado","Domingo")</f>
        <v/>
      </c>
      <c r="G114" s="23" t="n">
        <v>46218</v>
      </c>
      <c r="H114" s="16">
        <f>IF(G114&lt;=$B$7,"Cobrado","Retenido")</f>
        <v/>
      </c>
      <c r="I114" s="17">
        <f>IF(H114="Retenido",E114,0)</f>
        <v/>
      </c>
      <c r="J114" s="16" t="inlineStr">
        <is>
          <t>2026-W28</t>
        </is>
      </c>
    </row>
    <row r="115">
      <c r="A115" s="23" t="n">
        <v>46215</v>
      </c>
      <c r="B115" s="17" t="n">
        <v>237381.66</v>
      </c>
      <c r="C115" s="17" t="n">
        <v>2465.7</v>
      </c>
      <c r="D115" s="17" t="n">
        <v>0</v>
      </c>
      <c r="E115" s="17">
        <f>B115-C115-D115</f>
        <v/>
      </c>
      <c r="F115" s="16">
        <f>CHOOSE(WEEKDAY(A115,2),"Lunes","Martes","Miércoles","Jueves","Viernes","Sábado","Domingo")</f>
        <v/>
      </c>
      <c r="G115" s="23" t="n">
        <v>46218</v>
      </c>
      <c r="H115" s="16">
        <f>IF(G115&lt;=$B$7,"Cobrado","Retenido")</f>
        <v/>
      </c>
      <c r="I115" s="17">
        <f>IF(H115="Retenido",E115,0)</f>
        <v/>
      </c>
      <c r="J115" s="16" t="inlineStr">
        <is>
          <t>2026-W28</t>
        </is>
      </c>
    </row>
    <row r="116">
      <c r="A116" s="23" t="n">
        <v>46216</v>
      </c>
      <c r="B116" s="17" t="n">
        <v>314504.37</v>
      </c>
      <c r="C116" s="17" t="n">
        <v>3789.68</v>
      </c>
      <c r="D116" s="17" t="n">
        <v>0</v>
      </c>
      <c r="E116" s="17">
        <f>B116-C116-D116</f>
        <v/>
      </c>
      <c r="F116" s="16">
        <f>CHOOSE(WEEKDAY(A116,2),"Lunes","Martes","Miércoles","Jueves","Viernes","Sábado","Domingo")</f>
        <v/>
      </c>
      <c r="G116" s="23" t="n">
        <v>46219</v>
      </c>
      <c r="H116" s="16">
        <f>IF(G116&lt;=$B$7,"Cobrado","Retenido")</f>
        <v/>
      </c>
      <c r="I116" s="17">
        <f>IF(H116="Retenido",E116,0)</f>
        <v/>
      </c>
      <c r="J116" s="16" t="inlineStr">
        <is>
          <t>2026-W29</t>
        </is>
      </c>
    </row>
    <row r="117">
      <c r="A117" s="13" t="inlineStr">
        <is>
          <t>TOTAL</t>
        </is>
      </c>
      <c r="B117" s="14">
        <f>SUM(B11:B116)</f>
        <v/>
      </c>
      <c r="C117" s="14">
        <f>SUM(C11:C116)</f>
        <v/>
      </c>
      <c r="D117" s="14">
        <f>SUM(D11:D116)</f>
        <v/>
      </c>
      <c r="E117" s="14">
        <f>SUM(E11:E116)</f>
        <v/>
      </c>
      <c r="I117" s="14">
        <f>SUM(I11:I116)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3" customWidth="1" min="5" max="5"/>
    <col width="12" customWidth="1" min="6" max="6"/>
    <col width="15" customWidth="1" min="7" max="7"/>
    <col width="11" customWidth="1" min="8" max="8"/>
    <col width="15" customWidth="1" min="9" max="9"/>
    <col width="11" customWidth="1" min="10" max="10"/>
  </cols>
  <sheetData>
    <row r="1">
      <c r="A1" s="28" t="inlineStr">
        <is>
          <t>CALCULADORA DE COBROS — PAYSAFE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3">
      <c r="A3" s="13" t="inlineStr">
        <is>
          <t>Reglas del procesador (Venta → Settlement)</t>
        </is>
      </c>
    </row>
    <row r="4">
      <c r="A4" s="13" t="inlineStr">
        <is>
          <t>Vta</t>
        </is>
      </c>
      <c r="B4" s="15" t="inlineStr">
        <is>
          <t>Lunes</t>
        </is>
      </c>
      <c r="C4" s="15" t="inlineStr">
        <is>
          <t>Martes</t>
        </is>
      </c>
      <c r="D4" s="15" t="inlineStr">
        <is>
          <t>Miércoles</t>
        </is>
      </c>
      <c r="E4" s="15" t="inlineStr">
        <is>
          <t>Jueves</t>
        </is>
      </c>
      <c r="F4" s="15" t="inlineStr">
        <is>
          <t>Viernes</t>
        </is>
      </c>
      <c r="G4" s="15" t="inlineStr">
        <is>
          <t>Sábado</t>
        </is>
      </c>
      <c r="H4" s="15" t="inlineStr">
        <is>
          <t>Domingo</t>
        </is>
      </c>
    </row>
    <row r="5">
      <c r="A5" s="13" t="inlineStr">
        <is>
          <t>Setle</t>
        </is>
      </c>
      <c r="B5" s="21" t="inlineStr">
        <is>
          <t>Miércoles</t>
        </is>
      </c>
      <c r="C5" s="21" t="inlineStr">
        <is>
          <t>Jueves</t>
        </is>
      </c>
      <c r="D5" s="21" t="inlineStr">
        <is>
          <t>Viernes</t>
        </is>
      </c>
      <c r="E5" s="21" t="inlineStr">
        <is>
          <t>Lunes</t>
        </is>
      </c>
      <c r="F5" s="21" t="inlineStr">
        <is>
          <t>Martes</t>
        </is>
      </c>
      <c r="G5" s="21" t="inlineStr">
        <is>
          <t>Martes</t>
        </is>
      </c>
      <c r="H5" s="21" t="inlineStr">
        <is>
          <t>Martes</t>
        </is>
      </c>
    </row>
    <row r="7">
      <c r="A7" s="13" t="inlineStr">
        <is>
          <t>Hoy (fecha de corte):</t>
        </is>
      </c>
      <c r="B7" s="22" t="n">
        <v>46216</v>
      </c>
    </row>
    <row r="8">
      <c r="A8" s="12" t="inlineStr">
        <is>
          <t>Nota: cambia la fecha de corte para recalcular Cobrado/Retenido. Las reglas fijan la Fecha de Settlement.</t>
        </is>
      </c>
    </row>
    <row r="10">
      <c r="A10" s="4" t="inlineStr">
        <is>
          <t>Fecha Venta</t>
        </is>
      </c>
      <c r="B10" s="4" t="inlineStr">
        <is>
          <t>Importe Venta</t>
        </is>
      </c>
      <c r="C10" s="4" t="inlineStr">
        <is>
          <t>Importe Comisión</t>
        </is>
      </c>
      <c r="D10" s="4" t="inlineStr">
        <is>
          <t>Importe Refund</t>
        </is>
      </c>
      <c r="E10" s="4" t="inlineStr">
        <is>
          <t>Importe Neto</t>
        </is>
      </c>
      <c r="F10" s="4" t="inlineStr">
        <is>
          <t>Día de Venta</t>
        </is>
      </c>
      <c r="G10" s="4" t="inlineStr">
        <is>
          <t>Fecha de Settlement</t>
        </is>
      </c>
      <c r="H10" s="4" t="inlineStr">
        <is>
          <t>Estado</t>
        </is>
      </c>
      <c r="I10" s="4" t="inlineStr">
        <is>
          <t>Importe Retenido</t>
        </is>
      </c>
      <c r="J10" s="4" t="inlineStr">
        <is>
          <t>Semana</t>
        </is>
      </c>
    </row>
    <row r="11">
      <c r="A11" s="23" t="n">
        <v>46199</v>
      </c>
      <c r="B11" s="17" t="n">
        <v>1092.16</v>
      </c>
      <c r="C11" s="17" t="n">
        <v>0</v>
      </c>
      <c r="D11" s="17" t="n">
        <v>0</v>
      </c>
      <c r="E11" s="17">
        <f>B11-C11-D11</f>
        <v/>
      </c>
      <c r="F11" s="16">
        <f>CHOOSE(WEEKDAY(A11,2),"Lunes","Martes","Miércoles","Jueves","Viernes","Sábado","Domingo")</f>
        <v/>
      </c>
      <c r="G11" s="23" t="n">
        <v>46203</v>
      </c>
      <c r="H11" s="16">
        <f>IF(G11&lt;=$B$7,"Cobrado","Retenido")</f>
        <v/>
      </c>
      <c r="I11" s="17">
        <f>IF(H11="Retenido",E11,0)</f>
        <v/>
      </c>
      <c r="J11" s="16" t="inlineStr">
        <is>
          <t>2026-W26</t>
        </is>
      </c>
    </row>
    <row r="12">
      <c r="A12" s="23" t="n">
        <v>46202</v>
      </c>
      <c r="B12" s="17" t="n">
        <v>0</v>
      </c>
      <c r="C12" s="17" t="n">
        <v>15.27</v>
      </c>
      <c r="D12" s="17" t="n">
        <v>116.67</v>
      </c>
      <c r="E12" s="17">
        <f>B12-C12-D12</f>
        <v/>
      </c>
      <c r="F12" s="16">
        <f>CHOOSE(WEEKDAY(A12,2),"Lunes","Martes","Miércoles","Jueves","Viernes","Sábado","Domingo")</f>
        <v/>
      </c>
      <c r="G12" s="23" t="n">
        <v>46204</v>
      </c>
      <c r="H12" s="16">
        <f>IF(G12&lt;=$B$7,"Cobrado","Retenido")</f>
        <v/>
      </c>
      <c r="I12" s="17">
        <f>IF(H12="Retenido",E12,0)</f>
        <v/>
      </c>
      <c r="J12" s="16" t="inlineStr">
        <is>
          <t>2026-W27</t>
        </is>
      </c>
    </row>
    <row r="13">
      <c r="A13" s="23" t="n">
        <v>46203</v>
      </c>
      <c r="B13" s="17" t="n">
        <v>1249.39</v>
      </c>
      <c r="C13" s="17" t="n">
        <v>0</v>
      </c>
      <c r="D13" s="17" t="n">
        <v>0</v>
      </c>
      <c r="E13" s="17">
        <f>B13-C13-D13</f>
        <v/>
      </c>
      <c r="F13" s="16">
        <f>CHOOSE(WEEKDAY(A13,2),"Lunes","Martes","Miércoles","Jueves","Viernes","Sábado","Domingo")</f>
        <v/>
      </c>
      <c r="G13" s="23" t="n">
        <v>46205</v>
      </c>
      <c r="H13" s="16">
        <f>IF(G13&lt;=$B$7,"Cobrado","Retenido")</f>
        <v/>
      </c>
      <c r="I13" s="17">
        <f>IF(H13="Retenido",E13,0)</f>
        <v/>
      </c>
      <c r="J13" s="16" t="inlineStr">
        <is>
          <t>2026-W27</t>
        </is>
      </c>
    </row>
    <row r="14">
      <c r="A14" s="23" t="n">
        <v>46204</v>
      </c>
      <c r="B14" s="17" t="n">
        <v>96284.78</v>
      </c>
      <c r="C14" s="17" t="n">
        <v>0</v>
      </c>
      <c r="D14" s="17" t="n">
        <v>102.79</v>
      </c>
      <c r="E14" s="17">
        <f>B14-C14-D14</f>
        <v/>
      </c>
      <c r="F14" s="16">
        <f>CHOOSE(WEEKDAY(A14,2),"Lunes","Martes","Miércoles","Jueves","Viernes","Sábado","Domingo")</f>
        <v/>
      </c>
      <c r="G14" s="23" t="n">
        <v>46206</v>
      </c>
      <c r="H14" s="16">
        <f>IF(G14&lt;=$B$7,"Cobrado","Retenido")</f>
        <v/>
      </c>
      <c r="I14" s="17">
        <f>IF(H14="Retenido",E14,0)</f>
        <v/>
      </c>
      <c r="J14" s="16" t="inlineStr">
        <is>
          <t>2026-W27</t>
        </is>
      </c>
    </row>
    <row r="15">
      <c r="A15" s="23" t="n">
        <v>46205</v>
      </c>
      <c r="B15" s="17" t="n">
        <v>162611.9</v>
      </c>
      <c r="C15" s="17" t="n">
        <v>20.94</v>
      </c>
      <c r="D15" s="17" t="n">
        <v>0</v>
      </c>
      <c r="E15" s="17">
        <f>B15-C15-D15</f>
        <v/>
      </c>
      <c r="F15" s="16">
        <f>CHOOSE(WEEKDAY(A15,2),"Lunes","Martes","Miércoles","Jueves","Viernes","Sábado","Domingo")</f>
        <v/>
      </c>
      <c r="G15" s="23" t="n">
        <v>46209</v>
      </c>
      <c r="H15" s="16">
        <f>IF(G15&lt;=$B$7,"Cobrado","Retenido")</f>
        <v/>
      </c>
      <c r="I15" s="17">
        <f>IF(H15="Retenido",E15,0)</f>
        <v/>
      </c>
      <c r="J15" s="16" t="inlineStr">
        <is>
          <t>2026-W27</t>
        </is>
      </c>
    </row>
    <row r="16">
      <c r="A16" s="23" t="n">
        <v>46206</v>
      </c>
      <c r="B16" s="17" t="n">
        <v>149702.38</v>
      </c>
      <c r="C16" s="17" t="n">
        <v>1579.37</v>
      </c>
      <c r="D16" s="17" t="n">
        <v>300.06</v>
      </c>
      <c r="E16" s="17">
        <f>B16-C16-D16</f>
        <v/>
      </c>
      <c r="F16" s="16">
        <f>CHOOSE(WEEKDAY(A16,2),"Lunes","Martes","Miércoles","Jueves","Viernes","Sábado","Domingo")</f>
        <v/>
      </c>
      <c r="G16" s="23" t="n">
        <v>46210</v>
      </c>
      <c r="H16" s="16">
        <f>IF(G16&lt;=$B$7,"Cobrado","Retenido")</f>
        <v/>
      </c>
      <c r="I16" s="17">
        <f>IF(H16="Retenido",E16,0)</f>
        <v/>
      </c>
      <c r="J16" s="16" t="inlineStr">
        <is>
          <t>2026-W27</t>
        </is>
      </c>
    </row>
    <row r="17">
      <c r="A17" s="23" t="n">
        <v>46207</v>
      </c>
      <c r="B17" s="17" t="n">
        <v>125391.42</v>
      </c>
      <c r="C17" s="17" t="n">
        <v>0</v>
      </c>
      <c r="D17" s="17" t="n">
        <v>0</v>
      </c>
      <c r="E17" s="17">
        <f>B17-C17-D17</f>
        <v/>
      </c>
      <c r="F17" s="16">
        <f>CHOOSE(WEEKDAY(A17,2),"Lunes","Martes","Miércoles","Jueves","Viernes","Sábado","Domingo")</f>
        <v/>
      </c>
      <c r="G17" s="23" t="n">
        <v>46210</v>
      </c>
      <c r="H17" s="16">
        <f>IF(G17&lt;=$B$7,"Cobrado","Retenido")</f>
        <v/>
      </c>
      <c r="I17" s="17">
        <f>IF(H17="Retenido",E17,0)</f>
        <v/>
      </c>
      <c r="J17" s="16" t="inlineStr">
        <is>
          <t>2026-W27</t>
        </is>
      </c>
    </row>
    <row r="18">
      <c r="A18" s="23" t="n">
        <v>46208</v>
      </c>
      <c r="B18" s="17" t="n">
        <v>145271.71</v>
      </c>
      <c r="C18" s="17" t="n">
        <v>0</v>
      </c>
      <c r="D18" s="17" t="n">
        <v>282.93</v>
      </c>
      <c r="E18" s="17">
        <f>B18-C18-D18</f>
        <v/>
      </c>
      <c r="F18" s="16">
        <f>CHOOSE(WEEKDAY(A18,2),"Lunes","Martes","Miércoles","Jueves","Viernes","Sábado","Domingo")</f>
        <v/>
      </c>
      <c r="G18" s="23" t="n">
        <v>46210</v>
      </c>
      <c r="H18" s="16">
        <f>IF(G18&lt;=$B$7,"Cobrado","Retenido")</f>
        <v/>
      </c>
      <c r="I18" s="17">
        <f>IF(H18="Retenido",E18,0)</f>
        <v/>
      </c>
      <c r="J18" s="16" t="inlineStr">
        <is>
          <t>2026-W27</t>
        </is>
      </c>
    </row>
    <row r="19">
      <c r="A19" s="23" t="n">
        <v>46209</v>
      </c>
      <c r="B19" s="17" t="n">
        <v>177639.11</v>
      </c>
      <c r="C19" s="17" t="n">
        <v>7132.19</v>
      </c>
      <c r="D19" s="17" t="n">
        <v>1935.38</v>
      </c>
      <c r="E19" s="17">
        <f>B19-C19-D19</f>
        <v/>
      </c>
      <c r="F19" s="16">
        <f>CHOOSE(WEEKDAY(A19,2),"Lunes","Martes","Miércoles","Jueves","Viernes","Sábado","Domingo")</f>
        <v/>
      </c>
      <c r="G19" s="23" t="n">
        <v>46211</v>
      </c>
      <c r="H19" s="16">
        <f>IF(G19&lt;=$B$7,"Cobrado","Retenido")</f>
        <v/>
      </c>
      <c r="I19" s="17">
        <f>IF(H19="Retenido",E19,0)</f>
        <v/>
      </c>
      <c r="J19" s="16" t="inlineStr">
        <is>
          <t>2026-W28</t>
        </is>
      </c>
    </row>
    <row r="20">
      <c r="A20" s="23" t="n">
        <v>46210</v>
      </c>
      <c r="B20" s="17" t="n">
        <v>176573.66</v>
      </c>
      <c r="C20" s="17" t="n">
        <v>2365.5</v>
      </c>
      <c r="D20" s="17" t="n">
        <v>270.23</v>
      </c>
      <c r="E20" s="17">
        <f>B20-C20-D20</f>
        <v/>
      </c>
      <c r="F20" s="16">
        <f>CHOOSE(WEEKDAY(A20,2),"Lunes","Martes","Miércoles","Jueves","Viernes","Sábado","Domingo")</f>
        <v/>
      </c>
      <c r="G20" s="23" t="n">
        <v>46212</v>
      </c>
      <c r="H20" s="16">
        <f>IF(G20&lt;=$B$7,"Cobrado","Retenido")</f>
        <v/>
      </c>
      <c r="I20" s="17">
        <f>IF(H20="Retenido",E20,0)</f>
        <v/>
      </c>
      <c r="J20" s="16" t="inlineStr">
        <is>
          <t>2026-W28</t>
        </is>
      </c>
    </row>
    <row r="21">
      <c r="A21" s="23" t="n">
        <v>46211</v>
      </c>
      <c r="B21" s="17" t="n">
        <v>174256.68</v>
      </c>
      <c r="C21" s="17" t="n">
        <v>3164.89</v>
      </c>
      <c r="D21" s="17" t="n">
        <v>856.97</v>
      </c>
      <c r="E21" s="17">
        <f>B21-C21-D21</f>
        <v/>
      </c>
      <c r="F21" s="16">
        <f>CHOOSE(WEEKDAY(A21,2),"Lunes","Martes","Miércoles","Jueves","Viernes","Sábado","Domingo")</f>
        <v/>
      </c>
      <c r="G21" s="23" t="n">
        <v>46213</v>
      </c>
      <c r="H21" s="16">
        <f>IF(G21&lt;=$B$7,"Cobrado","Retenido")</f>
        <v/>
      </c>
      <c r="I21" s="17">
        <f>IF(H21="Retenido",E21,0)</f>
        <v/>
      </c>
      <c r="J21" s="16" t="inlineStr">
        <is>
          <t>2026-W28</t>
        </is>
      </c>
    </row>
    <row r="22">
      <c r="A22" s="23" t="n">
        <v>46212</v>
      </c>
      <c r="B22" s="17" t="n">
        <v>162941.51</v>
      </c>
      <c r="C22" s="17" t="n">
        <v>2872.93</v>
      </c>
      <c r="D22" s="17" t="n">
        <v>1044.11</v>
      </c>
      <c r="E22" s="17">
        <f>B22-C22-D22</f>
        <v/>
      </c>
      <c r="F22" s="16">
        <f>CHOOSE(WEEKDAY(A22,2),"Lunes","Martes","Miércoles","Jueves","Viernes","Sábado","Domingo")</f>
        <v/>
      </c>
      <c r="G22" s="23" t="n">
        <v>46216</v>
      </c>
      <c r="H22" s="16">
        <f>IF(G22&lt;=$B$7,"Cobrado","Retenido")</f>
        <v/>
      </c>
      <c r="I22" s="17">
        <f>IF(H22="Retenido",E22,0)</f>
        <v/>
      </c>
      <c r="J22" s="16" t="inlineStr">
        <is>
          <t>2026-W28</t>
        </is>
      </c>
    </row>
    <row r="23">
      <c r="A23" s="23" t="n">
        <v>46213</v>
      </c>
      <c r="B23" s="17" t="n">
        <v>162060.01</v>
      </c>
      <c r="C23" s="17" t="n">
        <v>2735.33</v>
      </c>
      <c r="D23" s="17" t="n">
        <v>331.84</v>
      </c>
      <c r="E23" s="17">
        <f>B23-C23-D23</f>
        <v/>
      </c>
      <c r="F23" s="16">
        <f>CHOOSE(WEEKDAY(A23,2),"Lunes","Martes","Miércoles","Jueves","Viernes","Sábado","Domingo")</f>
        <v/>
      </c>
      <c r="G23" s="23" t="n">
        <v>46217</v>
      </c>
      <c r="H23" s="16">
        <f>IF(G23&lt;=$B$7,"Cobrado","Retenido")</f>
        <v/>
      </c>
      <c r="I23" s="17">
        <f>IF(H23="Retenido",E23,0)</f>
        <v/>
      </c>
      <c r="J23" s="16" t="inlineStr">
        <is>
          <t>2026-W28</t>
        </is>
      </c>
    </row>
    <row r="24">
      <c r="A24" s="23" t="n">
        <v>46214</v>
      </c>
      <c r="B24" s="17" t="n">
        <v>121024.13</v>
      </c>
      <c r="C24" s="17" t="n">
        <v>0</v>
      </c>
      <c r="D24" s="17" t="n">
        <v>93.98</v>
      </c>
      <c r="E24" s="17">
        <f>B24-C24-D24</f>
        <v/>
      </c>
      <c r="F24" s="16">
        <f>CHOOSE(WEEKDAY(A24,2),"Lunes","Martes","Miércoles","Jueves","Viernes","Sábado","Domingo")</f>
        <v/>
      </c>
      <c r="G24" s="23" t="n">
        <v>46217</v>
      </c>
      <c r="H24" s="16">
        <f>IF(G24&lt;=$B$7,"Cobrado","Retenido")</f>
        <v/>
      </c>
      <c r="I24" s="17">
        <f>IF(H24="Retenido",E24,0)</f>
        <v/>
      </c>
      <c r="J24" s="16" t="inlineStr">
        <is>
          <t>2026-W28</t>
        </is>
      </c>
    </row>
    <row r="25">
      <c r="A25" s="23" t="n">
        <v>46215</v>
      </c>
      <c r="B25" s="17" t="n">
        <v>137082.53</v>
      </c>
      <c r="C25" s="17" t="n">
        <v>0</v>
      </c>
      <c r="D25" s="17" t="n">
        <v>0</v>
      </c>
      <c r="E25" s="17">
        <f>B25-C25-D25</f>
        <v/>
      </c>
      <c r="F25" s="16">
        <f>CHOOSE(WEEKDAY(A25,2),"Lunes","Martes","Miércoles","Jueves","Viernes","Sábado","Domingo")</f>
        <v/>
      </c>
      <c r="G25" s="23" t="n">
        <v>46217</v>
      </c>
      <c r="H25" s="16">
        <f>IF(G25&lt;=$B$7,"Cobrado","Retenido")</f>
        <v/>
      </c>
      <c r="I25" s="17">
        <f>IF(H25="Retenido",E25,0)</f>
        <v/>
      </c>
      <c r="J25" s="16" t="inlineStr">
        <is>
          <t>2026-W28</t>
        </is>
      </c>
    </row>
    <row r="26">
      <c r="A26" s="23" t="n">
        <v>46216</v>
      </c>
      <c r="B26" s="17" t="n">
        <v>176199.19</v>
      </c>
      <c r="C26" s="17" t="n">
        <v>7668.88</v>
      </c>
      <c r="D26" s="17" t="n">
        <v>968.28</v>
      </c>
      <c r="E26" s="17">
        <f>B26-C26-D26</f>
        <v/>
      </c>
      <c r="F26" s="16">
        <f>CHOOSE(WEEKDAY(A26,2),"Lunes","Martes","Miércoles","Jueves","Viernes","Sábado","Domingo")</f>
        <v/>
      </c>
      <c r="G26" s="23" t="n">
        <v>46218</v>
      </c>
      <c r="H26" s="16">
        <f>IF(G26&lt;=$B$7,"Cobrado","Retenido")</f>
        <v/>
      </c>
      <c r="I26" s="17">
        <f>IF(H26="Retenido",E26,0)</f>
        <v/>
      </c>
      <c r="J26" s="16" t="inlineStr">
        <is>
          <t>2026-W29</t>
        </is>
      </c>
    </row>
    <row r="27">
      <c r="A27" s="23" t="n">
        <v>46217</v>
      </c>
      <c r="B27" s="17" t="n">
        <v>0</v>
      </c>
      <c r="C27" s="17" t="n">
        <v>0</v>
      </c>
      <c r="D27" s="17" t="n">
        <v>0</v>
      </c>
      <c r="E27" s="17">
        <f>B27-C27-D27</f>
        <v/>
      </c>
      <c r="F27" s="16">
        <f>CHOOSE(WEEKDAY(A27,2),"Lunes","Martes","Miércoles","Jueves","Viernes","Sábado","Domingo")</f>
        <v/>
      </c>
      <c r="G27" s="23" t="n">
        <v>46219</v>
      </c>
      <c r="H27" s="16">
        <f>IF(G27&lt;=$B$7,"Cobrado","Retenido")</f>
        <v/>
      </c>
      <c r="I27" s="17">
        <f>IF(H27="Retenido",E27,0)</f>
        <v/>
      </c>
      <c r="J27" s="16" t="inlineStr">
        <is>
          <t>2026-W29</t>
        </is>
      </c>
    </row>
    <row r="28">
      <c r="A28" s="23" t="n">
        <v>46218</v>
      </c>
      <c r="B28" s="17" t="n">
        <v>0</v>
      </c>
      <c r="C28" s="17" t="n">
        <v>0</v>
      </c>
      <c r="D28" s="17" t="n">
        <v>0</v>
      </c>
      <c r="E28" s="17">
        <f>B28-C28-D28</f>
        <v/>
      </c>
      <c r="F28" s="16">
        <f>CHOOSE(WEEKDAY(A28,2),"Lunes","Martes","Miércoles","Jueves","Viernes","Sábado","Domingo")</f>
        <v/>
      </c>
      <c r="G28" s="23" t="n">
        <v>46220</v>
      </c>
      <c r="H28" s="16">
        <f>IF(G28&lt;=$B$7,"Cobrado","Retenido")</f>
        <v/>
      </c>
      <c r="I28" s="17">
        <f>IF(H28="Retenido",E28,0)</f>
        <v/>
      </c>
      <c r="J28" s="16" t="inlineStr">
        <is>
          <t>2026-W29</t>
        </is>
      </c>
    </row>
    <row r="29">
      <c r="A29" s="23" t="n">
        <v>46219</v>
      </c>
      <c r="B29" s="17" t="n">
        <v>0</v>
      </c>
      <c r="C29" s="17" t="n">
        <v>0</v>
      </c>
      <c r="D29" s="17" t="n">
        <v>0</v>
      </c>
      <c r="E29" s="17">
        <f>B29-C29-D29</f>
        <v/>
      </c>
      <c r="F29" s="16">
        <f>CHOOSE(WEEKDAY(A29,2),"Lunes","Martes","Miércoles","Jueves","Viernes","Sábado","Domingo")</f>
        <v/>
      </c>
      <c r="G29" s="23" t="n">
        <v>46223</v>
      </c>
      <c r="H29" s="16">
        <f>IF(G29&lt;=$B$7,"Cobrado","Retenido")</f>
        <v/>
      </c>
      <c r="I29" s="17">
        <f>IF(H29="Retenido",E29,0)</f>
        <v/>
      </c>
      <c r="J29" s="16" t="inlineStr">
        <is>
          <t>2026-W29</t>
        </is>
      </c>
    </row>
    <row r="30">
      <c r="A30" s="23" t="n">
        <v>46220</v>
      </c>
      <c r="B30" s="17" t="n">
        <v>0</v>
      </c>
      <c r="C30" s="17" t="n">
        <v>0</v>
      </c>
      <c r="D30" s="17" t="n">
        <v>0</v>
      </c>
      <c r="E30" s="17">
        <f>B30-C30-D30</f>
        <v/>
      </c>
      <c r="F30" s="16">
        <f>CHOOSE(WEEKDAY(A30,2),"Lunes","Martes","Miércoles","Jueves","Viernes","Sábado","Domingo")</f>
        <v/>
      </c>
      <c r="G30" s="23" t="n">
        <v>46224</v>
      </c>
      <c r="H30" s="16">
        <f>IF(G30&lt;=$B$7,"Cobrado","Retenido")</f>
        <v/>
      </c>
      <c r="I30" s="17">
        <f>IF(H30="Retenido",E30,0)</f>
        <v/>
      </c>
      <c r="J30" s="16" t="inlineStr">
        <is>
          <t>2026-W29</t>
        </is>
      </c>
    </row>
    <row r="31">
      <c r="A31" s="23" t="n">
        <v>46221</v>
      </c>
      <c r="B31" s="17" t="n">
        <v>0</v>
      </c>
      <c r="C31" s="17" t="n">
        <v>0</v>
      </c>
      <c r="D31" s="17" t="n">
        <v>0</v>
      </c>
      <c r="E31" s="17">
        <f>B31-C31-D31</f>
        <v/>
      </c>
      <c r="F31" s="16">
        <f>CHOOSE(WEEKDAY(A31,2),"Lunes","Martes","Miércoles","Jueves","Viernes","Sábado","Domingo")</f>
        <v/>
      </c>
      <c r="G31" s="23" t="n">
        <v>46224</v>
      </c>
      <c r="H31" s="16">
        <f>IF(G31&lt;=$B$7,"Cobrado","Retenido")</f>
        <v/>
      </c>
      <c r="I31" s="17">
        <f>IF(H31="Retenido",E31,0)</f>
        <v/>
      </c>
      <c r="J31" s="16" t="inlineStr">
        <is>
          <t>2026-W29</t>
        </is>
      </c>
    </row>
    <row r="32">
      <c r="A32" s="23" t="n">
        <v>46222</v>
      </c>
      <c r="B32" s="17" t="n">
        <v>0</v>
      </c>
      <c r="C32" s="17" t="n">
        <v>0</v>
      </c>
      <c r="D32" s="17" t="n">
        <v>0</v>
      </c>
      <c r="E32" s="17">
        <f>B32-C32-D32</f>
        <v/>
      </c>
      <c r="F32" s="16">
        <f>CHOOSE(WEEKDAY(A32,2),"Lunes","Martes","Miércoles","Jueves","Viernes","Sábado","Domingo")</f>
        <v/>
      </c>
      <c r="G32" s="23" t="n">
        <v>46224</v>
      </c>
      <c r="H32" s="16">
        <f>IF(G32&lt;=$B$7,"Cobrado","Retenido")</f>
        <v/>
      </c>
      <c r="I32" s="17">
        <f>IF(H32="Retenido",E32,0)</f>
        <v/>
      </c>
      <c r="J32" s="16" t="inlineStr">
        <is>
          <t>2026-W29</t>
        </is>
      </c>
    </row>
    <row r="33">
      <c r="A33" s="23" t="n">
        <v>46223</v>
      </c>
      <c r="B33" s="17" t="n">
        <v>0</v>
      </c>
      <c r="C33" s="17" t="n">
        <v>0</v>
      </c>
      <c r="D33" s="17" t="n">
        <v>0</v>
      </c>
      <c r="E33" s="17">
        <f>B33-C33-D33</f>
        <v/>
      </c>
      <c r="F33" s="16">
        <f>CHOOSE(WEEKDAY(A33,2),"Lunes","Martes","Miércoles","Jueves","Viernes","Sábado","Domingo")</f>
        <v/>
      </c>
      <c r="G33" s="23" t="n">
        <v>46225</v>
      </c>
      <c r="H33" s="16">
        <f>IF(G33&lt;=$B$7,"Cobrado","Retenido")</f>
        <v/>
      </c>
      <c r="I33" s="17">
        <f>IF(H33="Retenido",E33,0)</f>
        <v/>
      </c>
      <c r="J33" s="16" t="inlineStr">
        <is>
          <t>2026-W30</t>
        </is>
      </c>
    </row>
    <row r="34">
      <c r="A34" s="23" t="n">
        <v>46224</v>
      </c>
      <c r="B34" s="17" t="n">
        <v>0</v>
      </c>
      <c r="C34" s="17" t="n">
        <v>0</v>
      </c>
      <c r="D34" s="17" t="n">
        <v>0</v>
      </c>
      <c r="E34" s="17">
        <f>B34-C34-D34</f>
        <v/>
      </c>
      <c r="F34" s="16">
        <f>CHOOSE(WEEKDAY(A34,2),"Lunes","Martes","Miércoles","Jueves","Viernes","Sábado","Domingo")</f>
        <v/>
      </c>
      <c r="G34" s="23" t="n">
        <v>46226</v>
      </c>
      <c r="H34" s="16">
        <f>IF(G34&lt;=$B$7,"Cobrado","Retenido")</f>
        <v/>
      </c>
      <c r="I34" s="17">
        <f>IF(H34="Retenido",E34,0)</f>
        <v/>
      </c>
      <c r="J34" s="16" t="inlineStr">
        <is>
          <t>2026-W30</t>
        </is>
      </c>
    </row>
    <row r="35">
      <c r="A35" s="23" t="n">
        <v>46225</v>
      </c>
      <c r="B35" s="17" t="n">
        <v>0</v>
      </c>
      <c r="C35" s="17" t="n">
        <v>0</v>
      </c>
      <c r="D35" s="17" t="n">
        <v>0</v>
      </c>
      <c r="E35" s="17">
        <f>B35-C35-D35</f>
        <v/>
      </c>
      <c r="F35" s="16">
        <f>CHOOSE(WEEKDAY(A35,2),"Lunes","Martes","Miércoles","Jueves","Viernes","Sábado","Domingo")</f>
        <v/>
      </c>
      <c r="G35" s="23" t="n">
        <v>46227</v>
      </c>
      <c r="H35" s="16">
        <f>IF(G35&lt;=$B$7,"Cobrado","Retenido")</f>
        <v/>
      </c>
      <c r="I35" s="17">
        <f>IF(H35="Retenido",E35,0)</f>
        <v/>
      </c>
      <c r="J35" s="16" t="inlineStr">
        <is>
          <t>2026-W30</t>
        </is>
      </c>
    </row>
    <row r="36">
      <c r="A36" s="23" t="n">
        <v>46226</v>
      </c>
      <c r="B36" s="17" t="n">
        <v>0</v>
      </c>
      <c r="C36" s="17" t="n">
        <v>0</v>
      </c>
      <c r="D36" s="17" t="n">
        <v>0</v>
      </c>
      <c r="E36" s="17">
        <f>B36-C36-D36</f>
        <v/>
      </c>
      <c r="F36" s="16">
        <f>CHOOSE(WEEKDAY(A36,2),"Lunes","Martes","Miércoles","Jueves","Viernes","Sábado","Domingo")</f>
        <v/>
      </c>
      <c r="G36" s="23" t="n">
        <v>46230</v>
      </c>
      <c r="H36" s="16">
        <f>IF(G36&lt;=$B$7,"Cobrado","Retenido")</f>
        <v/>
      </c>
      <c r="I36" s="17">
        <f>IF(H36="Retenido",E36,0)</f>
        <v/>
      </c>
      <c r="J36" s="16" t="inlineStr">
        <is>
          <t>2026-W30</t>
        </is>
      </c>
    </row>
    <row r="37">
      <c r="A37" s="23" t="n">
        <v>46227</v>
      </c>
      <c r="B37" s="17" t="n">
        <v>0</v>
      </c>
      <c r="C37" s="17" t="n">
        <v>0</v>
      </c>
      <c r="D37" s="17" t="n">
        <v>0</v>
      </c>
      <c r="E37" s="17">
        <f>B37-C37-D37</f>
        <v/>
      </c>
      <c r="F37" s="16">
        <f>CHOOSE(WEEKDAY(A37,2),"Lunes","Martes","Miércoles","Jueves","Viernes","Sábado","Domingo")</f>
        <v/>
      </c>
      <c r="G37" s="23" t="n">
        <v>46231</v>
      </c>
      <c r="H37" s="16">
        <f>IF(G37&lt;=$B$7,"Cobrado","Retenido")</f>
        <v/>
      </c>
      <c r="I37" s="17">
        <f>IF(H37="Retenido",E37,0)</f>
        <v/>
      </c>
      <c r="J37" s="16" t="inlineStr">
        <is>
          <t>2026-W30</t>
        </is>
      </c>
    </row>
    <row r="38">
      <c r="A38" s="23" t="n">
        <v>46228</v>
      </c>
      <c r="B38" s="17" t="n">
        <v>0</v>
      </c>
      <c r="C38" s="17" t="n">
        <v>0</v>
      </c>
      <c r="D38" s="17" t="n">
        <v>0</v>
      </c>
      <c r="E38" s="17">
        <f>B38-C38-D38</f>
        <v/>
      </c>
      <c r="F38" s="16">
        <f>CHOOSE(WEEKDAY(A38,2),"Lunes","Martes","Miércoles","Jueves","Viernes","Sábado","Domingo")</f>
        <v/>
      </c>
      <c r="G38" s="23" t="n">
        <v>46231</v>
      </c>
      <c r="H38" s="16">
        <f>IF(G38&lt;=$B$7,"Cobrado","Retenido")</f>
        <v/>
      </c>
      <c r="I38" s="17">
        <f>IF(H38="Retenido",E38,0)</f>
        <v/>
      </c>
      <c r="J38" s="16" t="inlineStr">
        <is>
          <t>2026-W30</t>
        </is>
      </c>
    </row>
    <row r="39">
      <c r="A39" s="23" t="n">
        <v>46229</v>
      </c>
      <c r="B39" s="17" t="n">
        <v>0</v>
      </c>
      <c r="C39" s="17" t="n">
        <v>0</v>
      </c>
      <c r="D39" s="17" t="n">
        <v>0</v>
      </c>
      <c r="E39" s="17">
        <f>B39-C39-D39</f>
        <v/>
      </c>
      <c r="F39" s="16">
        <f>CHOOSE(WEEKDAY(A39,2),"Lunes","Martes","Miércoles","Jueves","Viernes","Sábado","Domingo")</f>
        <v/>
      </c>
      <c r="G39" s="23" t="n">
        <v>46231</v>
      </c>
      <c r="H39" s="16">
        <f>IF(G39&lt;=$B$7,"Cobrado","Retenido")</f>
        <v/>
      </c>
      <c r="I39" s="17">
        <f>IF(H39="Retenido",E39,0)</f>
        <v/>
      </c>
      <c r="J39" s="16" t="inlineStr">
        <is>
          <t>2026-W30</t>
        </is>
      </c>
    </row>
    <row r="40">
      <c r="A40" s="23" t="n">
        <v>46230</v>
      </c>
      <c r="B40" s="17" t="n">
        <v>0</v>
      </c>
      <c r="C40" s="17" t="n">
        <v>0</v>
      </c>
      <c r="D40" s="17" t="n">
        <v>0</v>
      </c>
      <c r="E40" s="17">
        <f>B40-C40-D40</f>
        <v/>
      </c>
      <c r="F40" s="16">
        <f>CHOOSE(WEEKDAY(A40,2),"Lunes","Martes","Miércoles","Jueves","Viernes","Sábado","Domingo")</f>
        <v/>
      </c>
      <c r="G40" s="23" t="n">
        <v>46232</v>
      </c>
      <c r="H40" s="16">
        <f>IF(G40&lt;=$B$7,"Cobrado","Retenido")</f>
        <v/>
      </c>
      <c r="I40" s="17">
        <f>IF(H40="Retenido",E40,0)</f>
        <v/>
      </c>
      <c r="J40" s="16" t="inlineStr">
        <is>
          <t>2026-W31</t>
        </is>
      </c>
    </row>
    <row r="41">
      <c r="A41" s="23" t="n">
        <v>46231</v>
      </c>
      <c r="B41" s="17" t="n">
        <v>0</v>
      </c>
      <c r="C41" s="17" t="n">
        <v>0</v>
      </c>
      <c r="D41" s="17" t="n">
        <v>0</v>
      </c>
      <c r="E41" s="17">
        <f>B41-C41-D41</f>
        <v/>
      </c>
      <c r="F41" s="16">
        <f>CHOOSE(WEEKDAY(A41,2),"Lunes","Martes","Miércoles","Jueves","Viernes","Sábado","Domingo")</f>
        <v/>
      </c>
      <c r="G41" s="23" t="n">
        <v>46233</v>
      </c>
      <c r="H41" s="16">
        <f>IF(G41&lt;=$B$7,"Cobrado","Retenido")</f>
        <v/>
      </c>
      <c r="I41" s="17">
        <f>IF(H41="Retenido",E41,0)</f>
        <v/>
      </c>
      <c r="J41" s="16" t="inlineStr">
        <is>
          <t>2026-W31</t>
        </is>
      </c>
    </row>
    <row r="42">
      <c r="A42" s="23" t="n">
        <v>46232</v>
      </c>
      <c r="B42" s="17" t="n">
        <v>0</v>
      </c>
      <c r="C42" s="17" t="n">
        <v>0</v>
      </c>
      <c r="D42" s="17" t="n">
        <v>0</v>
      </c>
      <c r="E42" s="17">
        <f>B42-C42-D42</f>
        <v/>
      </c>
      <c r="F42" s="16">
        <f>CHOOSE(WEEKDAY(A42,2),"Lunes","Martes","Miércoles","Jueves","Viernes","Sábado","Domingo")</f>
        <v/>
      </c>
      <c r="G42" s="23" t="n">
        <v>46234</v>
      </c>
      <c r="H42" s="16">
        <f>IF(G42&lt;=$B$7,"Cobrado","Retenido")</f>
        <v/>
      </c>
      <c r="I42" s="17">
        <f>IF(H42="Retenido",E42,0)</f>
        <v/>
      </c>
      <c r="J42" s="16" t="inlineStr">
        <is>
          <t>2026-W31</t>
        </is>
      </c>
    </row>
    <row r="43">
      <c r="A43" s="23" t="n">
        <v>46233</v>
      </c>
      <c r="B43" s="17" t="n">
        <v>0</v>
      </c>
      <c r="C43" s="17" t="n">
        <v>0</v>
      </c>
      <c r="D43" s="17" t="n">
        <v>0</v>
      </c>
      <c r="E43" s="17">
        <f>B43-C43-D43</f>
        <v/>
      </c>
      <c r="F43" s="16">
        <f>CHOOSE(WEEKDAY(A43,2),"Lunes","Martes","Miércoles","Jueves","Viernes","Sábado","Domingo")</f>
        <v/>
      </c>
      <c r="G43" s="23" t="n">
        <v>46237</v>
      </c>
      <c r="H43" s="16">
        <f>IF(G43&lt;=$B$7,"Cobrado","Retenido")</f>
        <v/>
      </c>
      <c r="I43" s="17">
        <f>IF(H43="Retenido",E43,0)</f>
        <v/>
      </c>
      <c r="J43" s="16" t="inlineStr">
        <is>
          <t>2026-W31</t>
        </is>
      </c>
    </row>
    <row r="44">
      <c r="A44" s="23" t="n">
        <v>46234</v>
      </c>
      <c r="B44" s="17" t="n">
        <v>0</v>
      </c>
      <c r="C44" s="17" t="n">
        <v>0</v>
      </c>
      <c r="D44" s="17" t="n">
        <v>0</v>
      </c>
      <c r="E44" s="17">
        <f>B44-C44-D44</f>
        <v/>
      </c>
      <c r="F44" s="16">
        <f>CHOOSE(WEEKDAY(A44,2),"Lunes","Martes","Miércoles","Jueves","Viernes","Sábado","Domingo")</f>
        <v/>
      </c>
      <c r="G44" s="23" t="n">
        <v>46238</v>
      </c>
      <c r="H44" s="16">
        <f>IF(G44&lt;=$B$7,"Cobrado","Retenido")</f>
        <v/>
      </c>
      <c r="I44" s="17">
        <f>IF(H44="Retenido",E44,0)</f>
        <v/>
      </c>
      <c r="J44" s="16" t="inlineStr">
        <is>
          <t>2026-W31</t>
        </is>
      </c>
    </row>
    <row r="45">
      <c r="A45" s="13" t="inlineStr">
        <is>
          <t>TOTAL</t>
        </is>
      </c>
      <c r="B45" s="14">
        <f>SUM(B11:B44)</f>
        <v/>
      </c>
      <c r="C45" s="14">
        <f>SUM(C11:C44)</f>
        <v/>
      </c>
      <c r="D45" s="14">
        <f>SUM(D11:D44)</f>
        <v/>
      </c>
      <c r="E45" s="14">
        <f>SUM(E11:E44)</f>
        <v/>
      </c>
      <c r="I45" s="14">
        <f>SUM(I11:I44)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2026-07-15T13:43:44Z</dcterms:created>
  <dcterms:modified xsi:type="dcterms:W3CDTF">2026-07-15T13:43:44Z</dcterms:modified>
</cp:coreProperties>
</file>