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Datos" sheetId="2" state="visible" r:id="rId2"/>
    <sheet name="Resumen" sheetId="3" state="visible" r:id="rId3"/>
    <sheet name="Shift4" sheetId="4" state="visible" r:id="rId4"/>
    <sheet name="Nuvei" sheetId="5" state="visible" r:id="rId5"/>
    <sheet name="Adyen" sheetId="6" state="visible" r:id="rId6"/>
    <sheet name="Paysaf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yyyy-mm-dd"/>
    <numFmt numFmtId="166" formatCode="dd/mm/yyyy"/>
    <numFmt numFmtId="167" formatCode="#,##0;[Red](#,##0)"/>
  </numFmts>
  <fonts count="8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2E5496"/>
      <sz val="14"/>
    </font>
    <font>
      <color rgb="00000000"/>
      <sz val="11"/>
    </font>
    <font>
      <color rgb="00C00000"/>
      <sz val="11"/>
    </font>
    <font>
      <color rgb="00808080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7A3D"/>
      </patternFill>
    </fill>
    <fill>
      <patternFill patternType="solid">
        <fgColor rgb="007A4E1F"/>
      </patternFill>
    </fill>
    <fill>
      <patternFill patternType="solid">
        <fgColor rgb="006A1F7A"/>
      </patternFill>
    </fill>
    <fill>
      <patternFill patternType="solid">
        <fgColor rgb="00D9E1F2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 wrapText="1"/>
    </xf>
    <xf numFmtId="166" fontId="0" fillId="0" borderId="0" pivotButton="0" quotePrefix="0" xfId="0"/>
    <xf numFmtId="167" fontId="0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1" fillId="9" borderId="0" pivotButton="0" quotePrefix="0" xfId="0"/>
    <xf numFmtId="0" fontId="0" fillId="0" borderId="1" pivotButton="0" quotePrefix="0" xfId="0"/>
    <xf numFmtId="167" fontId="0" fillId="0" borderId="1" pivotButton="0" quotePrefix="0" xfId="0"/>
    <xf numFmtId="0" fontId="1" fillId="5" borderId="0" pivotButton="0" quotePrefix="0" xfId="0"/>
    <xf numFmtId="167" fontId="1" fillId="5" borderId="0" pivotButton="0" quotePrefix="0" xfId="0"/>
    <xf numFmtId="0" fontId="2" fillId="2" borderId="0" applyAlignment="1" pivotButton="0" quotePrefix="0" xfId="0">
      <alignment horizontal="center"/>
    </xf>
    <xf numFmtId="0" fontId="0" fillId="10" borderId="0" pivotButton="0" quotePrefix="0" xfId="0"/>
    <xf numFmtId="167" fontId="0" fillId="10" borderId="0" pivotButton="0" quotePrefix="0" xfId="0"/>
    <xf numFmtId="167" fontId="1" fillId="10" borderId="0" pivotButton="0" quotePrefix="0" xfId="0"/>
    <xf numFmtId="167" fontId="1" fillId="0" borderId="0" pivotButton="0" quotePrefix="0" xfId="0"/>
    <xf numFmtId="167" fontId="1" fillId="4" borderId="0" pivotButton="0" quotePrefix="0" xfId="0"/>
    <xf numFmtId="167" fontId="1" fillId="4" borderId="1" pivotButton="0" quotePrefix="0" xfId="0"/>
    <xf numFmtId="166" fontId="0" fillId="0" borderId="1" pivotButton="0" quotePrefix="0" xfId="0"/>
    <xf numFmtId="167" fontId="0" fillId="4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3" fillId="7" borderId="0" pivotButton="0" quotePrefix="0" xfId="0"/>
    <xf numFmtId="0" fontId="0" fillId="7" borderId="0" pivotButton="0" quotePrefix="0" xfId="0"/>
    <xf numFmtId="0" fontId="3" fillId="8" borderId="0" pivotButton="0" quotePrefix="0" xfId="0"/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CONTROL DE PASARELAS — por banco, día y semana</t>
        </is>
      </c>
    </row>
    <row r="2">
      <c r="A2" s="2" t="inlineStr"/>
    </row>
    <row r="3">
      <c r="A3" s="2" t="inlineStr">
        <is>
          <t>Una pestaña por pasarela (Shift4, Nuvei, Adyen, Paysafe), con dos tablas: POR SEMANA y POR DÍA.</t>
        </is>
      </c>
    </row>
    <row r="4">
      <c r="A4" s="2" t="inlineStr">
        <is>
          <t>Columnas: Ventas (total) · Fee (aparte) · Cobro (= Ventas + Fee, o sea neto sin el fee) · Payout (a banco) · Retenido neto.</t>
        </is>
      </c>
    </row>
    <row r="5">
      <c r="A5" s="2" t="inlineStr">
        <is>
          <t>Retenido neto del periodo = Cobro − Payout (lo que se cobra y aún NO se ha liquidado a banco esa semana/día).</t>
        </is>
      </c>
    </row>
    <row r="6">
      <c r="A6" s="3" t="inlineStr">
        <is>
          <t>IMPORTANTE (reglas de settlement): Ventas y Fee se fechan por fecha de VENTA; el Payout se fecha por fecha de SETTLEMENT (T+ Pay Date),</t>
        </is>
      </c>
    </row>
    <row r="7">
      <c r="A7" s="3" t="inlineStr">
        <is>
          <t>respetando el calendario T+n de cada pasarela. Así el retenido de cada semana refleja el desfase real venta→liquidación.</t>
        </is>
      </c>
    </row>
    <row r="8">
      <c r="A8" s="2" t="inlineStr"/>
    </row>
    <row r="9">
      <c r="A9" s="2" t="inlineStr">
        <is>
          <t>Resumen: (1) RETENIDO ACTUAL por banco = saldo real retenido hoy (snapshot del fichero origen, fiable).</t>
        </is>
      </c>
    </row>
    <row r="10">
      <c r="A10" s="2" t="inlineStr">
        <is>
          <t>(2) Ventas semanales por banco. (3) Retenido neto semanal por banco.</t>
        </is>
      </c>
    </row>
    <row r="11">
      <c r="A11" s="2" t="inlineStr">
        <is>
          <t>Nuvei = € + $ combinado. El $ se convierte con el FX de Datos!N1 (edítalo).</t>
        </is>
      </c>
    </row>
    <row r="12">
      <c r="A12" s="2" t="inlineStr"/>
    </row>
    <row r="13">
      <c r="A13" s="2" t="inlineStr">
        <is>
          <t>Actualizar: añade filas nuevas a 'Datos' y arrastra fórmulas en las pestañas. Todo con SUMIFS, recalcula solo.</t>
        </is>
      </c>
    </row>
    <row r="14">
      <c r="A14" s="4" t="inlineStr">
        <is>
          <t>Nota: el retenido ACTUAL (Resumen) es el saldo fiable; el retenido neto semanal es el flujo (entra − sale) de cada periodo.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8" customWidth="1" min="4" max="4"/>
    <col width="12" customWidth="1" min="5" max="5"/>
    <col width="11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</cols>
  <sheetData>
    <row r="1">
      <c r="M1" s="5" t="inlineStr">
        <is>
          <t>FX USD→EUR:</t>
        </is>
      </c>
      <c r="N1" s="6" t="n">
        <v>0.92</v>
      </c>
    </row>
    <row r="3">
      <c r="A3" s="7" t="inlineStr">
        <is>
          <t>Fecha</t>
        </is>
      </c>
      <c r="B3" s="7" t="inlineStr">
        <is>
          <t>Semana</t>
        </is>
      </c>
      <c r="C3" s="7" t="inlineStr">
        <is>
          <t>Pasarela</t>
        </is>
      </c>
      <c r="D3" s="7" t="inlineStr">
        <is>
          <t>Moneda</t>
        </is>
      </c>
      <c r="E3" s="7" t="inlineStr">
        <is>
          <t>Ventas(orig)</t>
        </is>
      </c>
      <c r="F3" s="7" t="inlineStr">
        <is>
          <t>Fee(orig)</t>
        </is>
      </c>
      <c r="G3" s="7" t="inlineStr">
        <is>
          <t>Payout(orig)</t>
        </is>
      </c>
      <c r="H3" s="7" t="inlineStr">
        <is>
          <t>Ventas (€)</t>
        </is>
      </c>
      <c r="I3" s="7" t="inlineStr">
        <is>
          <t>Fee (€)</t>
        </is>
      </c>
      <c r="J3" s="7" t="inlineStr">
        <is>
          <t>Payout (€)</t>
        </is>
      </c>
      <c r="K3" s="7" t="inlineStr">
        <is>
          <t>Cobro (€)</t>
        </is>
      </c>
    </row>
    <row r="4">
      <c r="A4" s="8" t="n">
        <v>45922</v>
      </c>
      <c r="B4" t="inlineStr">
        <is>
          <t>2025-W39</t>
        </is>
      </c>
      <c r="C4" t="inlineStr">
        <is>
          <t>Nuvei</t>
        </is>
      </c>
      <c r="D4" t="inlineStr">
        <is>
          <t>EUR</t>
        </is>
      </c>
      <c r="E4" s="9" t="n">
        <v>13.55</v>
      </c>
      <c r="F4" s="9" t="n">
        <v>-0.41</v>
      </c>
      <c r="G4" s="9" t="n">
        <v>0</v>
      </c>
      <c r="H4" s="9">
        <f>IF(D4="USD",E4*$N$1,E4)</f>
        <v/>
      </c>
      <c r="I4" s="9">
        <f>IF(D4="USD",F4*$N$1,F4)</f>
        <v/>
      </c>
      <c r="J4" s="9">
        <f>IF(D4="USD",G4*$N$1,G4)</f>
        <v/>
      </c>
      <c r="K4" s="9">
        <f>H4+I4</f>
        <v/>
      </c>
    </row>
    <row r="5">
      <c r="A5" s="8" t="n">
        <v>45922</v>
      </c>
      <c r="B5" t="inlineStr">
        <is>
          <t>2025-W39</t>
        </is>
      </c>
      <c r="C5" t="inlineStr">
        <is>
          <t>Nuvei</t>
        </is>
      </c>
      <c r="D5" t="inlineStr">
        <is>
          <t>EUR</t>
        </is>
      </c>
      <c r="E5" s="9" t="n">
        <v>-47.2</v>
      </c>
      <c r="F5" s="9" t="n">
        <v>0</v>
      </c>
      <c r="G5" s="9" t="n">
        <v>0</v>
      </c>
      <c r="H5" s="9">
        <f>IF(D5="USD",E5*$N$1,E5)</f>
        <v/>
      </c>
      <c r="I5" s="9">
        <f>IF(D5="USD",F5*$N$1,F5)</f>
        <v/>
      </c>
      <c r="J5" s="9">
        <f>IF(D5="USD",G5*$N$1,G5)</f>
        <v/>
      </c>
      <c r="K5" s="9">
        <f>H5+I5</f>
        <v/>
      </c>
    </row>
    <row r="6">
      <c r="A6" s="8" t="n">
        <v>45923</v>
      </c>
      <c r="B6" t="inlineStr">
        <is>
          <t>2025-W39</t>
        </is>
      </c>
      <c r="C6" t="inlineStr">
        <is>
          <t>Nuvei</t>
        </is>
      </c>
      <c r="D6" t="inlineStr">
        <is>
          <t>EUR</t>
        </is>
      </c>
      <c r="E6" s="9" t="n">
        <v>56724.58</v>
      </c>
      <c r="F6" s="9" t="n">
        <v>-787.1900000000001</v>
      </c>
      <c r="G6" s="9" t="n">
        <v>0</v>
      </c>
      <c r="H6" s="9">
        <f>IF(D6="USD",E6*$N$1,E6)</f>
        <v/>
      </c>
      <c r="I6" s="9">
        <f>IF(D6="USD",F6*$N$1,F6)</f>
        <v/>
      </c>
      <c r="J6" s="9">
        <f>IF(D6="USD",G6*$N$1,G6)</f>
        <v/>
      </c>
      <c r="K6" s="9">
        <f>H6+I6</f>
        <v/>
      </c>
    </row>
    <row r="7">
      <c r="A7" s="8" t="n">
        <v>45923</v>
      </c>
      <c r="B7" t="inlineStr">
        <is>
          <t>2025-W39</t>
        </is>
      </c>
      <c r="C7" t="inlineStr">
        <is>
          <t>Nuvei</t>
        </is>
      </c>
      <c r="D7" t="inlineStr">
        <is>
          <t>EUR</t>
        </is>
      </c>
      <c r="E7" s="9" t="n">
        <v>114.44</v>
      </c>
      <c r="F7" s="9" t="n">
        <v>-1.4564</v>
      </c>
      <c r="G7" s="9" t="n">
        <v>0</v>
      </c>
      <c r="H7" s="9">
        <f>IF(D7="USD",E7*$N$1,E7)</f>
        <v/>
      </c>
      <c r="I7" s="9">
        <f>IF(D7="USD",F7*$N$1,F7)</f>
        <v/>
      </c>
      <c r="J7" s="9">
        <f>IF(D7="USD",G7*$N$1,G7)</f>
        <v/>
      </c>
      <c r="K7" s="9">
        <f>H7+I7</f>
        <v/>
      </c>
    </row>
    <row r="8">
      <c r="A8" s="8" t="n">
        <v>45924</v>
      </c>
      <c r="B8" t="inlineStr">
        <is>
          <t>2025-W39</t>
        </is>
      </c>
      <c r="C8" t="inlineStr">
        <is>
          <t>Nuvei</t>
        </is>
      </c>
      <c r="D8" t="inlineStr">
        <is>
          <t>EUR</t>
        </is>
      </c>
      <c r="E8" s="9" t="n">
        <v>48289.18</v>
      </c>
      <c r="F8" s="9" t="n">
        <v>-567.4400000000001</v>
      </c>
      <c r="G8" s="9" t="n">
        <v>0</v>
      </c>
      <c r="H8" s="9">
        <f>IF(D8="USD",E8*$N$1,E8)</f>
        <v/>
      </c>
      <c r="I8" s="9">
        <f>IF(D8="USD",F8*$N$1,F8)</f>
        <v/>
      </c>
      <c r="J8" s="9">
        <f>IF(D8="USD",G8*$N$1,G8)</f>
        <v/>
      </c>
      <c r="K8" s="9">
        <f>H8+I8</f>
        <v/>
      </c>
    </row>
    <row r="9">
      <c r="A9" s="8" t="n">
        <v>45924</v>
      </c>
      <c r="B9" t="inlineStr">
        <is>
          <t>2025-W39</t>
        </is>
      </c>
      <c r="C9" t="inlineStr">
        <is>
          <t>Nuvei</t>
        </is>
      </c>
      <c r="D9" t="inlineStr">
        <is>
          <t>EUR</t>
        </is>
      </c>
      <c r="E9" s="9" t="n">
        <v>0</v>
      </c>
      <c r="F9" s="9" t="n">
        <v>0</v>
      </c>
      <c r="G9" s="9" t="n">
        <v>0</v>
      </c>
      <c r="H9" s="9">
        <f>IF(D9="USD",E9*$N$1,E9)</f>
        <v/>
      </c>
      <c r="I9" s="9">
        <f>IF(D9="USD",F9*$N$1,F9)</f>
        <v/>
      </c>
      <c r="J9" s="9">
        <f>IF(D9="USD",G9*$N$1,G9)</f>
        <v/>
      </c>
      <c r="K9" s="9">
        <f>H9+I9</f>
        <v/>
      </c>
    </row>
    <row r="10">
      <c r="A10" s="8" t="n">
        <v>45925</v>
      </c>
      <c r="B10" t="inlineStr">
        <is>
          <t>2025-W39</t>
        </is>
      </c>
      <c r="C10" t="inlineStr">
        <is>
          <t>Nuvei</t>
        </is>
      </c>
      <c r="D10" t="inlineStr">
        <is>
          <t>EUR</t>
        </is>
      </c>
      <c r="E10" s="9" t="n">
        <v>235798.38</v>
      </c>
      <c r="F10" s="9" t="n">
        <v>-2724.82</v>
      </c>
      <c r="G10" s="9" t="n">
        <v>0</v>
      </c>
      <c r="H10" s="9">
        <f>IF(D10="USD",E10*$N$1,E10)</f>
        <v/>
      </c>
      <c r="I10" s="9">
        <f>IF(D10="USD",F10*$N$1,F10)</f>
        <v/>
      </c>
      <c r="J10" s="9">
        <f>IF(D10="USD",G10*$N$1,G10)</f>
        <v/>
      </c>
      <c r="K10" s="9">
        <f>H10+I10</f>
        <v/>
      </c>
    </row>
    <row r="11">
      <c r="A11" s="8" t="n">
        <v>45925</v>
      </c>
      <c r="B11" t="inlineStr">
        <is>
          <t>2025-W39</t>
        </is>
      </c>
      <c r="C11" t="inlineStr">
        <is>
          <t>Nuvei</t>
        </is>
      </c>
      <c r="D11" t="inlineStr">
        <is>
          <t>EUR</t>
        </is>
      </c>
      <c r="E11" s="9" t="n">
        <v>103.73</v>
      </c>
      <c r="F11" s="9" t="n">
        <v>-0.4797</v>
      </c>
      <c r="G11" s="9" t="n">
        <v>0</v>
      </c>
      <c r="H11" s="9">
        <f>IF(D11="USD",E11*$N$1,E11)</f>
        <v/>
      </c>
      <c r="I11" s="9">
        <f>IF(D11="USD",F11*$N$1,F11)</f>
        <v/>
      </c>
      <c r="J11" s="9">
        <f>IF(D11="USD",G11*$N$1,G11)</f>
        <v/>
      </c>
      <c r="K11" s="9">
        <f>H11+I11</f>
        <v/>
      </c>
    </row>
    <row r="12">
      <c r="A12" s="8" t="n">
        <v>45926</v>
      </c>
      <c r="B12" t="inlineStr">
        <is>
          <t>2025-W39</t>
        </is>
      </c>
      <c r="C12" t="inlineStr">
        <is>
          <t>Nuvei</t>
        </is>
      </c>
      <c r="D12" t="inlineStr">
        <is>
          <t>EUR</t>
        </is>
      </c>
      <c r="E12" s="9" t="n">
        <v>299439.68</v>
      </c>
      <c r="F12" s="9" t="n">
        <v>-3652.66</v>
      </c>
      <c r="G12" s="9" t="n">
        <v>0</v>
      </c>
      <c r="H12" s="9">
        <f>IF(D12="USD",E12*$N$1,E12)</f>
        <v/>
      </c>
      <c r="I12" s="9">
        <f>IF(D12="USD",F12*$N$1,F12)</f>
        <v/>
      </c>
      <c r="J12" s="9">
        <f>IF(D12="USD",G12*$N$1,G12)</f>
        <v/>
      </c>
      <c r="K12" s="9">
        <f>H12+I12</f>
        <v/>
      </c>
    </row>
    <row r="13">
      <c r="A13" s="8" t="n">
        <v>45926</v>
      </c>
      <c r="B13" t="inlineStr">
        <is>
          <t>2025-W39</t>
        </is>
      </c>
      <c r="C13" t="inlineStr">
        <is>
          <t>Nuvei</t>
        </is>
      </c>
      <c r="D13" t="inlineStr">
        <is>
          <t>EUR</t>
        </is>
      </c>
      <c r="E13" s="9" t="n">
        <v>30</v>
      </c>
      <c r="F13" s="9" t="n">
        <v>-0.172</v>
      </c>
      <c r="G13" s="9" t="n">
        <v>0</v>
      </c>
      <c r="H13" s="9">
        <f>IF(D13="USD",E13*$N$1,E13)</f>
        <v/>
      </c>
      <c r="I13" s="9">
        <f>IF(D13="USD",F13*$N$1,F13)</f>
        <v/>
      </c>
      <c r="J13" s="9">
        <f>IF(D13="USD",G13*$N$1,G13)</f>
        <v/>
      </c>
      <c r="K13" s="9">
        <f>H13+I13</f>
        <v/>
      </c>
    </row>
    <row r="14">
      <c r="A14" s="8" t="n">
        <v>45927</v>
      </c>
      <c r="B14" t="inlineStr">
        <is>
          <t>2025-W39</t>
        </is>
      </c>
      <c r="C14" t="inlineStr">
        <is>
          <t>Nuvei</t>
        </is>
      </c>
      <c r="D14" t="inlineStr">
        <is>
          <t>EUR</t>
        </is>
      </c>
      <c r="E14" s="9" t="n">
        <v>249151.1</v>
      </c>
      <c r="F14" s="9" t="n">
        <v>-2759.62</v>
      </c>
      <c r="G14" s="9" t="n">
        <v>0</v>
      </c>
      <c r="H14" s="9">
        <f>IF(D14="USD",E14*$N$1,E14)</f>
        <v/>
      </c>
      <c r="I14" s="9">
        <f>IF(D14="USD",F14*$N$1,F14)</f>
        <v/>
      </c>
      <c r="J14" s="9">
        <f>IF(D14="USD",G14*$N$1,G14)</f>
        <v/>
      </c>
      <c r="K14" s="9">
        <f>H14+I14</f>
        <v/>
      </c>
    </row>
    <row r="15">
      <c r="A15" s="8" t="n">
        <v>45927</v>
      </c>
      <c r="B15" t="inlineStr">
        <is>
          <t>2025-W39</t>
        </is>
      </c>
      <c r="C15" t="inlineStr">
        <is>
          <t>Nuvei</t>
        </is>
      </c>
      <c r="D15" t="inlineStr">
        <is>
          <t>EUR</t>
        </is>
      </c>
      <c r="E15" s="9" t="n">
        <v>393.36</v>
      </c>
      <c r="F15" s="9" t="n">
        <v>-3.3772</v>
      </c>
      <c r="G15" s="9" t="n">
        <v>0</v>
      </c>
      <c r="H15" s="9">
        <f>IF(D15="USD",E15*$N$1,E15)</f>
        <v/>
      </c>
      <c r="I15" s="9">
        <f>IF(D15="USD",F15*$N$1,F15)</f>
        <v/>
      </c>
      <c r="J15" s="9">
        <f>IF(D15="USD",G15*$N$1,G15)</f>
        <v/>
      </c>
      <c r="K15" s="9">
        <f>H15+I15</f>
        <v/>
      </c>
    </row>
    <row r="16">
      <c r="A16" s="8" t="n">
        <v>45928</v>
      </c>
      <c r="B16" t="inlineStr">
        <is>
          <t>2025-W39</t>
        </is>
      </c>
      <c r="C16" t="inlineStr">
        <is>
          <t>Nuvei</t>
        </is>
      </c>
      <c r="D16" t="inlineStr">
        <is>
          <t>EUR</t>
        </is>
      </c>
      <c r="E16" s="9" t="n">
        <v>330487.59</v>
      </c>
      <c r="F16" s="9" t="n">
        <v>-3528.64</v>
      </c>
      <c r="G16" s="9" t="n">
        <v>0</v>
      </c>
      <c r="H16" s="9">
        <f>IF(D16="USD",E16*$N$1,E16)</f>
        <v/>
      </c>
      <c r="I16" s="9">
        <f>IF(D16="USD",F16*$N$1,F16)</f>
        <v/>
      </c>
      <c r="J16" s="9">
        <f>IF(D16="USD",G16*$N$1,G16)</f>
        <v/>
      </c>
      <c r="K16" s="9">
        <f>H16+I16</f>
        <v/>
      </c>
    </row>
    <row r="17">
      <c r="A17" s="8" t="n">
        <v>45928</v>
      </c>
      <c r="B17" t="inlineStr">
        <is>
          <t>2025-W39</t>
        </is>
      </c>
      <c r="C17" t="inlineStr">
        <is>
          <t>Nuvei</t>
        </is>
      </c>
      <c r="D17" t="inlineStr">
        <is>
          <t>EUR</t>
        </is>
      </c>
      <c r="E17" s="9" t="n">
        <v>65</v>
      </c>
      <c r="F17" s="9" t="n">
        <v>-1.2078</v>
      </c>
      <c r="G17" s="9" t="n">
        <v>0</v>
      </c>
      <c r="H17" s="9">
        <f>IF(D17="USD",E17*$N$1,E17)</f>
        <v/>
      </c>
      <c r="I17" s="9">
        <f>IF(D17="USD",F17*$N$1,F17)</f>
        <v/>
      </c>
      <c r="J17" s="9">
        <f>IF(D17="USD",G17*$N$1,G17)</f>
        <v/>
      </c>
      <c r="K17" s="9">
        <f>H17+I17</f>
        <v/>
      </c>
    </row>
    <row r="18">
      <c r="A18" s="8" t="n">
        <v>45929</v>
      </c>
      <c r="B18" t="inlineStr">
        <is>
          <t>2025-W40</t>
        </is>
      </c>
      <c r="C18" t="inlineStr">
        <is>
          <t>Nuvei</t>
        </is>
      </c>
      <c r="D18" t="inlineStr">
        <is>
          <t>EUR</t>
        </is>
      </c>
      <c r="E18" s="9" t="n">
        <v>356726.9</v>
      </c>
      <c r="F18" s="9" t="n">
        <v>-4196.72</v>
      </c>
      <c r="G18" s="9" t="n">
        <v>0</v>
      </c>
      <c r="H18" s="9">
        <f>IF(D18="USD",E18*$N$1,E18)</f>
        <v/>
      </c>
      <c r="I18" s="9">
        <f>IF(D18="USD",F18*$N$1,F18)</f>
        <v/>
      </c>
      <c r="J18" s="9">
        <f>IF(D18="USD",G18*$N$1,G18)</f>
        <v/>
      </c>
      <c r="K18" s="9">
        <f>H18+I18</f>
        <v/>
      </c>
    </row>
    <row r="19">
      <c r="A19" s="8" t="n">
        <v>45929</v>
      </c>
      <c r="B19" t="inlineStr">
        <is>
          <t>2025-W40</t>
        </is>
      </c>
      <c r="C19" t="inlineStr">
        <is>
          <t>Nuvei</t>
        </is>
      </c>
      <c r="D19" t="inlineStr">
        <is>
          <t>EUR</t>
        </is>
      </c>
      <c r="E19" s="9" t="n">
        <v>171.95</v>
      </c>
      <c r="F19" s="9" t="n">
        <v>-1.1865</v>
      </c>
      <c r="G19" s="9" t="n">
        <v>0</v>
      </c>
      <c r="H19" s="9">
        <f>IF(D19="USD",E19*$N$1,E19)</f>
        <v/>
      </c>
      <c r="I19" s="9">
        <f>IF(D19="USD",F19*$N$1,F19)</f>
        <v/>
      </c>
      <c r="J19" s="9">
        <f>IF(D19="USD",G19*$N$1,G19)</f>
        <v/>
      </c>
      <c r="K19" s="9">
        <f>H19+I19</f>
        <v/>
      </c>
    </row>
    <row r="20">
      <c r="A20" s="8" t="n">
        <v>45930</v>
      </c>
      <c r="B20" t="inlineStr">
        <is>
          <t>2025-W40</t>
        </is>
      </c>
      <c r="C20" t="inlineStr">
        <is>
          <t>Nuvei</t>
        </is>
      </c>
      <c r="D20" t="inlineStr">
        <is>
          <t>EUR</t>
        </is>
      </c>
      <c r="E20" s="9" t="n">
        <v>380297.31</v>
      </c>
      <c r="F20" s="9" t="n">
        <v>-5280.53</v>
      </c>
      <c r="G20" s="9" t="n">
        <v>0</v>
      </c>
      <c r="H20" s="9">
        <f>IF(D20="USD",E20*$N$1,E20)</f>
        <v/>
      </c>
      <c r="I20" s="9">
        <f>IF(D20="USD",F20*$N$1,F20)</f>
        <v/>
      </c>
      <c r="J20" s="9">
        <f>IF(D20="USD",G20*$N$1,G20)</f>
        <v/>
      </c>
      <c r="K20" s="9">
        <f>H20+I20</f>
        <v/>
      </c>
    </row>
    <row r="21">
      <c r="A21" s="8" t="n">
        <v>45930</v>
      </c>
      <c r="B21" t="inlineStr">
        <is>
          <t>2025-W40</t>
        </is>
      </c>
      <c r="C21" t="inlineStr">
        <is>
          <t>Nuvei</t>
        </is>
      </c>
      <c r="D21" t="inlineStr">
        <is>
          <t>EUR</t>
        </is>
      </c>
      <c r="E21" s="9" t="n">
        <v>94.62</v>
      </c>
      <c r="F21" s="9" t="n">
        <v>-0.5522</v>
      </c>
      <c r="G21" s="9" t="n">
        <v>0</v>
      </c>
      <c r="H21" s="9">
        <f>IF(D21="USD",E21*$N$1,E21)</f>
        <v/>
      </c>
      <c r="I21" s="9">
        <f>IF(D21="USD",F21*$N$1,F21)</f>
        <v/>
      </c>
      <c r="J21" s="9">
        <f>IF(D21="USD",G21*$N$1,G21)</f>
        <v/>
      </c>
      <c r="K21" s="9">
        <f>H21+I21</f>
        <v/>
      </c>
    </row>
    <row r="22">
      <c r="A22" s="8" t="n">
        <v>45931</v>
      </c>
      <c r="B22" t="inlineStr">
        <is>
          <t>2025-W40</t>
        </is>
      </c>
      <c r="C22" t="inlineStr">
        <is>
          <t>Nuvei</t>
        </is>
      </c>
      <c r="D22" t="inlineStr">
        <is>
          <t>EUR</t>
        </is>
      </c>
      <c r="E22" s="9" t="n">
        <v>471997.97</v>
      </c>
      <c r="F22" s="9" t="n">
        <v>-5914.22</v>
      </c>
      <c r="G22" s="9" t="n">
        <v>0</v>
      </c>
      <c r="H22" s="9">
        <f>IF(D22="USD",E22*$N$1,E22)</f>
        <v/>
      </c>
      <c r="I22" s="9">
        <f>IF(D22="USD",F22*$N$1,F22)</f>
        <v/>
      </c>
      <c r="J22" s="9">
        <f>IF(D22="USD",G22*$N$1,G22)</f>
        <v/>
      </c>
      <c r="K22" s="9">
        <f>H22+I22</f>
        <v/>
      </c>
    </row>
    <row r="23">
      <c r="A23" s="8" t="n">
        <v>45931</v>
      </c>
      <c r="B23" t="inlineStr">
        <is>
          <t>2025-W40</t>
        </is>
      </c>
      <c r="C23" t="inlineStr">
        <is>
          <t>Nuvei</t>
        </is>
      </c>
      <c r="D23" t="inlineStr">
        <is>
          <t>EUR</t>
        </is>
      </c>
      <c r="E23" s="9" t="n">
        <v>386.57</v>
      </c>
      <c r="F23" s="9" t="n">
        <v>-1.8501</v>
      </c>
      <c r="G23" s="9" t="n">
        <v>0</v>
      </c>
      <c r="H23" s="9">
        <f>IF(D23="USD",E23*$N$1,E23)</f>
        <v/>
      </c>
      <c r="I23" s="9">
        <f>IF(D23="USD",F23*$N$1,F23)</f>
        <v/>
      </c>
      <c r="J23" s="9">
        <f>IF(D23="USD",G23*$N$1,G23)</f>
        <v/>
      </c>
      <c r="K23" s="9">
        <f>H23+I23</f>
        <v/>
      </c>
    </row>
    <row r="24">
      <c r="A24" s="8" t="n">
        <v>45932</v>
      </c>
      <c r="B24" t="inlineStr">
        <is>
          <t>2025-W40</t>
        </is>
      </c>
      <c r="C24" t="inlineStr">
        <is>
          <t>Nuvei</t>
        </is>
      </c>
      <c r="D24" t="inlineStr">
        <is>
          <t>EUR</t>
        </is>
      </c>
      <c r="E24" s="9" t="n">
        <v>405401.49</v>
      </c>
      <c r="F24" s="9" t="n">
        <v>-5211</v>
      </c>
      <c r="G24" s="9" t="n">
        <v>0</v>
      </c>
      <c r="H24" s="9">
        <f>IF(D24="USD",E24*$N$1,E24)</f>
        <v/>
      </c>
      <c r="I24" s="9">
        <f>IF(D24="USD",F24*$N$1,F24)</f>
        <v/>
      </c>
      <c r="J24" s="9">
        <f>IF(D24="USD",G24*$N$1,G24)</f>
        <v/>
      </c>
      <c r="K24" s="9">
        <f>H24+I24</f>
        <v/>
      </c>
    </row>
    <row r="25">
      <c r="A25" s="8" t="n">
        <v>45932</v>
      </c>
      <c r="B25" t="inlineStr">
        <is>
          <t>2025-W40</t>
        </is>
      </c>
      <c r="C25" t="inlineStr">
        <is>
          <t>Nuvei</t>
        </is>
      </c>
      <c r="D25" t="inlineStr">
        <is>
          <t>EUR</t>
        </is>
      </c>
      <c r="E25" s="9" t="n">
        <v>280.17</v>
      </c>
      <c r="F25" s="9" t="n">
        <v>-2.2635</v>
      </c>
      <c r="G25" s="9" t="n">
        <v>0</v>
      </c>
      <c r="H25" s="9">
        <f>IF(D25="USD",E25*$N$1,E25)</f>
        <v/>
      </c>
      <c r="I25" s="9">
        <f>IF(D25="USD",F25*$N$1,F25)</f>
        <v/>
      </c>
      <c r="J25" s="9">
        <f>IF(D25="USD",G25*$N$1,G25)</f>
        <v/>
      </c>
      <c r="K25" s="9">
        <f>H25+I25</f>
        <v/>
      </c>
    </row>
    <row r="26">
      <c r="A26" s="8" t="n">
        <v>45933</v>
      </c>
      <c r="B26" t="inlineStr">
        <is>
          <t>2025-W40</t>
        </is>
      </c>
      <c r="C26" t="inlineStr">
        <is>
          <t>Nuvei</t>
        </is>
      </c>
      <c r="D26" t="inlineStr">
        <is>
          <t>EUR</t>
        </is>
      </c>
      <c r="E26" s="9" t="n">
        <v>362920.41</v>
      </c>
      <c r="F26" s="9" t="n">
        <v>-4540.49</v>
      </c>
      <c r="G26" s="9" t="n">
        <v>0</v>
      </c>
      <c r="H26" s="9">
        <f>IF(D26="USD",E26*$N$1,E26)</f>
        <v/>
      </c>
      <c r="I26" s="9">
        <f>IF(D26="USD",F26*$N$1,F26)</f>
        <v/>
      </c>
      <c r="J26" s="9">
        <f>IF(D26="USD",G26*$N$1,G26)</f>
        <v/>
      </c>
      <c r="K26" s="9">
        <f>H26+I26</f>
        <v/>
      </c>
    </row>
    <row r="27">
      <c r="A27" s="8" t="n">
        <v>45933</v>
      </c>
      <c r="B27" t="inlineStr">
        <is>
          <t>2025-W40</t>
        </is>
      </c>
      <c r="C27" t="inlineStr">
        <is>
          <t>Nuvei</t>
        </is>
      </c>
      <c r="D27" t="inlineStr">
        <is>
          <t>EUR</t>
        </is>
      </c>
      <c r="E27" s="9" t="n">
        <v>298</v>
      </c>
      <c r="F27" s="9" t="n">
        <v>-1.686</v>
      </c>
      <c r="G27" s="9" t="n">
        <v>0</v>
      </c>
      <c r="H27" s="9">
        <f>IF(D27="USD",E27*$N$1,E27)</f>
        <v/>
      </c>
      <c r="I27" s="9">
        <f>IF(D27="USD",F27*$N$1,F27)</f>
        <v/>
      </c>
      <c r="J27" s="9">
        <f>IF(D27="USD",G27*$N$1,G27)</f>
        <v/>
      </c>
      <c r="K27" s="9">
        <f>H27+I27</f>
        <v/>
      </c>
    </row>
    <row r="28">
      <c r="A28" s="8" t="n">
        <v>45934</v>
      </c>
      <c r="B28" t="inlineStr">
        <is>
          <t>2025-W40</t>
        </is>
      </c>
      <c r="C28" t="inlineStr">
        <is>
          <t>Nuvei</t>
        </is>
      </c>
      <c r="D28" t="inlineStr">
        <is>
          <t>EUR</t>
        </is>
      </c>
      <c r="E28" s="9" t="n">
        <v>321117.45</v>
      </c>
      <c r="F28" s="9" t="n">
        <v>-3933.62</v>
      </c>
      <c r="G28" s="9" t="n">
        <v>0</v>
      </c>
      <c r="H28" s="9">
        <f>IF(D28="USD",E28*$N$1,E28)</f>
        <v/>
      </c>
      <c r="I28" s="9">
        <f>IF(D28="USD",F28*$N$1,F28)</f>
        <v/>
      </c>
      <c r="J28" s="9">
        <f>IF(D28="USD",G28*$N$1,G28)</f>
        <v/>
      </c>
      <c r="K28" s="9">
        <f>H28+I28</f>
        <v/>
      </c>
    </row>
    <row r="29">
      <c r="A29" s="8" t="n">
        <v>45934</v>
      </c>
      <c r="B29" t="inlineStr">
        <is>
          <t>2025-W40</t>
        </is>
      </c>
      <c r="C29" t="inlineStr">
        <is>
          <t>Nuvei</t>
        </is>
      </c>
      <c r="D29" t="inlineStr">
        <is>
          <t>EUR</t>
        </is>
      </c>
      <c r="E29" s="9" t="n">
        <v>0</v>
      </c>
      <c r="F29" s="9" t="n">
        <v>0</v>
      </c>
      <c r="G29" s="9" t="n">
        <v>0</v>
      </c>
      <c r="H29" s="9">
        <f>IF(D29="USD",E29*$N$1,E29)</f>
        <v/>
      </c>
      <c r="I29" s="9">
        <f>IF(D29="USD",F29*$N$1,F29)</f>
        <v/>
      </c>
      <c r="J29" s="9">
        <f>IF(D29="USD",G29*$N$1,G29)</f>
        <v/>
      </c>
      <c r="K29" s="9">
        <f>H29+I29</f>
        <v/>
      </c>
    </row>
    <row r="30">
      <c r="A30" s="8" t="n">
        <v>45935</v>
      </c>
      <c r="B30" t="inlineStr">
        <is>
          <t>2025-W40</t>
        </is>
      </c>
      <c r="C30" t="inlineStr">
        <is>
          <t>Nuvei</t>
        </is>
      </c>
      <c r="D30" t="inlineStr">
        <is>
          <t>EUR</t>
        </is>
      </c>
      <c r="E30" s="9" t="n">
        <v>420242.38</v>
      </c>
      <c r="F30" s="9" t="n">
        <v>-5007.01</v>
      </c>
      <c r="G30" s="9" t="n">
        <v>0</v>
      </c>
      <c r="H30" s="9">
        <f>IF(D30="USD",E30*$N$1,E30)</f>
        <v/>
      </c>
      <c r="I30" s="9">
        <f>IF(D30="USD",F30*$N$1,F30)</f>
        <v/>
      </c>
      <c r="J30" s="9">
        <f>IF(D30="USD",G30*$N$1,G30)</f>
        <v/>
      </c>
      <c r="K30" s="9">
        <f>H30+I30</f>
        <v/>
      </c>
    </row>
    <row r="31">
      <c r="A31" s="8" t="n">
        <v>45935</v>
      </c>
      <c r="B31" t="inlineStr">
        <is>
          <t>2025-W40</t>
        </is>
      </c>
      <c r="C31" t="inlineStr">
        <is>
          <t>Nuvei</t>
        </is>
      </c>
      <c r="D31" t="inlineStr">
        <is>
          <t>EUR</t>
        </is>
      </c>
      <c r="E31" s="9" t="n">
        <v>0</v>
      </c>
      <c r="F31" s="9" t="n">
        <v>0</v>
      </c>
      <c r="G31" s="9" t="n">
        <v>0</v>
      </c>
      <c r="H31" s="9">
        <f>IF(D31="USD",E31*$N$1,E31)</f>
        <v/>
      </c>
      <c r="I31" s="9">
        <f>IF(D31="USD",F31*$N$1,F31)</f>
        <v/>
      </c>
      <c r="J31" s="9">
        <f>IF(D31="USD",G31*$N$1,G31)</f>
        <v/>
      </c>
      <c r="K31" s="9">
        <f>H31+I31</f>
        <v/>
      </c>
    </row>
    <row r="32">
      <c r="A32" s="8" t="n">
        <v>45936</v>
      </c>
      <c r="B32" t="inlineStr">
        <is>
          <t>2025-W41</t>
        </is>
      </c>
      <c r="C32" t="inlineStr">
        <is>
          <t>Nuvei</t>
        </is>
      </c>
      <c r="D32" t="inlineStr">
        <is>
          <t>EUR</t>
        </is>
      </c>
      <c r="E32" s="9" t="n">
        <v>395492.84</v>
      </c>
      <c r="F32" s="9" t="n">
        <v>-4910.55</v>
      </c>
      <c r="G32" s="9" t="n">
        <v>0</v>
      </c>
      <c r="H32" s="9">
        <f>IF(D32="USD",E32*$N$1,E32)</f>
        <v/>
      </c>
      <c r="I32" s="9">
        <f>IF(D32="USD",F32*$N$1,F32)</f>
        <v/>
      </c>
      <c r="J32" s="9">
        <f>IF(D32="USD",G32*$N$1,G32)</f>
        <v/>
      </c>
      <c r="K32" s="9">
        <f>H32+I32</f>
        <v/>
      </c>
    </row>
    <row r="33">
      <c r="A33" s="8" t="n">
        <v>45936</v>
      </c>
      <c r="B33" t="inlineStr">
        <is>
          <t>2025-W41</t>
        </is>
      </c>
      <c r="C33" t="inlineStr">
        <is>
          <t>Nuvei</t>
        </is>
      </c>
      <c r="D33" t="inlineStr">
        <is>
          <t>EUR</t>
        </is>
      </c>
      <c r="E33" s="9" t="n">
        <v>0</v>
      </c>
      <c r="F33" s="9" t="n">
        <v>0</v>
      </c>
      <c r="G33" s="9" t="n">
        <v>0</v>
      </c>
      <c r="H33" s="9">
        <f>IF(D33="USD",E33*$N$1,E33)</f>
        <v/>
      </c>
      <c r="I33" s="9">
        <f>IF(D33="USD",F33*$N$1,F33)</f>
        <v/>
      </c>
      <c r="J33" s="9">
        <f>IF(D33="USD",G33*$N$1,G33)</f>
        <v/>
      </c>
      <c r="K33" s="9">
        <f>H33+I33</f>
        <v/>
      </c>
    </row>
    <row r="34">
      <c r="A34" s="8" t="n">
        <v>45937</v>
      </c>
      <c r="B34" t="inlineStr">
        <is>
          <t>2025-W41</t>
        </is>
      </c>
      <c r="C34" t="inlineStr">
        <is>
          <t>Nuvei</t>
        </is>
      </c>
      <c r="D34" t="inlineStr">
        <is>
          <t>EUR</t>
        </is>
      </c>
      <c r="E34" s="9" t="n">
        <v>404146.78</v>
      </c>
      <c r="F34" s="9" t="n">
        <v>-5129.3</v>
      </c>
      <c r="G34" s="9" t="n">
        <v>0</v>
      </c>
      <c r="H34" s="9">
        <f>IF(D34="USD",E34*$N$1,E34)</f>
        <v/>
      </c>
      <c r="I34" s="9">
        <f>IF(D34="USD",F34*$N$1,F34)</f>
        <v/>
      </c>
      <c r="J34" s="9">
        <f>IF(D34="USD",G34*$N$1,G34)</f>
        <v/>
      </c>
      <c r="K34" s="9">
        <f>H34+I34</f>
        <v/>
      </c>
    </row>
    <row r="35">
      <c r="A35" s="8" t="n">
        <v>45937</v>
      </c>
      <c r="B35" t="inlineStr">
        <is>
          <t>2025-W41</t>
        </is>
      </c>
      <c r="C35" t="inlineStr">
        <is>
          <t>Nuvei</t>
        </is>
      </c>
      <c r="D35" t="inlineStr">
        <is>
          <t>EUR</t>
        </is>
      </c>
      <c r="E35" s="9" t="n">
        <v>66.81999999999999</v>
      </c>
      <c r="F35" s="9" t="n">
        <v>-0.294</v>
      </c>
      <c r="G35" s="9" t="n">
        <v>0</v>
      </c>
      <c r="H35" s="9">
        <f>IF(D35="USD",E35*$N$1,E35)</f>
        <v/>
      </c>
      <c r="I35" s="9">
        <f>IF(D35="USD",F35*$N$1,F35)</f>
        <v/>
      </c>
      <c r="J35" s="9">
        <f>IF(D35="USD",G35*$N$1,G35)</f>
        <v/>
      </c>
      <c r="K35" s="9">
        <f>H35+I35</f>
        <v/>
      </c>
    </row>
    <row r="36">
      <c r="A36" s="8" t="n">
        <v>45938</v>
      </c>
      <c r="B36" t="inlineStr">
        <is>
          <t>2025-W41</t>
        </is>
      </c>
      <c r="C36" t="inlineStr">
        <is>
          <t>Nuvei</t>
        </is>
      </c>
      <c r="D36" t="inlineStr">
        <is>
          <t>EUR</t>
        </is>
      </c>
      <c r="E36" s="9" t="n">
        <v>435279.63</v>
      </c>
      <c r="F36" s="9" t="n">
        <v>-5637.15</v>
      </c>
      <c r="G36" s="9" t="n">
        <v>0</v>
      </c>
      <c r="H36" s="9">
        <f>IF(D36="USD",E36*$N$1,E36)</f>
        <v/>
      </c>
      <c r="I36" s="9">
        <f>IF(D36="USD",F36*$N$1,F36)</f>
        <v/>
      </c>
      <c r="J36" s="9">
        <f>IF(D36="USD",G36*$N$1,G36)</f>
        <v/>
      </c>
      <c r="K36" s="9">
        <f>H36+I36</f>
        <v/>
      </c>
    </row>
    <row r="37">
      <c r="A37" s="8" t="n">
        <v>45938</v>
      </c>
      <c r="B37" t="inlineStr">
        <is>
          <t>2025-W41</t>
        </is>
      </c>
      <c r="C37" t="inlineStr">
        <is>
          <t>Nuvei</t>
        </is>
      </c>
      <c r="D37" t="inlineStr">
        <is>
          <t>EUR</t>
        </is>
      </c>
      <c r="E37" s="9" t="n">
        <v>30</v>
      </c>
      <c r="F37" s="9" t="n">
        <v>-0.1383</v>
      </c>
      <c r="G37" s="9" t="n">
        <v>0</v>
      </c>
      <c r="H37" s="9">
        <f>IF(D37="USD",E37*$N$1,E37)</f>
        <v/>
      </c>
      <c r="I37" s="9">
        <f>IF(D37="USD",F37*$N$1,F37)</f>
        <v/>
      </c>
      <c r="J37" s="9">
        <f>IF(D37="USD",G37*$N$1,G37)</f>
        <v/>
      </c>
      <c r="K37" s="9">
        <f>H37+I37</f>
        <v/>
      </c>
    </row>
    <row r="38">
      <c r="A38" s="8" t="n">
        <v>45939</v>
      </c>
      <c r="B38" t="inlineStr">
        <is>
          <t>2025-W41</t>
        </is>
      </c>
      <c r="C38" t="inlineStr">
        <is>
          <t>Nuvei</t>
        </is>
      </c>
      <c r="D38" t="inlineStr">
        <is>
          <t>EUR</t>
        </is>
      </c>
      <c r="E38" s="9" t="n">
        <v>0</v>
      </c>
      <c r="F38" s="9" t="n">
        <v>0</v>
      </c>
      <c r="G38" s="9" t="n">
        <v>-1933430.27</v>
      </c>
      <c r="H38" s="9">
        <f>IF(D38="USD",E38*$N$1,E38)</f>
        <v/>
      </c>
      <c r="I38" s="9">
        <f>IF(D38="USD",F38*$N$1,F38)</f>
        <v/>
      </c>
      <c r="J38" s="9">
        <f>IF(D38="USD",G38*$N$1,G38)</f>
        <v/>
      </c>
      <c r="K38" s="9">
        <f>H38+I38</f>
        <v/>
      </c>
    </row>
    <row r="39">
      <c r="A39" s="8" t="n">
        <v>45939</v>
      </c>
      <c r="B39" t="inlineStr">
        <is>
          <t>2025-W41</t>
        </is>
      </c>
      <c r="C39" t="inlineStr">
        <is>
          <t>Nuvei</t>
        </is>
      </c>
      <c r="D39" t="inlineStr">
        <is>
          <t>EUR</t>
        </is>
      </c>
      <c r="E39" s="9" t="n">
        <v>385461.68</v>
      </c>
      <c r="F39" s="9" t="n">
        <v>-5189.19</v>
      </c>
      <c r="G39" s="9" t="n">
        <v>0</v>
      </c>
      <c r="H39" s="9">
        <f>IF(D39="USD",E39*$N$1,E39)</f>
        <v/>
      </c>
      <c r="I39" s="9">
        <f>IF(D39="USD",F39*$N$1,F39)</f>
        <v/>
      </c>
      <c r="J39" s="9">
        <f>IF(D39="USD",G39*$N$1,G39)</f>
        <v/>
      </c>
      <c r="K39" s="9">
        <f>H39+I39</f>
        <v/>
      </c>
    </row>
    <row r="40">
      <c r="A40" s="8" t="n">
        <v>45939</v>
      </c>
      <c r="B40" t="inlineStr">
        <is>
          <t>2025-W41</t>
        </is>
      </c>
      <c r="C40" t="inlineStr">
        <is>
          <t>Nuvei</t>
        </is>
      </c>
      <c r="D40" t="inlineStr">
        <is>
          <t>EUR</t>
        </is>
      </c>
      <c r="E40" s="9" t="n">
        <v>60</v>
      </c>
      <c r="F40" s="9" t="n">
        <v>-0.7095</v>
      </c>
      <c r="G40" s="9" t="n">
        <v>0</v>
      </c>
      <c r="H40" s="9">
        <f>IF(D40="USD",E40*$N$1,E40)</f>
        <v/>
      </c>
      <c r="I40" s="9">
        <f>IF(D40="USD",F40*$N$1,F40)</f>
        <v/>
      </c>
      <c r="J40" s="9">
        <f>IF(D40="USD",G40*$N$1,G40)</f>
        <v/>
      </c>
      <c r="K40" s="9">
        <f>H40+I40</f>
        <v/>
      </c>
    </row>
    <row r="41">
      <c r="A41" s="8" t="n">
        <v>45940</v>
      </c>
      <c r="B41" t="inlineStr">
        <is>
          <t>2025-W41</t>
        </is>
      </c>
      <c r="C41" t="inlineStr">
        <is>
          <t>Nuvei</t>
        </is>
      </c>
      <c r="D41" t="inlineStr">
        <is>
          <t>EUR</t>
        </is>
      </c>
      <c r="E41" s="9" t="n">
        <v>371129.06</v>
      </c>
      <c r="F41" s="9" t="n">
        <v>-4876.81</v>
      </c>
      <c r="G41" s="9" t="n">
        <v>0</v>
      </c>
      <c r="H41" s="9">
        <f>IF(D41="USD",E41*$N$1,E41)</f>
        <v/>
      </c>
      <c r="I41" s="9">
        <f>IF(D41="USD",F41*$N$1,F41)</f>
        <v/>
      </c>
      <c r="J41" s="9">
        <f>IF(D41="USD",G41*$N$1,G41)</f>
        <v/>
      </c>
      <c r="K41" s="9">
        <f>H41+I41</f>
        <v/>
      </c>
    </row>
    <row r="42">
      <c r="A42" s="8" t="n">
        <v>45940</v>
      </c>
      <c r="B42" t="inlineStr">
        <is>
          <t>2025-W41</t>
        </is>
      </c>
      <c r="C42" t="inlineStr">
        <is>
          <t>Nuvei</t>
        </is>
      </c>
      <c r="D42" t="inlineStr">
        <is>
          <t>EUR</t>
        </is>
      </c>
      <c r="E42" s="9" t="n">
        <v>272.37</v>
      </c>
      <c r="F42" s="9" t="n">
        <v>-3.8316</v>
      </c>
      <c r="G42" s="9" t="n">
        <v>0</v>
      </c>
      <c r="H42" s="9">
        <f>IF(D42="USD",E42*$N$1,E42)</f>
        <v/>
      </c>
      <c r="I42" s="9">
        <f>IF(D42="USD",F42*$N$1,F42)</f>
        <v/>
      </c>
      <c r="J42" s="9">
        <f>IF(D42="USD",G42*$N$1,G42)</f>
        <v/>
      </c>
      <c r="K42" s="9">
        <f>H42+I42</f>
        <v/>
      </c>
    </row>
    <row r="43">
      <c r="A43" s="8" t="n">
        <v>45941</v>
      </c>
      <c r="B43" t="inlineStr">
        <is>
          <t>2025-W41</t>
        </is>
      </c>
      <c r="C43" t="inlineStr">
        <is>
          <t>Nuvei</t>
        </is>
      </c>
      <c r="D43" t="inlineStr">
        <is>
          <t>EUR</t>
        </is>
      </c>
      <c r="E43" s="9" t="n">
        <v>300697.54</v>
      </c>
      <c r="F43" s="9" t="n">
        <v>-3791.2</v>
      </c>
      <c r="G43" s="9" t="n">
        <v>0</v>
      </c>
      <c r="H43" s="9">
        <f>IF(D43="USD",E43*$N$1,E43)</f>
        <v/>
      </c>
      <c r="I43" s="9">
        <f>IF(D43="USD",F43*$N$1,F43)</f>
        <v/>
      </c>
      <c r="J43" s="9">
        <f>IF(D43="USD",G43*$N$1,G43)</f>
        <v/>
      </c>
      <c r="K43" s="9">
        <f>H43+I43</f>
        <v/>
      </c>
    </row>
    <row r="44">
      <c r="A44" s="8" t="n">
        <v>45941</v>
      </c>
      <c r="B44" t="inlineStr">
        <is>
          <t>2025-W41</t>
        </is>
      </c>
      <c r="C44" t="inlineStr">
        <is>
          <t>Nuvei</t>
        </is>
      </c>
      <c r="D44" t="inlineStr">
        <is>
          <t>EUR</t>
        </is>
      </c>
      <c r="E44" s="9" t="n">
        <v>41.12</v>
      </c>
      <c r="F44" s="9" t="n">
        <v>-0.2286</v>
      </c>
      <c r="G44" s="9" t="n">
        <v>0</v>
      </c>
      <c r="H44" s="9">
        <f>IF(D44="USD",E44*$N$1,E44)</f>
        <v/>
      </c>
      <c r="I44" s="9">
        <f>IF(D44="USD",F44*$N$1,F44)</f>
        <v/>
      </c>
      <c r="J44" s="9">
        <f>IF(D44="USD",G44*$N$1,G44)</f>
        <v/>
      </c>
      <c r="K44" s="9">
        <f>H44+I44</f>
        <v/>
      </c>
    </row>
    <row r="45">
      <c r="A45" s="8" t="n">
        <v>45942</v>
      </c>
      <c r="B45" t="inlineStr">
        <is>
          <t>2025-W41</t>
        </is>
      </c>
      <c r="C45" t="inlineStr">
        <is>
          <t>Nuvei</t>
        </is>
      </c>
      <c r="D45" t="inlineStr">
        <is>
          <t>EUR</t>
        </is>
      </c>
      <c r="E45" s="9" t="n">
        <v>381829.88</v>
      </c>
      <c r="F45" s="9" t="n">
        <v>-4506.64</v>
      </c>
      <c r="G45" s="9" t="n">
        <v>0</v>
      </c>
      <c r="H45" s="9">
        <f>IF(D45="USD",E45*$N$1,E45)</f>
        <v/>
      </c>
      <c r="I45" s="9">
        <f>IF(D45="USD",F45*$N$1,F45)</f>
        <v/>
      </c>
      <c r="J45" s="9">
        <f>IF(D45="USD",G45*$N$1,G45)</f>
        <v/>
      </c>
      <c r="K45" s="9">
        <f>H45+I45</f>
        <v/>
      </c>
    </row>
    <row r="46">
      <c r="A46" s="8" t="n">
        <v>45942</v>
      </c>
      <c r="B46" t="inlineStr">
        <is>
          <t>2025-W41</t>
        </is>
      </c>
      <c r="C46" t="inlineStr">
        <is>
          <t>Nuvei</t>
        </is>
      </c>
      <c r="D46" t="inlineStr">
        <is>
          <t>EUR</t>
        </is>
      </c>
      <c r="E46" s="9" t="n">
        <v>155</v>
      </c>
      <c r="F46" s="9" t="n">
        <v>-0.8597</v>
      </c>
      <c r="G46" s="9" t="n">
        <v>0</v>
      </c>
      <c r="H46" s="9">
        <f>IF(D46="USD",E46*$N$1,E46)</f>
        <v/>
      </c>
      <c r="I46" s="9">
        <f>IF(D46="USD",F46*$N$1,F46)</f>
        <v/>
      </c>
      <c r="J46" s="9">
        <f>IF(D46="USD",G46*$N$1,G46)</f>
        <v/>
      </c>
      <c r="K46" s="9">
        <f>H46+I46</f>
        <v/>
      </c>
    </row>
    <row r="47">
      <c r="A47" s="8" t="n">
        <v>45943</v>
      </c>
      <c r="B47" t="inlineStr">
        <is>
          <t>2025-W42</t>
        </is>
      </c>
      <c r="C47" t="inlineStr">
        <is>
          <t>Nuvei</t>
        </is>
      </c>
      <c r="D47" t="inlineStr">
        <is>
          <t>EUR</t>
        </is>
      </c>
      <c r="E47" s="9" t="n">
        <v>379092.38</v>
      </c>
      <c r="F47" s="9" t="n">
        <v>-4676.47</v>
      </c>
      <c r="G47" s="9" t="n">
        <v>0</v>
      </c>
      <c r="H47" s="9">
        <f>IF(D47="USD",E47*$N$1,E47)</f>
        <v/>
      </c>
      <c r="I47" s="9">
        <f>IF(D47="USD",F47*$N$1,F47)</f>
        <v/>
      </c>
      <c r="J47" s="9">
        <f>IF(D47="USD",G47*$N$1,G47)</f>
        <v/>
      </c>
      <c r="K47" s="9">
        <f>H47+I47</f>
        <v/>
      </c>
    </row>
    <row r="48">
      <c r="A48" s="8" t="n">
        <v>45943</v>
      </c>
      <c r="B48" t="inlineStr">
        <is>
          <t>2025-W42</t>
        </is>
      </c>
      <c r="C48" t="inlineStr">
        <is>
          <t>Nuvei</t>
        </is>
      </c>
      <c r="D48" t="inlineStr">
        <is>
          <t>EUR</t>
        </is>
      </c>
      <c r="E48" s="9" t="n">
        <v>2228.14</v>
      </c>
      <c r="F48" s="9" t="n">
        <v>-62.84</v>
      </c>
      <c r="G48" s="9" t="n">
        <v>0</v>
      </c>
      <c r="H48" s="9">
        <f>IF(D48="USD",E48*$N$1,E48)</f>
        <v/>
      </c>
      <c r="I48" s="9">
        <f>IF(D48="USD",F48*$N$1,F48)</f>
        <v/>
      </c>
      <c r="J48" s="9">
        <f>IF(D48="USD",G48*$N$1,G48)</f>
        <v/>
      </c>
      <c r="K48" s="9">
        <f>H48+I48</f>
        <v/>
      </c>
    </row>
    <row r="49">
      <c r="A49" s="8" t="n">
        <v>45944</v>
      </c>
      <c r="B49" t="inlineStr">
        <is>
          <t>2025-W42</t>
        </is>
      </c>
      <c r="C49" t="inlineStr">
        <is>
          <t>Nuvei</t>
        </is>
      </c>
      <c r="D49" t="inlineStr">
        <is>
          <t>EUR</t>
        </is>
      </c>
      <c r="E49" s="9" t="n">
        <v>454916.59</v>
      </c>
      <c r="F49" s="9" t="n">
        <v>-6121.36</v>
      </c>
      <c r="G49" s="9" t="n">
        <v>0</v>
      </c>
      <c r="H49" s="9">
        <f>IF(D49="USD",E49*$N$1,E49)</f>
        <v/>
      </c>
      <c r="I49" s="9">
        <f>IF(D49="USD",F49*$N$1,F49)</f>
        <v/>
      </c>
      <c r="J49" s="9">
        <f>IF(D49="USD",G49*$N$1,G49)</f>
        <v/>
      </c>
      <c r="K49" s="9">
        <f>H49+I49</f>
        <v/>
      </c>
    </row>
    <row r="50">
      <c r="A50" s="8" t="n">
        <v>45944</v>
      </c>
      <c r="B50" t="inlineStr">
        <is>
          <t>2025-W42</t>
        </is>
      </c>
      <c r="C50" t="inlineStr">
        <is>
          <t>Nuvei</t>
        </is>
      </c>
      <c r="D50" t="inlineStr">
        <is>
          <t>EUR</t>
        </is>
      </c>
      <c r="E50" s="9" t="n">
        <v>16624.58</v>
      </c>
      <c r="F50" s="9" t="n">
        <v>-453.57</v>
      </c>
      <c r="G50" s="9" t="n">
        <v>0</v>
      </c>
      <c r="H50" s="9">
        <f>IF(D50="USD",E50*$N$1,E50)</f>
        <v/>
      </c>
      <c r="I50" s="9">
        <f>IF(D50="USD",F50*$N$1,F50)</f>
        <v/>
      </c>
      <c r="J50" s="9">
        <f>IF(D50="USD",G50*$N$1,G50)</f>
        <v/>
      </c>
      <c r="K50" s="9">
        <f>H50+I50</f>
        <v/>
      </c>
    </row>
    <row r="51">
      <c r="A51" s="8" t="n">
        <v>45945</v>
      </c>
      <c r="B51" t="inlineStr">
        <is>
          <t>2025-W42</t>
        </is>
      </c>
      <c r="C51" t="inlineStr">
        <is>
          <t>Nuvei</t>
        </is>
      </c>
      <c r="D51" t="inlineStr">
        <is>
          <t>EUR</t>
        </is>
      </c>
      <c r="E51" s="9" t="n">
        <v>412805.26</v>
      </c>
      <c r="F51" s="9" t="n">
        <v>-5265.08</v>
      </c>
      <c r="G51" s="9" t="n">
        <v>0</v>
      </c>
      <c r="H51" s="9">
        <f>IF(D51="USD",E51*$N$1,E51)</f>
        <v/>
      </c>
      <c r="I51" s="9">
        <f>IF(D51="USD",F51*$N$1,F51)</f>
        <v/>
      </c>
      <c r="J51" s="9">
        <f>IF(D51="USD",G51*$N$1,G51)</f>
        <v/>
      </c>
      <c r="K51" s="9">
        <f>H51+I51</f>
        <v/>
      </c>
    </row>
    <row r="52">
      <c r="A52" s="8" t="n">
        <v>45945</v>
      </c>
      <c r="B52" t="inlineStr">
        <is>
          <t>2025-W42</t>
        </is>
      </c>
      <c r="C52" t="inlineStr">
        <is>
          <t>Nuvei</t>
        </is>
      </c>
      <c r="D52" t="inlineStr">
        <is>
          <t>EUR</t>
        </is>
      </c>
      <c r="E52" s="9" t="n">
        <v>35237.93</v>
      </c>
      <c r="F52" s="9" t="n">
        <v>-988.91</v>
      </c>
      <c r="G52" s="9" t="n">
        <v>0</v>
      </c>
      <c r="H52" s="9">
        <f>IF(D52="USD",E52*$N$1,E52)</f>
        <v/>
      </c>
      <c r="I52" s="9">
        <f>IF(D52="USD",F52*$N$1,F52)</f>
        <v/>
      </c>
      <c r="J52" s="9">
        <f>IF(D52="USD",G52*$N$1,G52)</f>
        <v/>
      </c>
      <c r="K52" s="9">
        <f>H52+I52</f>
        <v/>
      </c>
    </row>
    <row r="53">
      <c r="A53" s="8" t="n">
        <v>45946</v>
      </c>
      <c r="B53" t="inlineStr">
        <is>
          <t>2025-W42</t>
        </is>
      </c>
      <c r="C53" t="inlineStr">
        <is>
          <t>Nuvei</t>
        </is>
      </c>
      <c r="D53" t="inlineStr">
        <is>
          <t>EUR</t>
        </is>
      </c>
      <c r="E53" s="9" t="n">
        <v>0</v>
      </c>
      <c r="F53" s="9" t="n">
        <v>0</v>
      </c>
      <c r="G53" s="9" t="n">
        <v>-2347652.27</v>
      </c>
      <c r="H53" s="9">
        <f>IF(D53="USD",E53*$N$1,E53)</f>
        <v/>
      </c>
      <c r="I53" s="9">
        <f>IF(D53="USD",F53*$N$1,F53)</f>
        <v/>
      </c>
      <c r="J53" s="9">
        <f>IF(D53="USD",G53*$N$1,G53)</f>
        <v/>
      </c>
      <c r="K53" s="9">
        <f>H53+I53</f>
        <v/>
      </c>
    </row>
    <row r="54">
      <c r="A54" s="8" t="n">
        <v>45946</v>
      </c>
      <c r="B54" t="inlineStr">
        <is>
          <t>2025-W42</t>
        </is>
      </c>
      <c r="C54" t="inlineStr">
        <is>
          <t>Nuvei</t>
        </is>
      </c>
      <c r="D54" t="inlineStr">
        <is>
          <t>EUR</t>
        </is>
      </c>
      <c r="E54" s="9" t="n">
        <v>0</v>
      </c>
      <c r="F54" s="9" t="n">
        <v>0</v>
      </c>
      <c r="G54" s="9" t="n">
        <v>-2623826.72</v>
      </c>
      <c r="H54" s="9">
        <f>IF(D54="USD",E54*$N$1,E54)</f>
        <v/>
      </c>
      <c r="I54" s="9">
        <f>IF(D54="USD",F54*$N$1,F54)</f>
        <v/>
      </c>
      <c r="J54" s="9">
        <f>IF(D54="USD",G54*$N$1,G54)</f>
        <v/>
      </c>
      <c r="K54" s="9">
        <f>H54+I54</f>
        <v/>
      </c>
    </row>
    <row r="55">
      <c r="A55" s="8" t="n">
        <v>45946</v>
      </c>
      <c r="B55" t="inlineStr">
        <is>
          <t>2025-W42</t>
        </is>
      </c>
      <c r="C55" t="inlineStr">
        <is>
          <t>Nuvei</t>
        </is>
      </c>
      <c r="D55" t="inlineStr">
        <is>
          <t>EUR</t>
        </is>
      </c>
      <c r="E55" s="9" t="n">
        <v>296497.01</v>
      </c>
      <c r="F55" s="9" t="n">
        <v>-4444.39</v>
      </c>
      <c r="G55" s="9" t="n">
        <v>0</v>
      </c>
      <c r="H55" s="9">
        <f>IF(D55="USD",E55*$N$1,E55)</f>
        <v/>
      </c>
      <c r="I55" s="9">
        <f>IF(D55="USD",F55*$N$1,F55)</f>
        <v/>
      </c>
      <c r="J55" s="9">
        <f>IF(D55="USD",G55*$N$1,G55)</f>
        <v/>
      </c>
      <c r="K55" s="9">
        <f>H55+I55</f>
        <v/>
      </c>
    </row>
    <row r="56">
      <c r="A56" s="8" t="n">
        <v>45946</v>
      </c>
      <c r="B56" t="inlineStr">
        <is>
          <t>2025-W42</t>
        </is>
      </c>
      <c r="C56" t="inlineStr">
        <is>
          <t>Nuvei</t>
        </is>
      </c>
      <c r="D56" t="inlineStr">
        <is>
          <t>EUR</t>
        </is>
      </c>
      <c r="E56" s="9" t="n">
        <v>27936.82</v>
      </c>
      <c r="F56" s="9" t="n">
        <v>-780.72</v>
      </c>
      <c r="G56" s="9" t="n">
        <v>0</v>
      </c>
      <c r="H56" s="9">
        <f>IF(D56="USD",E56*$N$1,E56)</f>
        <v/>
      </c>
      <c r="I56" s="9">
        <f>IF(D56="USD",F56*$N$1,F56)</f>
        <v/>
      </c>
      <c r="J56" s="9">
        <f>IF(D56="USD",G56*$N$1,G56)</f>
        <v/>
      </c>
      <c r="K56" s="9">
        <f>H56+I56</f>
        <v/>
      </c>
    </row>
    <row r="57">
      <c r="A57" s="8" t="n">
        <v>45947</v>
      </c>
      <c r="B57" t="inlineStr">
        <is>
          <t>2025-W42</t>
        </is>
      </c>
      <c r="C57" t="inlineStr">
        <is>
          <t>Nuvei</t>
        </is>
      </c>
      <c r="D57" t="inlineStr">
        <is>
          <t>EUR</t>
        </is>
      </c>
      <c r="E57" s="9" t="n">
        <v>270544.88</v>
      </c>
      <c r="F57" s="9" t="n">
        <v>-3978.45</v>
      </c>
      <c r="G57" s="9" t="n">
        <v>0</v>
      </c>
      <c r="H57" s="9">
        <f>IF(D57="USD",E57*$N$1,E57)</f>
        <v/>
      </c>
      <c r="I57" s="9">
        <f>IF(D57="USD",F57*$N$1,F57)</f>
        <v/>
      </c>
      <c r="J57" s="9">
        <f>IF(D57="USD",G57*$N$1,G57)</f>
        <v/>
      </c>
      <c r="K57" s="9">
        <f>H57+I57</f>
        <v/>
      </c>
    </row>
    <row r="58">
      <c r="A58" s="8" t="n">
        <v>45947</v>
      </c>
      <c r="B58" t="inlineStr">
        <is>
          <t>2025-W42</t>
        </is>
      </c>
      <c r="C58" t="inlineStr">
        <is>
          <t>Nuvei</t>
        </is>
      </c>
      <c r="D58" t="inlineStr">
        <is>
          <t>EUR</t>
        </is>
      </c>
      <c r="E58" s="9" t="n">
        <v>17119.65</v>
      </c>
      <c r="F58" s="9" t="n">
        <v>-467</v>
      </c>
      <c r="G58" s="9" t="n">
        <v>0</v>
      </c>
      <c r="H58" s="9">
        <f>IF(D58="USD",E58*$N$1,E58)</f>
        <v/>
      </c>
      <c r="I58" s="9">
        <f>IF(D58="USD",F58*$N$1,F58)</f>
        <v/>
      </c>
      <c r="J58" s="9">
        <f>IF(D58="USD",G58*$N$1,G58)</f>
        <v/>
      </c>
      <c r="K58" s="9">
        <f>H58+I58</f>
        <v/>
      </c>
    </row>
    <row r="59">
      <c r="A59" s="8" t="n">
        <v>45948</v>
      </c>
      <c r="B59" t="inlineStr">
        <is>
          <t>2025-W42</t>
        </is>
      </c>
      <c r="C59" t="inlineStr">
        <is>
          <t>Nuvei</t>
        </is>
      </c>
      <c r="D59" t="inlineStr">
        <is>
          <t>EUR</t>
        </is>
      </c>
      <c r="E59" s="9" t="n">
        <v>328457.75</v>
      </c>
      <c r="F59" s="9" t="n">
        <v>-4025.25</v>
      </c>
      <c r="G59" s="9" t="n">
        <v>0</v>
      </c>
      <c r="H59" s="9">
        <f>IF(D59="USD",E59*$N$1,E59)</f>
        <v/>
      </c>
      <c r="I59" s="9">
        <f>IF(D59="USD",F59*$N$1,F59)</f>
        <v/>
      </c>
      <c r="J59" s="9">
        <f>IF(D59="USD",G59*$N$1,G59)</f>
        <v/>
      </c>
      <c r="K59" s="9">
        <f>H59+I59</f>
        <v/>
      </c>
    </row>
    <row r="60">
      <c r="A60" s="8" t="n">
        <v>45948</v>
      </c>
      <c r="B60" t="inlineStr">
        <is>
          <t>2025-W42</t>
        </is>
      </c>
      <c r="C60" t="inlineStr">
        <is>
          <t>Nuvei</t>
        </is>
      </c>
      <c r="D60" t="inlineStr">
        <is>
          <t>EUR</t>
        </is>
      </c>
      <c r="E60" s="9" t="n">
        <v>8616.459999999999</v>
      </c>
      <c r="F60" s="9" t="n">
        <v>-234.38</v>
      </c>
      <c r="G60" s="9" t="n">
        <v>0</v>
      </c>
      <c r="H60" s="9">
        <f>IF(D60="USD",E60*$N$1,E60)</f>
        <v/>
      </c>
      <c r="I60" s="9">
        <f>IF(D60="USD",F60*$N$1,F60)</f>
        <v/>
      </c>
      <c r="J60" s="9">
        <f>IF(D60="USD",G60*$N$1,G60)</f>
        <v/>
      </c>
      <c r="K60" s="9">
        <f>H60+I60</f>
        <v/>
      </c>
    </row>
    <row r="61">
      <c r="A61" s="8" t="n">
        <v>45949</v>
      </c>
      <c r="B61" t="inlineStr">
        <is>
          <t>2025-W42</t>
        </is>
      </c>
      <c r="C61" t="inlineStr">
        <is>
          <t>Nuvei</t>
        </is>
      </c>
      <c r="D61" t="inlineStr">
        <is>
          <t>EUR</t>
        </is>
      </c>
      <c r="E61" s="9" t="n">
        <v>420963.91</v>
      </c>
      <c r="F61" s="9" t="n">
        <v>-4788.39</v>
      </c>
      <c r="G61" s="9" t="n">
        <v>0</v>
      </c>
      <c r="H61" s="9">
        <f>IF(D61="USD",E61*$N$1,E61)</f>
        <v/>
      </c>
      <c r="I61" s="9">
        <f>IF(D61="USD",F61*$N$1,F61)</f>
        <v/>
      </c>
      <c r="J61" s="9">
        <f>IF(D61="USD",G61*$N$1,G61)</f>
        <v/>
      </c>
      <c r="K61" s="9">
        <f>H61+I61</f>
        <v/>
      </c>
    </row>
    <row r="62">
      <c r="A62" s="8" t="n">
        <v>45949</v>
      </c>
      <c r="B62" t="inlineStr">
        <is>
          <t>2025-W42</t>
        </is>
      </c>
      <c r="C62" t="inlineStr">
        <is>
          <t>Nuvei</t>
        </is>
      </c>
      <c r="D62" t="inlineStr">
        <is>
          <t>EUR</t>
        </is>
      </c>
      <c r="E62" s="9" t="n">
        <v>26581.49</v>
      </c>
      <c r="F62" s="9" t="n">
        <v>-744.5599999999999</v>
      </c>
      <c r="G62" s="9" t="n">
        <v>0</v>
      </c>
      <c r="H62" s="9">
        <f>IF(D62="USD",E62*$N$1,E62)</f>
        <v/>
      </c>
      <c r="I62" s="9">
        <f>IF(D62="USD",F62*$N$1,F62)</f>
        <v/>
      </c>
      <c r="J62" s="9">
        <f>IF(D62="USD",G62*$N$1,G62)</f>
        <v/>
      </c>
      <c r="K62" s="9">
        <f>H62+I62</f>
        <v/>
      </c>
    </row>
    <row r="63">
      <c r="A63" s="8" t="n">
        <v>45950</v>
      </c>
      <c r="B63" t="inlineStr">
        <is>
          <t>2025-W43</t>
        </is>
      </c>
      <c r="C63" t="inlineStr">
        <is>
          <t>Nuvei</t>
        </is>
      </c>
      <c r="D63" t="inlineStr">
        <is>
          <t>EUR</t>
        </is>
      </c>
      <c r="E63" s="9" t="n">
        <v>399540.08</v>
      </c>
      <c r="F63" s="9" t="n">
        <v>-5210.34</v>
      </c>
      <c r="G63" s="9" t="n">
        <v>0</v>
      </c>
      <c r="H63" s="9">
        <f>IF(D63="USD",E63*$N$1,E63)</f>
        <v/>
      </c>
      <c r="I63" s="9">
        <f>IF(D63="USD",F63*$N$1,F63)</f>
        <v/>
      </c>
      <c r="J63" s="9">
        <f>IF(D63="USD",G63*$N$1,G63)</f>
        <v/>
      </c>
      <c r="K63" s="9">
        <f>H63+I63</f>
        <v/>
      </c>
    </row>
    <row r="64">
      <c r="A64" s="8" t="n">
        <v>45950</v>
      </c>
      <c r="B64" t="inlineStr">
        <is>
          <t>2025-W43</t>
        </is>
      </c>
      <c r="C64" t="inlineStr">
        <is>
          <t>Nuvei</t>
        </is>
      </c>
      <c r="D64" t="inlineStr">
        <is>
          <t>EUR</t>
        </is>
      </c>
      <c r="E64" s="9" t="n">
        <v>24248.7</v>
      </c>
      <c r="F64" s="9" t="n">
        <v>-693.79</v>
      </c>
      <c r="G64" s="9" t="n">
        <v>0</v>
      </c>
      <c r="H64" s="9">
        <f>IF(D64="USD",E64*$N$1,E64)</f>
        <v/>
      </c>
      <c r="I64" s="9">
        <f>IF(D64="USD",F64*$N$1,F64)</f>
        <v/>
      </c>
      <c r="J64" s="9">
        <f>IF(D64="USD",G64*$N$1,G64)</f>
        <v/>
      </c>
      <c r="K64" s="9">
        <f>H64+I64</f>
        <v/>
      </c>
    </row>
    <row r="65">
      <c r="A65" s="8" t="n">
        <v>45951</v>
      </c>
      <c r="B65" t="inlineStr">
        <is>
          <t>2025-W43</t>
        </is>
      </c>
      <c r="C65" t="inlineStr">
        <is>
          <t>Nuvei</t>
        </is>
      </c>
      <c r="D65" t="inlineStr">
        <is>
          <t>EUR</t>
        </is>
      </c>
      <c r="E65" s="9" t="n">
        <v>447240.49</v>
      </c>
      <c r="F65" s="9" t="n">
        <v>-5387.43</v>
      </c>
      <c r="G65" s="9" t="n">
        <v>0</v>
      </c>
      <c r="H65" s="9">
        <f>IF(D65="USD",E65*$N$1,E65)</f>
        <v/>
      </c>
      <c r="I65" s="9">
        <f>IF(D65="USD",F65*$N$1,F65)</f>
        <v/>
      </c>
      <c r="J65" s="9">
        <f>IF(D65="USD",G65*$N$1,G65)</f>
        <v/>
      </c>
      <c r="K65" s="9">
        <f>H65+I65</f>
        <v/>
      </c>
    </row>
    <row r="66">
      <c r="A66" s="8" t="n">
        <v>45951</v>
      </c>
      <c r="B66" t="inlineStr">
        <is>
          <t>2025-W43</t>
        </is>
      </c>
      <c r="C66" t="inlineStr">
        <is>
          <t>Nuvei</t>
        </is>
      </c>
      <c r="D66" t="inlineStr">
        <is>
          <t>EUR</t>
        </is>
      </c>
      <c r="E66" s="9" t="n">
        <v>20930.35</v>
      </c>
      <c r="F66" s="9" t="n">
        <v>-594.51</v>
      </c>
      <c r="G66" s="9" t="n">
        <v>0</v>
      </c>
      <c r="H66" s="9">
        <f>IF(D66="USD",E66*$N$1,E66)</f>
        <v/>
      </c>
      <c r="I66" s="9">
        <f>IF(D66="USD",F66*$N$1,F66)</f>
        <v/>
      </c>
      <c r="J66" s="9">
        <f>IF(D66="USD",G66*$N$1,G66)</f>
        <v/>
      </c>
      <c r="K66" s="9">
        <f>H66+I66</f>
        <v/>
      </c>
    </row>
    <row r="67">
      <c r="A67" s="8" t="n">
        <v>45952</v>
      </c>
      <c r="B67" t="inlineStr">
        <is>
          <t>2025-W43</t>
        </is>
      </c>
      <c r="C67" t="inlineStr">
        <is>
          <t>Nuvei</t>
        </is>
      </c>
      <c r="D67" t="inlineStr">
        <is>
          <t>EUR</t>
        </is>
      </c>
      <c r="E67" s="9" t="n">
        <v>453343.35</v>
      </c>
      <c r="F67" s="9" t="n">
        <v>-5952.95</v>
      </c>
      <c r="G67" s="9" t="n">
        <v>0</v>
      </c>
      <c r="H67" s="9">
        <f>IF(D67="USD",E67*$N$1,E67)</f>
        <v/>
      </c>
      <c r="I67" s="9">
        <f>IF(D67="USD",F67*$N$1,F67)</f>
        <v/>
      </c>
      <c r="J67" s="9">
        <f>IF(D67="USD",G67*$N$1,G67)</f>
        <v/>
      </c>
      <c r="K67" s="9">
        <f>H67+I67</f>
        <v/>
      </c>
    </row>
    <row r="68">
      <c r="A68" s="8" t="n">
        <v>45952</v>
      </c>
      <c r="B68" t="inlineStr">
        <is>
          <t>2025-W43</t>
        </is>
      </c>
      <c r="C68" t="inlineStr">
        <is>
          <t>Nuvei</t>
        </is>
      </c>
      <c r="D68" t="inlineStr">
        <is>
          <t>EUR</t>
        </is>
      </c>
      <c r="E68" s="9" t="n">
        <v>26681.68</v>
      </c>
      <c r="F68" s="9" t="n">
        <v>-740.66</v>
      </c>
      <c r="G68" s="9" t="n">
        <v>0</v>
      </c>
      <c r="H68" s="9">
        <f>IF(D68="USD",E68*$N$1,E68)</f>
        <v/>
      </c>
      <c r="I68" s="9">
        <f>IF(D68="USD",F68*$N$1,F68)</f>
        <v/>
      </c>
      <c r="J68" s="9">
        <f>IF(D68="USD",G68*$N$1,G68)</f>
        <v/>
      </c>
      <c r="K68" s="9">
        <f>H68+I68</f>
        <v/>
      </c>
    </row>
    <row r="69">
      <c r="A69" s="8" t="n">
        <v>45953</v>
      </c>
      <c r="B69" t="inlineStr">
        <is>
          <t>2025-W43</t>
        </is>
      </c>
      <c r="C69" t="inlineStr">
        <is>
          <t>Nuvei</t>
        </is>
      </c>
      <c r="D69" t="inlineStr">
        <is>
          <t>EUR</t>
        </is>
      </c>
      <c r="E69" s="9" t="n">
        <v>0</v>
      </c>
      <c r="F69" s="9" t="n">
        <v>0</v>
      </c>
      <c r="G69" s="9" t="n">
        <v>-2549888.74</v>
      </c>
      <c r="H69" s="9">
        <f>IF(D69="USD",E69*$N$1,E69)</f>
        <v/>
      </c>
      <c r="I69" s="9">
        <f>IF(D69="USD",F69*$N$1,F69)</f>
        <v/>
      </c>
      <c r="J69" s="9">
        <f>IF(D69="USD",G69*$N$1,G69)</f>
        <v/>
      </c>
      <c r="K69" s="9">
        <f>H69+I69</f>
        <v/>
      </c>
    </row>
    <row r="70">
      <c r="A70" s="8" t="n">
        <v>45953</v>
      </c>
      <c r="B70" t="inlineStr">
        <is>
          <t>2025-W43</t>
        </is>
      </c>
      <c r="C70" t="inlineStr">
        <is>
          <t>Nuvei</t>
        </is>
      </c>
      <c r="D70" t="inlineStr">
        <is>
          <t>EUR</t>
        </is>
      </c>
      <c r="E70" s="9" t="n">
        <v>0</v>
      </c>
      <c r="F70" s="9" t="n">
        <v>0</v>
      </c>
      <c r="G70" s="9" t="n">
        <v>-156663.64</v>
      </c>
      <c r="H70" s="9">
        <f>IF(D70="USD",E70*$N$1,E70)</f>
        <v/>
      </c>
      <c r="I70" s="9">
        <f>IF(D70="USD",F70*$N$1,F70)</f>
        <v/>
      </c>
      <c r="J70" s="9">
        <f>IF(D70="USD",G70*$N$1,G70)</f>
        <v/>
      </c>
      <c r="K70" s="9">
        <f>H70+I70</f>
        <v/>
      </c>
    </row>
    <row r="71">
      <c r="A71" s="8" t="n">
        <v>45953</v>
      </c>
      <c r="B71" t="inlineStr">
        <is>
          <t>2025-W43</t>
        </is>
      </c>
      <c r="C71" t="inlineStr">
        <is>
          <t>Nuvei</t>
        </is>
      </c>
      <c r="D71" t="inlineStr">
        <is>
          <t>EUR</t>
        </is>
      </c>
      <c r="E71" s="9" t="n">
        <v>399176.51</v>
      </c>
      <c r="F71" s="9" t="n">
        <v>-5275.41</v>
      </c>
      <c r="G71" s="9" t="n">
        <v>0</v>
      </c>
      <c r="H71" s="9">
        <f>IF(D71="USD",E71*$N$1,E71)</f>
        <v/>
      </c>
      <c r="I71" s="9">
        <f>IF(D71="USD",F71*$N$1,F71)</f>
        <v/>
      </c>
      <c r="J71" s="9">
        <f>IF(D71="USD",G71*$N$1,G71)</f>
        <v/>
      </c>
      <c r="K71" s="9">
        <f>H71+I71</f>
        <v/>
      </c>
    </row>
    <row r="72">
      <c r="A72" s="8" t="n">
        <v>45953</v>
      </c>
      <c r="B72" t="inlineStr">
        <is>
          <t>2025-W43</t>
        </is>
      </c>
      <c r="C72" t="inlineStr">
        <is>
          <t>Nuvei</t>
        </is>
      </c>
      <c r="D72" t="inlineStr">
        <is>
          <t>EUR</t>
        </is>
      </c>
      <c r="E72" s="9" t="n">
        <v>29250.42</v>
      </c>
      <c r="F72" s="9" t="n">
        <v>-814.5599999999999</v>
      </c>
      <c r="G72" s="9" t="n">
        <v>0</v>
      </c>
      <c r="H72" s="9">
        <f>IF(D72="USD",E72*$N$1,E72)</f>
        <v/>
      </c>
      <c r="I72" s="9">
        <f>IF(D72="USD",F72*$N$1,F72)</f>
        <v/>
      </c>
      <c r="J72" s="9">
        <f>IF(D72="USD",G72*$N$1,G72)</f>
        <v/>
      </c>
      <c r="K72" s="9">
        <f>H72+I72</f>
        <v/>
      </c>
    </row>
    <row r="73">
      <c r="A73" s="8" t="n">
        <v>45954</v>
      </c>
      <c r="B73" t="inlineStr">
        <is>
          <t>2025-W43</t>
        </is>
      </c>
      <c r="C73" t="inlineStr">
        <is>
          <t>Nuvei</t>
        </is>
      </c>
      <c r="D73" t="inlineStr">
        <is>
          <t>EUR</t>
        </is>
      </c>
      <c r="E73" s="9" t="n">
        <v>350303.89</v>
      </c>
      <c r="F73" s="9" t="n">
        <v>-5479.59</v>
      </c>
      <c r="G73" s="9" t="n">
        <v>0</v>
      </c>
      <c r="H73" s="9">
        <f>IF(D73="USD",E73*$N$1,E73)</f>
        <v/>
      </c>
      <c r="I73" s="9">
        <f>IF(D73="USD",F73*$N$1,F73)</f>
        <v/>
      </c>
      <c r="J73" s="9">
        <f>IF(D73="USD",G73*$N$1,G73)</f>
        <v/>
      </c>
      <c r="K73" s="9">
        <f>H73+I73</f>
        <v/>
      </c>
    </row>
    <row r="74">
      <c r="A74" s="8" t="n">
        <v>45954</v>
      </c>
      <c r="B74" t="inlineStr">
        <is>
          <t>2025-W43</t>
        </is>
      </c>
      <c r="C74" t="inlineStr">
        <is>
          <t>Nuvei</t>
        </is>
      </c>
      <c r="D74" t="inlineStr">
        <is>
          <t>EUR</t>
        </is>
      </c>
      <c r="E74" s="9" t="n">
        <v>15762.98</v>
      </c>
      <c r="F74" s="9" t="n">
        <v>-433.14</v>
      </c>
      <c r="G74" s="9" t="n">
        <v>0</v>
      </c>
      <c r="H74" s="9">
        <f>IF(D74="USD",E74*$N$1,E74)</f>
        <v/>
      </c>
      <c r="I74" s="9">
        <f>IF(D74="USD",F74*$N$1,F74)</f>
        <v/>
      </c>
      <c r="J74" s="9">
        <f>IF(D74="USD",G74*$N$1,G74)</f>
        <v/>
      </c>
      <c r="K74" s="9">
        <f>H74+I74</f>
        <v/>
      </c>
    </row>
    <row r="75">
      <c r="A75" s="8" t="n">
        <v>45955</v>
      </c>
      <c r="B75" t="inlineStr">
        <is>
          <t>2025-W43</t>
        </is>
      </c>
      <c r="C75" t="inlineStr">
        <is>
          <t>Nuvei</t>
        </is>
      </c>
      <c r="D75" t="inlineStr">
        <is>
          <t>EUR</t>
        </is>
      </c>
      <c r="E75" s="9" t="n">
        <v>377439.61</v>
      </c>
      <c r="F75" s="9" t="n">
        <v>-2777.89</v>
      </c>
      <c r="G75" s="9" t="n">
        <v>0</v>
      </c>
      <c r="H75" s="9">
        <f>IF(D75="USD",E75*$N$1,E75)</f>
        <v/>
      </c>
      <c r="I75" s="9">
        <f>IF(D75="USD",F75*$N$1,F75)</f>
        <v/>
      </c>
      <c r="J75" s="9">
        <f>IF(D75="USD",G75*$N$1,G75)</f>
        <v/>
      </c>
      <c r="K75" s="9">
        <f>H75+I75</f>
        <v/>
      </c>
    </row>
    <row r="76">
      <c r="A76" s="8" t="n">
        <v>45955</v>
      </c>
      <c r="B76" t="inlineStr">
        <is>
          <t>2025-W43</t>
        </is>
      </c>
      <c r="C76" t="inlineStr">
        <is>
          <t>Nuvei</t>
        </is>
      </c>
      <c r="D76" t="inlineStr">
        <is>
          <t>EUR</t>
        </is>
      </c>
      <c r="E76" s="9" t="n">
        <v>15935.52</v>
      </c>
      <c r="F76" s="9" t="n">
        <v>-227.33</v>
      </c>
      <c r="G76" s="9" t="n">
        <v>0</v>
      </c>
      <c r="H76" s="9">
        <f>IF(D76="USD",E76*$N$1,E76)</f>
        <v/>
      </c>
      <c r="I76" s="9">
        <f>IF(D76="USD",F76*$N$1,F76)</f>
        <v/>
      </c>
      <c r="J76" s="9">
        <f>IF(D76="USD",G76*$N$1,G76)</f>
        <v/>
      </c>
      <c r="K76" s="9">
        <f>H76+I76</f>
        <v/>
      </c>
    </row>
    <row r="77">
      <c r="A77" s="8" t="n">
        <v>45956</v>
      </c>
      <c r="B77" t="inlineStr">
        <is>
          <t>2025-W43</t>
        </is>
      </c>
      <c r="C77" t="inlineStr">
        <is>
          <t>Nuvei</t>
        </is>
      </c>
      <c r="D77" t="inlineStr">
        <is>
          <t>EUR</t>
        </is>
      </c>
      <c r="E77" s="9" t="n">
        <v>482274.93</v>
      </c>
      <c r="F77" s="9" t="n">
        <v>-3284.85</v>
      </c>
      <c r="G77" s="9" t="n">
        <v>0</v>
      </c>
      <c r="H77" s="9">
        <f>IF(D77="USD",E77*$N$1,E77)</f>
        <v/>
      </c>
      <c r="I77" s="9">
        <f>IF(D77="USD",F77*$N$1,F77)</f>
        <v/>
      </c>
      <c r="J77" s="9">
        <f>IF(D77="USD",G77*$N$1,G77)</f>
        <v/>
      </c>
      <c r="K77" s="9">
        <f>H77+I77</f>
        <v/>
      </c>
    </row>
    <row r="78">
      <c r="A78" s="8" t="n">
        <v>45956</v>
      </c>
      <c r="B78" t="inlineStr">
        <is>
          <t>2025-W43</t>
        </is>
      </c>
      <c r="C78" t="inlineStr">
        <is>
          <t>Nuvei</t>
        </is>
      </c>
      <c r="D78" t="inlineStr">
        <is>
          <t>EUR</t>
        </is>
      </c>
      <c r="E78" s="9" t="n">
        <v>27946.25</v>
      </c>
      <c r="F78" s="9" t="n">
        <v>-357.26</v>
      </c>
      <c r="G78" s="9" t="n">
        <v>0</v>
      </c>
      <c r="H78" s="9">
        <f>IF(D78="USD",E78*$N$1,E78)</f>
        <v/>
      </c>
      <c r="I78" s="9">
        <f>IF(D78="USD",F78*$N$1,F78)</f>
        <v/>
      </c>
      <c r="J78" s="9">
        <f>IF(D78="USD",G78*$N$1,G78)</f>
        <v/>
      </c>
      <c r="K78" s="9">
        <f>H78+I78</f>
        <v/>
      </c>
    </row>
    <row r="79">
      <c r="A79" s="8" t="n">
        <v>45957</v>
      </c>
      <c r="B79" t="inlineStr">
        <is>
          <t>2025-W44</t>
        </is>
      </c>
      <c r="C79" t="inlineStr">
        <is>
          <t>Nuvei</t>
        </is>
      </c>
      <c r="D79" t="inlineStr">
        <is>
          <t>EUR</t>
        </is>
      </c>
      <c r="E79" s="9" t="n">
        <v>415429.51</v>
      </c>
      <c r="F79" s="9" t="n">
        <v>-4708.37</v>
      </c>
      <c r="G79" s="9" t="n">
        <v>0</v>
      </c>
      <c r="H79" s="9">
        <f>IF(D79="USD",E79*$N$1,E79)</f>
        <v/>
      </c>
      <c r="I79" s="9">
        <f>IF(D79="USD",F79*$N$1,F79)</f>
        <v/>
      </c>
      <c r="J79" s="9">
        <f>IF(D79="USD",G79*$N$1,G79)</f>
        <v/>
      </c>
      <c r="K79" s="9">
        <f>H79+I79</f>
        <v/>
      </c>
    </row>
    <row r="80">
      <c r="A80" s="8" t="n">
        <v>45957</v>
      </c>
      <c r="B80" t="inlineStr">
        <is>
          <t>2025-W44</t>
        </is>
      </c>
      <c r="C80" t="inlineStr">
        <is>
          <t>Nuvei</t>
        </is>
      </c>
      <c r="D80" t="inlineStr">
        <is>
          <t>EUR</t>
        </is>
      </c>
      <c r="E80" s="9" t="n">
        <v>14806.81</v>
      </c>
      <c r="F80" s="9" t="n">
        <v>-408.69</v>
      </c>
      <c r="G80" s="9" t="n">
        <v>0</v>
      </c>
      <c r="H80" s="9">
        <f>IF(D80="USD",E80*$N$1,E80)</f>
        <v/>
      </c>
      <c r="I80" s="9">
        <f>IF(D80="USD",F80*$N$1,F80)</f>
        <v/>
      </c>
      <c r="J80" s="9">
        <f>IF(D80="USD",G80*$N$1,G80)</f>
        <v/>
      </c>
      <c r="K80" s="9">
        <f>H80+I80</f>
        <v/>
      </c>
    </row>
    <row r="81">
      <c r="A81" s="8" t="n">
        <v>45958</v>
      </c>
      <c r="B81" t="inlineStr">
        <is>
          <t>2025-W44</t>
        </is>
      </c>
      <c r="C81" t="inlineStr">
        <is>
          <t>Nuvei</t>
        </is>
      </c>
      <c r="D81" t="inlineStr">
        <is>
          <t>EUR</t>
        </is>
      </c>
      <c r="E81" s="9" t="n">
        <v>472136.11</v>
      </c>
      <c r="F81" s="9" t="n">
        <v>-5610.38</v>
      </c>
      <c r="G81" s="9" t="n">
        <v>0</v>
      </c>
      <c r="H81" s="9">
        <f>IF(D81="USD",E81*$N$1,E81)</f>
        <v/>
      </c>
      <c r="I81" s="9">
        <f>IF(D81="USD",F81*$N$1,F81)</f>
        <v/>
      </c>
      <c r="J81" s="9">
        <f>IF(D81="USD",G81*$N$1,G81)</f>
        <v/>
      </c>
      <c r="K81" s="9">
        <f>H81+I81</f>
        <v/>
      </c>
    </row>
    <row r="82">
      <c r="A82" s="8" t="n">
        <v>45958</v>
      </c>
      <c r="B82" t="inlineStr">
        <is>
          <t>2025-W44</t>
        </is>
      </c>
      <c r="C82" t="inlineStr">
        <is>
          <t>Nuvei</t>
        </is>
      </c>
      <c r="D82" t="inlineStr">
        <is>
          <t>EUR</t>
        </is>
      </c>
      <c r="E82" s="9" t="n">
        <v>19142.97</v>
      </c>
      <c r="F82" s="9" t="n">
        <v>-540.53</v>
      </c>
      <c r="G82" s="9" t="n">
        <v>0</v>
      </c>
      <c r="H82" s="9">
        <f>IF(D82="USD",E82*$N$1,E82)</f>
        <v/>
      </c>
      <c r="I82" s="9">
        <f>IF(D82="USD",F82*$N$1,F82)</f>
        <v/>
      </c>
      <c r="J82" s="9">
        <f>IF(D82="USD",G82*$N$1,G82)</f>
        <v/>
      </c>
      <c r="K82" s="9">
        <f>H82+I82</f>
        <v/>
      </c>
    </row>
    <row r="83">
      <c r="A83" s="8" t="n">
        <v>45959</v>
      </c>
      <c r="B83" t="inlineStr">
        <is>
          <t>2025-W44</t>
        </is>
      </c>
      <c r="C83" t="inlineStr">
        <is>
          <t>Nuvei</t>
        </is>
      </c>
      <c r="D83" t="inlineStr">
        <is>
          <t>EUR</t>
        </is>
      </c>
      <c r="E83" s="9" t="n">
        <v>467554.9</v>
      </c>
      <c r="F83" s="9" t="n">
        <v>-5535.61</v>
      </c>
      <c r="G83" s="9" t="n">
        <v>0</v>
      </c>
      <c r="H83" s="9">
        <f>IF(D83="USD",E83*$N$1,E83)</f>
        <v/>
      </c>
      <c r="I83" s="9">
        <f>IF(D83="USD",F83*$N$1,F83)</f>
        <v/>
      </c>
      <c r="J83" s="9">
        <f>IF(D83="USD",G83*$N$1,G83)</f>
        <v/>
      </c>
      <c r="K83" s="9">
        <f>H83+I83</f>
        <v/>
      </c>
    </row>
    <row r="84">
      <c r="A84" s="8" t="n">
        <v>45959</v>
      </c>
      <c r="B84" t="inlineStr">
        <is>
          <t>2025-W44</t>
        </is>
      </c>
      <c r="C84" t="inlineStr">
        <is>
          <t>Nuvei</t>
        </is>
      </c>
      <c r="D84" t="inlineStr">
        <is>
          <t>EUR</t>
        </is>
      </c>
      <c r="E84" s="9" t="n">
        <v>18210.73</v>
      </c>
      <c r="F84" s="9" t="n">
        <v>-461.31</v>
      </c>
      <c r="G84" s="9" t="n">
        <v>0</v>
      </c>
      <c r="H84" s="9">
        <f>IF(D84="USD",E84*$N$1,E84)</f>
        <v/>
      </c>
      <c r="I84" s="9">
        <f>IF(D84="USD",F84*$N$1,F84)</f>
        <v/>
      </c>
      <c r="J84" s="9">
        <f>IF(D84="USD",G84*$N$1,G84)</f>
        <v/>
      </c>
      <c r="K84" s="9">
        <f>H84+I84</f>
        <v/>
      </c>
    </row>
    <row r="85">
      <c r="A85" s="8" t="n">
        <v>45960</v>
      </c>
      <c r="B85" t="inlineStr">
        <is>
          <t>2025-W44</t>
        </is>
      </c>
      <c r="C85" t="inlineStr">
        <is>
          <t>Nuvei</t>
        </is>
      </c>
      <c r="D85" t="inlineStr">
        <is>
          <t>EUR</t>
        </is>
      </c>
      <c r="E85" s="9" t="n">
        <v>0</v>
      </c>
      <c r="F85" s="9" t="n">
        <v>0</v>
      </c>
      <c r="G85" s="9" t="n">
        <v>-2892338.34</v>
      </c>
      <c r="H85" s="9">
        <f>IF(D85="USD",E85*$N$1,E85)</f>
        <v/>
      </c>
      <c r="I85" s="9">
        <f>IF(D85="USD",F85*$N$1,F85)</f>
        <v/>
      </c>
      <c r="J85" s="9">
        <f>IF(D85="USD",G85*$N$1,G85)</f>
        <v/>
      </c>
      <c r="K85" s="9">
        <f>H85+I85</f>
        <v/>
      </c>
    </row>
    <row r="86">
      <c r="A86" s="8" t="n">
        <v>45960</v>
      </c>
      <c r="B86" t="inlineStr">
        <is>
          <t>2025-W44</t>
        </is>
      </c>
      <c r="C86" t="inlineStr">
        <is>
          <t>Nuvei</t>
        </is>
      </c>
      <c r="D86" t="inlineStr">
        <is>
          <t>EUR</t>
        </is>
      </c>
      <c r="E86" s="9" t="n">
        <v>0</v>
      </c>
      <c r="F86" s="9" t="n">
        <v>0</v>
      </c>
      <c r="G86" s="9" t="n">
        <v>-147734.36</v>
      </c>
      <c r="H86" s="9">
        <f>IF(D86="USD",E86*$N$1,E86)</f>
        <v/>
      </c>
      <c r="I86" s="9">
        <f>IF(D86="USD",F86*$N$1,F86)</f>
        <v/>
      </c>
      <c r="J86" s="9">
        <f>IF(D86="USD",G86*$N$1,G86)</f>
        <v/>
      </c>
      <c r="K86" s="9">
        <f>H86+I86</f>
        <v/>
      </c>
    </row>
    <row r="87">
      <c r="A87" s="8" t="n">
        <v>45960</v>
      </c>
      <c r="B87" t="inlineStr">
        <is>
          <t>2025-W44</t>
        </is>
      </c>
      <c r="C87" t="inlineStr">
        <is>
          <t>Nuvei</t>
        </is>
      </c>
      <c r="D87" t="inlineStr">
        <is>
          <t>EUR</t>
        </is>
      </c>
      <c r="E87" s="9" t="n">
        <v>386354.26</v>
      </c>
      <c r="F87" s="9" t="n">
        <v>-4551.99</v>
      </c>
      <c r="G87" s="9" t="n">
        <v>0</v>
      </c>
      <c r="H87" s="9">
        <f>IF(D87="USD",E87*$N$1,E87)</f>
        <v/>
      </c>
      <c r="I87" s="9">
        <f>IF(D87="USD",F87*$N$1,F87)</f>
        <v/>
      </c>
      <c r="J87" s="9">
        <f>IF(D87="USD",G87*$N$1,G87)</f>
        <v/>
      </c>
      <c r="K87" s="9">
        <f>H87+I87</f>
        <v/>
      </c>
    </row>
    <row r="88">
      <c r="A88" s="8" t="n">
        <v>45960</v>
      </c>
      <c r="B88" t="inlineStr">
        <is>
          <t>2025-W44</t>
        </is>
      </c>
      <c r="C88" t="inlineStr">
        <is>
          <t>Nuvei</t>
        </is>
      </c>
      <c r="D88" t="inlineStr">
        <is>
          <t>EUR</t>
        </is>
      </c>
      <c r="E88" s="9" t="n">
        <v>15987.8</v>
      </c>
      <c r="F88" s="9" t="n">
        <v>-459.94</v>
      </c>
      <c r="G88" s="9" t="n">
        <v>0</v>
      </c>
      <c r="H88" s="9">
        <f>IF(D88="USD",E88*$N$1,E88)</f>
        <v/>
      </c>
      <c r="I88" s="9">
        <f>IF(D88="USD",F88*$N$1,F88)</f>
        <v/>
      </c>
      <c r="J88" s="9">
        <f>IF(D88="USD",G88*$N$1,G88)</f>
        <v/>
      </c>
      <c r="K88" s="9">
        <f>H88+I88</f>
        <v/>
      </c>
    </row>
    <row r="89">
      <c r="A89" s="8" t="n">
        <v>45961</v>
      </c>
      <c r="B89" t="inlineStr">
        <is>
          <t>2025-W44</t>
        </is>
      </c>
      <c r="C89" t="inlineStr">
        <is>
          <t>Nuvei</t>
        </is>
      </c>
      <c r="D89" t="inlineStr">
        <is>
          <t>EUR</t>
        </is>
      </c>
      <c r="E89" s="9" t="n">
        <v>322861.84</v>
      </c>
      <c r="F89" s="9" t="n">
        <v>-4182.89</v>
      </c>
      <c r="G89" s="9" t="n">
        <v>0</v>
      </c>
      <c r="H89" s="9">
        <f>IF(D89="USD",E89*$N$1,E89)</f>
        <v/>
      </c>
      <c r="I89" s="9">
        <f>IF(D89="USD",F89*$N$1,F89)</f>
        <v/>
      </c>
      <c r="J89" s="9">
        <f>IF(D89="USD",G89*$N$1,G89)</f>
        <v/>
      </c>
      <c r="K89" s="9">
        <f>H89+I89</f>
        <v/>
      </c>
    </row>
    <row r="90">
      <c r="A90" s="8" t="n">
        <v>45961</v>
      </c>
      <c r="B90" t="inlineStr">
        <is>
          <t>2025-W44</t>
        </is>
      </c>
      <c r="C90" t="inlineStr">
        <is>
          <t>Nuvei</t>
        </is>
      </c>
      <c r="D90" t="inlineStr">
        <is>
          <t>EUR</t>
        </is>
      </c>
      <c r="E90" s="9" t="n">
        <v>18408.1</v>
      </c>
      <c r="F90" s="9" t="n">
        <v>-527.65</v>
      </c>
      <c r="G90" s="9" t="n">
        <v>0</v>
      </c>
      <c r="H90" s="9">
        <f>IF(D90="USD",E90*$N$1,E90)</f>
        <v/>
      </c>
      <c r="I90" s="9">
        <f>IF(D90="USD",F90*$N$1,F90)</f>
        <v/>
      </c>
      <c r="J90" s="9">
        <f>IF(D90="USD",G90*$N$1,G90)</f>
        <v/>
      </c>
      <c r="K90" s="9">
        <f>H90+I90</f>
        <v/>
      </c>
    </row>
    <row r="91">
      <c r="A91" s="8" t="n">
        <v>45962</v>
      </c>
      <c r="B91" t="inlineStr">
        <is>
          <t>2025-W44</t>
        </is>
      </c>
      <c r="C91" t="inlineStr">
        <is>
          <t>Nuvei</t>
        </is>
      </c>
      <c r="D91" t="inlineStr">
        <is>
          <t>EUR</t>
        </is>
      </c>
      <c r="E91" s="9" t="n">
        <v>361516.8</v>
      </c>
      <c r="F91" s="9" t="n">
        <v>-4174.93</v>
      </c>
      <c r="G91" s="9" t="n">
        <v>0</v>
      </c>
      <c r="H91" s="9">
        <f>IF(D91="USD",E91*$N$1,E91)</f>
        <v/>
      </c>
      <c r="I91" s="9">
        <f>IF(D91="USD",F91*$N$1,F91)</f>
        <v/>
      </c>
      <c r="J91" s="9">
        <f>IF(D91="USD",G91*$N$1,G91)</f>
        <v/>
      </c>
      <c r="K91" s="9">
        <f>H91+I91</f>
        <v/>
      </c>
    </row>
    <row r="92">
      <c r="A92" s="8" t="n">
        <v>45962</v>
      </c>
      <c r="B92" t="inlineStr">
        <is>
          <t>2025-W44</t>
        </is>
      </c>
      <c r="C92" t="inlineStr">
        <is>
          <t>Nuvei</t>
        </is>
      </c>
      <c r="D92" t="inlineStr">
        <is>
          <t>EUR</t>
        </is>
      </c>
      <c r="E92" s="9" t="n">
        <v>14955.97</v>
      </c>
      <c r="F92" s="9" t="n">
        <v>-385.06</v>
      </c>
      <c r="G92" s="9" t="n">
        <v>0</v>
      </c>
      <c r="H92" s="9">
        <f>IF(D92="USD",E92*$N$1,E92)</f>
        <v/>
      </c>
      <c r="I92" s="9">
        <f>IF(D92="USD",F92*$N$1,F92)</f>
        <v/>
      </c>
      <c r="J92" s="9">
        <f>IF(D92="USD",G92*$N$1,G92)</f>
        <v/>
      </c>
      <c r="K92" s="9">
        <f>H92+I92</f>
        <v/>
      </c>
    </row>
    <row r="93">
      <c r="A93" s="8" t="n">
        <v>45963</v>
      </c>
      <c r="B93" t="inlineStr">
        <is>
          <t>2025-W44</t>
        </is>
      </c>
      <c r="C93" t="inlineStr">
        <is>
          <t>Nuvei</t>
        </is>
      </c>
      <c r="D93" t="inlineStr">
        <is>
          <t>EUR</t>
        </is>
      </c>
      <c r="E93" s="9" t="n">
        <v>503854.29</v>
      </c>
      <c r="F93" s="9" t="n">
        <v>-5968.04</v>
      </c>
      <c r="G93" s="9" t="n">
        <v>0</v>
      </c>
      <c r="H93" s="9">
        <f>IF(D93="USD",E93*$N$1,E93)</f>
        <v/>
      </c>
      <c r="I93" s="9">
        <f>IF(D93="USD",F93*$N$1,F93)</f>
        <v/>
      </c>
      <c r="J93" s="9">
        <f>IF(D93="USD",G93*$N$1,G93)</f>
        <v/>
      </c>
      <c r="K93" s="9">
        <f>H93+I93</f>
        <v/>
      </c>
    </row>
    <row r="94">
      <c r="A94" s="8" t="n">
        <v>45963</v>
      </c>
      <c r="B94" t="inlineStr">
        <is>
          <t>2025-W44</t>
        </is>
      </c>
      <c r="C94" t="inlineStr">
        <is>
          <t>Nuvei</t>
        </is>
      </c>
      <c r="D94" t="inlineStr">
        <is>
          <t>EUR</t>
        </is>
      </c>
      <c r="E94" s="9" t="n">
        <v>23997.21</v>
      </c>
      <c r="F94" s="9" t="n">
        <v>-648.5599999999999</v>
      </c>
      <c r="G94" s="9" t="n">
        <v>0</v>
      </c>
      <c r="H94" s="9">
        <f>IF(D94="USD",E94*$N$1,E94)</f>
        <v/>
      </c>
      <c r="I94" s="9">
        <f>IF(D94="USD",F94*$N$1,F94)</f>
        <v/>
      </c>
      <c r="J94" s="9">
        <f>IF(D94="USD",G94*$N$1,G94)</f>
        <v/>
      </c>
      <c r="K94" s="9">
        <f>H94+I94</f>
        <v/>
      </c>
    </row>
    <row r="95">
      <c r="A95" s="8" t="n">
        <v>45964</v>
      </c>
      <c r="B95" t="inlineStr">
        <is>
          <t>2025-W45</t>
        </is>
      </c>
      <c r="C95" t="inlineStr">
        <is>
          <t>Nuvei</t>
        </is>
      </c>
      <c r="D95" t="inlineStr">
        <is>
          <t>EUR</t>
        </is>
      </c>
      <c r="E95" s="9" t="n">
        <v>412033.58</v>
      </c>
      <c r="F95" s="9" t="n">
        <v>-5084.58</v>
      </c>
      <c r="G95" s="9" t="n">
        <v>0</v>
      </c>
      <c r="H95" s="9">
        <f>IF(D95="USD",E95*$N$1,E95)</f>
        <v/>
      </c>
      <c r="I95" s="9">
        <f>IF(D95="USD",F95*$N$1,F95)</f>
        <v/>
      </c>
      <c r="J95" s="9">
        <f>IF(D95="USD",G95*$N$1,G95)</f>
        <v/>
      </c>
      <c r="K95" s="9">
        <f>H95+I95</f>
        <v/>
      </c>
    </row>
    <row r="96">
      <c r="A96" s="8" t="n">
        <v>45964</v>
      </c>
      <c r="B96" t="inlineStr">
        <is>
          <t>2025-W45</t>
        </is>
      </c>
      <c r="C96" t="inlineStr">
        <is>
          <t>Nuvei</t>
        </is>
      </c>
      <c r="D96" t="inlineStr">
        <is>
          <t>EUR</t>
        </is>
      </c>
      <c r="E96" s="9" t="n">
        <v>22010.93</v>
      </c>
      <c r="F96" s="9" t="n">
        <v>-576.1799999999999</v>
      </c>
      <c r="G96" s="9" t="n">
        <v>0</v>
      </c>
      <c r="H96" s="9">
        <f>IF(D96="USD",E96*$N$1,E96)</f>
        <v/>
      </c>
      <c r="I96" s="9">
        <f>IF(D96="USD",F96*$N$1,F96)</f>
        <v/>
      </c>
      <c r="J96" s="9">
        <f>IF(D96="USD",G96*$N$1,G96)</f>
        <v/>
      </c>
      <c r="K96" s="9">
        <f>H96+I96</f>
        <v/>
      </c>
    </row>
    <row r="97">
      <c r="A97" s="8" t="n">
        <v>45965</v>
      </c>
      <c r="B97" t="inlineStr">
        <is>
          <t>2025-W45</t>
        </is>
      </c>
      <c r="C97" t="inlineStr">
        <is>
          <t>Nuvei</t>
        </is>
      </c>
      <c r="D97" t="inlineStr">
        <is>
          <t>EUR</t>
        </is>
      </c>
      <c r="E97" s="9" t="n">
        <v>491767.47</v>
      </c>
      <c r="F97" s="9" t="n">
        <v>-6254.4</v>
      </c>
      <c r="G97" s="9" t="n">
        <v>0</v>
      </c>
      <c r="H97" s="9">
        <f>IF(D97="USD",E97*$N$1,E97)</f>
        <v/>
      </c>
      <c r="I97" s="9">
        <f>IF(D97="USD",F97*$N$1,F97)</f>
        <v/>
      </c>
      <c r="J97" s="9">
        <f>IF(D97="USD",G97*$N$1,G97)</f>
        <v/>
      </c>
      <c r="K97" s="9">
        <f>H97+I97</f>
        <v/>
      </c>
    </row>
    <row r="98">
      <c r="A98" s="8" t="n">
        <v>45965</v>
      </c>
      <c r="B98" t="inlineStr">
        <is>
          <t>2025-W45</t>
        </is>
      </c>
      <c r="C98" t="inlineStr">
        <is>
          <t>Nuvei</t>
        </is>
      </c>
      <c r="D98" t="inlineStr">
        <is>
          <t>EUR</t>
        </is>
      </c>
      <c r="E98" s="9" t="n">
        <v>20376.3</v>
      </c>
      <c r="F98" s="9" t="n">
        <v>-539.72</v>
      </c>
      <c r="G98" s="9" t="n">
        <v>0</v>
      </c>
      <c r="H98" s="9">
        <f>IF(D98="USD",E98*$N$1,E98)</f>
        <v/>
      </c>
      <c r="I98" s="9">
        <f>IF(D98="USD",F98*$N$1,F98)</f>
        <v/>
      </c>
      <c r="J98" s="9">
        <f>IF(D98="USD",G98*$N$1,G98)</f>
        <v/>
      </c>
      <c r="K98" s="9">
        <f>H98+I98</f>
        <v/>
      </c>
    </row>
    <row r="99">
      <c r="A99" s="8" t="n">
        <v>45966</v>
      </c>
      <c r="B99" t="inlineStr">
        <is>
          <t>2025-W45</t>
        </is>
      </c>
      <c r="C99" t="inlineStr">
        <is>
          <t>Nuvei</t>
        </is>
      </c>
      <c r="D99" t="inlineStr">
        <is>
          <t>EUR</t>
        </is>
      </c>
      <c r="E99" s="9" t="n">
        <v>466819.67</v>
      </c>
      <c r="F99" s="9" t="n">
        <v>-5720.21</v>
      </c>
      <c r="G99" s="9" t="n">
        <v>0</v>
      </c>
      <c r="H99" s="9">
        <f>IF(D99="USD",E99*$N$1,E99)</f>
        <v/>
      </c>
      <c r="I99" s="9">
        <f>IF(D99="USD",F99*$N$1,F99)</f>
        <v/>
      </c>
      <c r="J99" s="9">
        <f>IF(D99="USD",G99*$N$1,G99)</f>
        <v/>
      </c>
      <c r="K99" s="9">
        <f>H99+I99</f>
        <v/>
      </c>
    </row>
    <row r="100">
      <c r="A100" s="8" t="n">
        <v>45966</v>
      </c>
      <c r="B100" t="inlineStr">
        <is>
          <t>2025-W45</t>
        </is>
      </c>
      <c r="C100" t="inlineStr">
        <is>
          <t>Nuvei</t>
        </is>
      </c>
      <c r="D100" t="inlineStr">
        <is>
          <t>EUR</t>
        </is>
      </c>
      <c r="E100" s="9" t="n">
        <v>23354.22</v>
      </c>
      <c r="F100" s="9" t="n">
        <v>-640.35</v>
      </c>
      <c r="G100" s="9" t="n">
        <v>0</v>
      </c>
      <c r="H100" s="9">
        <f>IF(D100="USD",E100*$N$1,E100)</f>
        <v/>
      </c>
      <c r="I100" s="9">
        <f>IF(D100="USD",F100*$N$1,F100)</f>
        <v/>
      </c>
      <c r="J100" s="9">
        <f>IF(D100="USD",G100*$N$1,G100)</f>
        <v/>
      </c>
      <c r="K100" s="9">
        <f>H100+I100</f>
        <v/>
      </c>
    </row>
    <row r="101">
      <c r="A101" s="8" t="n">
        <v>45967</v>
      </c>
      <c r="B101" t="inlineStr">
        <is>
          <t>2025-W45</t>
        </is>
      </c>
      <c r="C101" t="inlineStr">
        <is>
          <t>Nuvei</t>
        </is>
      </c>
      <c r="D101" t="inlineStr">
        <is>
          <t>EUR</t>
        </is>
      </c>
      <c r="E101" s="9" t="n">
        <v>0</v>
      </c>
      <c r="F101" s="9" t="n">
        <v>0</v>
      </c>
      <c r="G101" s="9" t="n">
        <v>-2891199.87</v>
      </c>
      <c r="H101" s="9">
        <f>IF(D101="USD",E101*$N$1,E101)</f>
        <v/>
      </c>
      <c r="I101" s="9">
        <f>IF(D101="USD",F101*$N$1,F101)</f>
        <v/>
      </c>
      <c r="J101" s="9">
        <f>IF(D101="USD",G101*$N$1,G101)</f>
        <v/>
      </c>
      <c r="K101" s="9">
        <f>H101+I101</f>
        <v/>
      </c>
    </row>
    <row r="102">
      <c r="A102" s="8" t="n">
        <v>45967</v>
      </c>
      <c r="B102" t="inlineStr">
        <is>
          <t>2025-W45</t>
        </is>
      </c>
      <c r="C102" t="inlineStr">
        <is>
          <t>Nuvei</t>
        </is>
      </c>
      <c r="D102" t="inlineStr">
        <is>
          <t>EUR</t>
        </is>
      </c>
      <c r="E102" s="9" t="n">
        <v>0</v>
      </c>
      <c r="F102" s="9" t="n">
        <v>0</v>
      </c>
      <c r="G102" s="9" t="n">
        <v>-129110.99</v>
      </c>
      <c r="H102" s="9">
        <f>IF(D102="USD",E102*$N$1,E102)</f>
        <v/>
      </c>
      <c r="I102" s="9">
        <f>IF(D102="USD",F102*$N$1,F102)</f>
        <v/>
      </c>
      <c r="J102" s="9">
        <f>IF(D102="USD",G102*$N$1,G102)</f>
        <v/>
      </c>
      <c r="K102" s="9">
        <f>H102+I102</f>
        <v/>
      </c>
    </row>
    <row r="103">
      <c r="A103" s="8" t="n">
        <v>45967</v>
      </c>
      <c r="B103" t="inlineStr">
        <is>
          <t>2025-W45</t>
        </is>
      </c>
      <c r="C103" t="inlineStr">
        <is>
          <t>Nuvei</t>
        </is>
      </c>
      <c r="D103" t="inlineStr">
        <is>
          <t>EUR</t>
        </is>
      </c>
      <c r="E103" s="9" t="n">
        <v>407333.55</v>
      </c>
      <c r="F103" s="9" t="n">
        <v>-5333.38</v>
      </c>
      <c r="G103" s="9" t="n">
        <v>0</v>
      </c>
      <c r="H103" s="9">
        <f>IF(D103="USD",E103*$N$1,E103)</f>
        <v/>
      </c>
      <c r="I103" s="9">
        <f>IF(D103="USD",F103*$N$1,F103)</f>
        <v/>
      </c>
      <c r="J103" s="9">
        <f>IF(D103="USD",G103*$N$1,G103)</f>
        <v/>
      </c>
      <c r="K103" s="9">
        <f>H103+I103</f>
        <v/>
      </c>
    </row>
    <row r="104">
      <c r="A104" s="8" t="n">
        <v>45967</v>
      </c>
      <c r="B104" t="inlineStr">
        <is>
          <t>2025-W45</t>
        </is>
      </c>
      <c r="C104" t="inlineStr">
        <is>
          <t>Nuvei</t>
        </is>
      </c>
      <c r="D104" t="inlineStr">
        <is>
          <t>EUR</t>
        </is>
      </c>
      <c r="E104" s="9" t="n">
        <v>17622.11</v>
      </c>
      <c r="F104" s="9" t="n">
        <v>-481.7</v>
      </c>
      <c r="G104" s="9" t="n">
        <v>0</v>
      </c>
      <c r="H104" s="9">
        <f>IF(D104="USD",E104*$N$1,E104)</f>
        <v/>
      </c>
      <c r="I104" s="9">
        <f>IF(D104="USD",F104*$N$1,F104)</f>
        <v/>
      </c>
      <c r="J104" s="9">
        <f>IF(D104="USD",G104*$N$1,G104)</f>
        <v/>
      </c>
      <c r="K104" s="9">
        <f>H104+I104</f>
        <v/>
      </c>
    </row>
    <row r="105">
      <c r="A105" s="8" t="n">
        <v>45968</v>
      </c>
      <c r="B105" t="inlineStr">
        <is>
          <t>2025-W45</t>
        </is>
      </c>
      <c r="C105" t="inlineStr">
        <is>
          <t>Nuvei</t>
        </is>
      </c>
      <c r="D105" t="inlineStr">
        <is>
          <t>EUR</t>
        </is>
      </c>
      <c r="E105" s="9" t="n">
        <v>397964.87</v>
      </c>
      <c r="F105" s="9" t="n">
        <v>-5243.53</v>
      </c>
      <c r="G105" s="9" t="n">
        <v>0</v>
      </c>
      <c r="H105" s="9">
        <f>IF(D105="USD",E105*$N$1,E105)</f>
        <v/>
      </c>
      <c r="I105" s="9">
        <f>IF(D105="USD",F105*$N$1,F105)</f>
        <v/>
      </c>
      <c r="J105" s="9">
        <f>IF(D105="USD",G105*$N$1,G105)</f>
        <v/>
      </c>
      <c r="K105" s="9">
        <f>H105+I105</f>
        <v/>
      </c>
    </row>
    <row r="106">
      <c r="A106" s="8" t="n">
        <v>45968</v>
      </c>
      <c r="B106" t="inlineStr">
        <is>
          <t>2025-W45</t>
        </is>
      </c>
      <c r="C106" t="inlineStr">
        <is>
          <t>Nuvei</t>
        </is>
      </c>
      <c r="D106" t="inlineStr">
        <is>
          <t>EUR</t>
        </is>
      </c>
      <c r="E106" s="9" t="n">
        <v>22164.49</v>
      </c>
      <c r="F106" s="9" t="n">
        <v>-637.77</v>
      </c>
      <c r="G106" s="9" t="n">
        <v>0</v>
      </c>
      <c r="H106" s="9">
        <f>IF(D106="USD",E106*$N$1,E106)</f>
        <v/>
      </c>
      <c r="I106" s="9">
        <f>IF(D106="USD",F106*$N$1,F106)</f>
        <v/>
      </c>
      <c r="J106" s="9">
        <f>IF(D106="USD",G106*$N$1,G106)</f>
        <v/>
      </c>
      <c r="K106" s="9">
        <f>H106+I106</f>
        <v/>
      </c>
    </row>
    <row r="107">
      <c r="A107" s="8" t="n">
        <v>45969</v>
      </c>
      <c r="B107" t="inlineStr">
        <is>
          <t>2025-W45</t>
        </is>
      </c>
      <c r="C107" t="inlineStr">
        <is>
          <t>Nuvei</t>
        </is>
      </c>
      <c r="D107" t="inlineStr">
        <is>
          <t>EUR</t>
        </is>
      </c>
      <c r="E107" s="9" t="n">
        <v>356845.04</v>
      </c>
      <c r="F107" s="9" t="n">
        <v>-4067.99</v>
      </c>
      <c r="G107" s="9" t="n">
        <v>0</v>
      </c>
      <c r="H107" s="9">
        <f>IF(D107="USD",E107*$N$1,E107)</f>
        <v/>
      </c>
      <c r="I107" s="9">
        <f>IF(D107="USD",F107*$N$1,F107)</f>
        <v/>
      </c>
      <c r="J107" s="9">
        <f>IF(D107="USD",G107*$N$1,G107)</f>
        <v/>
      </c>
      <c r="K107" s="9">
        <f>H107+I107</f>
        <v/>
      </c>
    </row>
    <row r="108">
      <c r="A108" s="8" t="n">
        <v>45969</v>
      </c>
      <c r="B108" t="inlineStr">
        <is>
          <t>2025-W45</t>
        </is>
      </c>
      <c r="C108" t="inlineStr">
        <is>
          <t>Nuvei</t>
        </is>
      </c>
      <c r="D108" t="inlineStr">
        <is>
          <t>EUR</t>
        </is>
      </c>
      <c r="E108" s="9" t="n">
        <v>18087.89</v>
      </c>
      <c r="F108" s="9" t="n">
        <v>-526.01</v>
      </c>
      <c r="G108" s="9" t="n">
        <v>0</v>
      </c>
      <c r="H108" s="9">
        <f>IF(D108="USD",E108*$N$1,E108)</f>
        <v/>
      </c>
      <c r="I108" s="9">
        <f>IF(D108="USD",F108*$N$1,F108)</f>
        <v/>
      </c>
      <c r="J108" s="9">
        <f>IF(D108="USD",G108*$N$1,G108)</f>
        <v/>
      </c>
      <c r="K108" s="9">
        <f>H108+I108</f>
        <v/>
      </c>
    </row>
    <row r="109">
      <c r="A109" s="8" t="n">
        <v>45970</v>
      </c>
      <c r="B109" t="inlineStr">
        <is>
          <t>2025-W45</t>
        </is>
      </c>
      <c r="C109" t="inlineStr">
        <is>
          <t>Nuvei</t>
        </is>
      </c>
      <c r="D109" t="inlineStr">
        <is>
          <t>EUR</t>
        </is>
      </c>
      <c r="E109" s="9" t="n">
        <v>434964.76</v>
      </c>
      <c r="F109" s="9" t="n">
        <v>-4845.44</v>
      </c>
      <c r="G109" s="9" t="n">
        <v>0</v>
      </c>
      <c r="H109" s="9">
        <f>IF(D109="USD",E109*$N$1,E109)</f>
        <v/>
      </c>
      <c r="I109" s="9">
        <f>IF(D109="USD",F109*$N$1,F109)</f>
        <v/>
      </c>
      <c r="J109" s="9">
        <f>IF(D109="USD",G109*$N$1,G109)</f>
        <v/>
      </c>
      <c r="K109" s="9">
        <f>H109+I109</f>
        <v/>
      </c>
    </row>
    <row r="110">
      <c r="A110" s="8" t="n">
        <v>45970</v>
      </c>
      <c r="B110" t="inlineStr">
        <is>
          <t>2025-W45</t>
        </is>
      </c>
      <c r="C110" t="inlineStr">
        <is>
          <t>Nuvei</t>
        </is>
      </c>
      <c r="D110" t="inlineStr">
        <is>
          <t>EUR</t>
        </is>
      </c>
      <c r="E110" s="9" t="n">
        <v>13785.95</v>
      </c>
      <c r="F110" s="9" t="n">
        <v>-356.41</v>
      </c>
      <c r="G110" s="9" t="n">
        <v>0</v>
      </c>
      <c r="H110" s="9">
        <f>IF(D110="USD",E110*$N$1,E110)</f>
        <v/>
      </c>
      <c r="I110" s="9">
        <f>IF(D110="USD",F110*$N$1,F110)</f>
        <v/>
      </c>
      <c r="J110" s="9">
        <f>IF(D110="USD",G110*$N$1,G110)</f>
        <v/>
      </c>
      <c r="K110" s="9">
        <f>H110+I110</f>
        <v/>
      </c>
    </row>
    <row r="111">
      <c r="A111" s="8" t="n">
        <v>45971</v>
      </c>
      <c r="B111" t="inlineStr">
        <is>
          <t>2025-W46</t>
        </is>
      </c>
      <c r="C111" t="inlineStr">
        <is>
          <t>Nuvei</t>
        </is>
      </c>
      <c r="D111" t="inlineStr">
        <is>
          <t>EUR</t>
        </is>
      </c>
      <c r="E111" s="9" t="n">
        <v>506858.64</v>
      </c>
      <c r="F111" s="9" t="n">
        <v>-6640.85</v>
      </c>
      <c r="G111" s="9" t="n">
        <v>0</v>
      </c>
      <c r="H111" s="9">
        <f>IF(D111="USD",E111*$N$1,E111)</f>
        <v/>
      </c>
      <c r="I111" s="9">
        <f>IF(D111="USD",F111*$N$1,F111)</f>
        <v/>
      </c>
      <c r="J111" s="9">
        <f>IF(D111="USD",G111*$N$1,G111)</f>
        <v/>
      </c>
      <c r="K111" s="9">
        <f>H111+I111</f>
        <v/>
      </c>
    </row>
    <row r="112">
      <c r="A112" s="8" t="n">
        <v>45971</v>
      </c>
      <c r="B112" t="inlineStr">
        <is>
          <t>2025-W46</t>
        </is>
      </c>
      <c r="C112" t="inlineStr">
        <is>
          <t>Nuvei</t>
        </is>
      </c>
      <c r="D112" t="inlineStr">
        <is>
          <t>EUR</t>
        </is>
      </c>
      <c r="E112" s="9" t="n">
        <v>27659.53</v>
      </c>
      <c r="F112" s="9" t="n">
        <v>-737.04</v>
      </c>
      <c r="G112" s="9" t="n">
        <v>0</v>
      </c>
      <c r="H112" s="9">
        <f>IF(D112="USD",E112*$N$1,E112)</f>
        <v/>
      </c>
      <c r="I112" s="9">
        <f>IF(D112="USD",F112*$N$1,F112)</f>
        <v/>
      </c>
      <c r="J112" s="9">
        <f>IF(D112="USD",G112*$N$1,G112)</f>
        <v/>
      </c>
      <c r="K112" s="9">
        <f>H112+I112</f>
        <v/>
      </c>
    </row>
    <row r="113">
      <c r="A113" s="8" t="n">
        <v>45972</v>
      </c>
      <c r="B113" t="inlineStr">
        <is>
          <t>2025-W46</t>
        </is>
      </c>
      <c r="C113" t="inlineStr">
        <is>
          <t>Nuvei</t>
        </is>
      </c>
      <c r="D113" t="inlineStr">
        <is>
          <t>EUR</t>
        </is>
      </c>
      <c r="E113" s="9" t="n">
        <v>623165</v>
      </c>
      <c r="F113" s="9" t="n">
        <v>-7878.51</v>
      </c>
      <c r="G113" s="9" t="n">
        <v>0</v>
      </c>
      <c r="H113" s="9">
        <f>IF(D113="USD",E113*$N$1,E113)</f>
        <v/>
      </c>
      <c r="I113" s="9">
        <f>IF(D113="USD",F113*$N$1,F113)</f>
        <v/>
      </c>
      <c r="J113" s="9">
        <f>IF(D113="USD",G113*$N$1,G113)</f>
        <v/>
      </c>
      <c r="K113" s="9">
        <f>H113+I113</f>
        <v/>
      </c>
    </row>
    <row r="114">
      <c r="A114" s="8" t="n">
        <v>45972</v>
      </c>
      <c r="B114" t="inlineStr">
        <is>
          <t>2025-W46</t>
        </is>
      </c>
      <c r="C114" t="inlineStr">
        <is>
          <t>Nuvei</t>
        </is>
      </c>
      <c r="D114" t="inlineStr">
        <is>
          <t>EUR</t>
        </is>
      </c>
      <c r="E114" s="9" t="n">
        <v>13192.68</v>
      </c>
      <c r="F114" s="9" t="n">
        <v>-322.77</v>
      </c>
      <c r="G114" s="9" t="n">
        <v>0</v>
      </c>
      <c r="H114" s="9">
        <f>IF(D114="USD",E114*$N$1,E114)</f>
        <v/>
      </c>
      <c r="I114" s="9">
        <f>IF(D114="USD",F114*$N$1,F114)</f>
        <v/>
      </c>
      <c r="J114" s="9">
        <f>IF(D114="USD",G114*$N$1,G114)</f>
        <v/>
      </c>
      <c r="K114" s="9">
        <f>H114+I114</f>
        <v/>
      </c>
    </row>
    <row r="115">
      <c r="A115" s="8" t="n">
        <v>45973</v>
      </c>
      <c r="B115" t="inlineStr">
        <is>
          <t>2025-W46</t>
        </is>
      </c>
      <c r="C115" t="inlineStr">
        <is>
          <t>Nuvei</t>
        </is>
      </c>
      <c r="D115" t="inlineStr">
        <is>
          <t>EUR</t>
        </is>
      </c>
      <c r="E115" s="9" t="n">
        <v>477717.73</v>
      </c>
      <c r="F115" s="9" t="n">
        <v>-5882.36</v>
      </c>
      <c r="G115" s="9" t="n">
        <v>0</v>
      </c>
      <c r="H115" s="9">
        <f>IF(D115="USD",E115*$N$1,E115)</f>
        <v/>
      </c>
      <c r="I115" s="9">
        <f>IF(D115="USD",F115*$N$1,F115)</f>
        <v/>
      </c>
      <c r="J115" s="9">
        <f>IF(D115="USD",G115*$N$1,G115)</f>
        <v/>
      </c>
      <c r="K115" s="9">
        <f>H115+I115</f>
        <v/>
      </c>
    </row>
    <row r="116">
      <c r="A116" s="8" t="n">
        <v>45973</v>
      </c>
      <c r="B116" t="inlineStr">
        <is>
          <t>2025-W46</t>
        </is>
      </c>
      <c r="C116" t="inlineStr">
        <is>
          <t>Nuvei</t>
        </is>
      </c>
      <c r="D116" t="inlineStr">
        <is>
          <t>EUR</t>
        </is>
      </c>
      <c r="E116" s="9" t="n">
        <v>15890.56</v>
      </c>
      <c r="F116" s="9" t="n">
        <v>-445.61</v>
      </c>
      <c r="G116" s="9" t="n">
        <v>0</v>
      </c>
      <c r="H116" s="9">
        <f>IF(D116="USD",E116*$N$1,E116)</f>
        <v/>
      </c>
      <c r="I116" s="9">
        <f>IF(D116="USD",F116*$N$1,F116)</f>
        <v/>
      </c>
      <c r="J116" s="9">
        <f>IF(D116="USD",G116*$N$1,G116)</f>
        <v/>
      </c>
      <c r="K116" s="9">
        <f>H116+I116</f>
        <v/>
      </c>
    </row>
    <row r="117">
      <c r="A117" s="8" t="n">
        <v>45974</v>
      </c>
      <c r="B117" t="inlineStr">
        <is>
          <t>2025-W46</t>
        </is>
      </c>
      <c r="C117" t="inlineStr">
        <is>
          <t>Nuvei</t>
        </is>
      </c>
      <c r="D117" t="inlineStr">
        <is>
          <t>EUR</t>
        </is>
      </c>
      <c r="E117" s="9" t="n">
        <v>421694.3</v>
      </c>
      <c r="F117" s="9" t="n">
        <v>-5276.99</v>
      </c>
      <c r="G117" s="9" t="n">
        <v>0</v>
      </c>
      <c r="H117" s="9">
        <f>IF(D117="USD",E117*$N$1,E117)</f>
        <v/>
      </c>
      <c r="I117" s="9">
        <f>IF(D117="USD",F117*$N$1,F117)</f>
        <v/>
      </c>
      <c r="J117" s="9">
        <f>IF(D117="USD",G117*$N$1,G117)</f>
        <v/>
      </c>
      <c r="K117" s="9">
        <f>H117+I117</f>
        <v/>
      </c>
    </row>
    <row r="118">
      <c r="A118" s="8" t="n">
        <v>45974</v>
      </c>
      <c r="B118" t="inlineStr">
        <is>
          <t>2025-W46</t>
        </is>
      </c>
      <c r="C118" t="inlineStr">
        <is>
          <t>Nuvei</t>
        </is>
      </c>
      <c r="D118" t="inlineStr">
        <is>
          <t>EUR</t>
        </is>
      </c>
      <c r="E118" s="9" t="n">
        <v>16133.46</v>
      </c>
      <c r="F118" s="9" t="n">
        <v>-460.07</v>
      </c>
      <c r="G118" s="9" t="n">
        <v>0</v>
      </c>
      <c r="H118" s="9">
        <f>IF(D118="USD",E118*$N$1,E118)</f>
        <v/>
      </c>
      <c r="I118" s="9">
        <f>IF(D118="USD",F118*$N$1,F118)</f>
        <v/>
      </c>
      <c r="J118" s="9">
        <f>IF(D118="USD",G118*$N$1,G118)</f>
        <v/>
      </c>
      <c r="K118" s="9">
        <f>H118+I118</f>
        <v/>
      </c>
    </row>
    <row r="119">
      <c r="A119" s="8" t="n">
        <v>45975</v>
      </c>
      <c r="B119" t="inlineStr">
        <is>
          <t>2025-W46</t>
        </is>
      </c>
      <c r="C119" t="inlineStr">
        <is>
          <t>Nuvei</t>
        </is>
      </c>
      <c r="D119" t="inlineStr">
        <is>
          <t>EUR</t>
        </is>
      </c>
      <c r="E119" s="9" t="n">
        <v>407755.82</v>
      </c>
      <c r="F119" s="9" t="n">
        <v>-5451.86</v>
      </c>
      <c r="G119" s="9" t="n">
        <v>0</v>
      </c>
      <c r="H119" s="9">
        <f>IF(D119="USD",E119*$N$1,E119)</f>
        <v/>
      </c>
      <c r="I119" s="9">
        <f>IF(D119="USD",F119*$N$1,F119)</f>
        <v/>
      </c>
      <c r="J119" s="9">
        <f>IF(D119="USD",G119*$N$1,G119)</f>
        <v/>
      </c>
      <c r="K119" s="9">
        <f>H119+I119</f>
        <v/>
      </c>
    </row>
    <row r="120">
      <c r="A120" s="8" t="n">
        <v>45975</v>
      </c>
      <c r="B120" t="inlineStr">
        <is>
          <t>2025-W46</t>
        </is>
      </c>
      <c r="C120" t="inlineStr">
        <is>
          <t>Nuvei</t>
        </is>
      </c>
      <c r="D120" t="inlineStr">
        <is>
          <t>EUR</t>
        </is>
      </c>
      <c r="E120" s="9" t="n">
        <v>16315.04</v>
      </c>
      <c r="F120" s="9" t="n">
        <v>-461.11</v>
      </c>
      <c r="G120" s="9" t="n">
        <v>0</v>
      </c>
      <c r="H120" s="9">
        <f>IF(D120="USD",E120*$N$1,E120)</f>
        <v/>
      </c>
      <c r="I120" s="9">
        <f>IF(D120="USD",F120*$N$1,F120)</f>
        <v/>
      </c>
      <c r="J120" s="9">
        <f>IF(D120="USD",G120*$N$1,G120)</f>
        <v/>
      </c>
      <c r="K120" s="9">
        <f>H120+I120</f>
        <v/>
      </c>
    </row>
    <row r="121">
      <c r="A121" s="8" t="n">
        <v>45976</v>
      </c>
      <c r="B121" t="inlineStr">
        <is>
          <t>2025-W46</t>
        </is>
      </c>
      <c r="C121" t="inlineStr">
        <is>
          <t>Nuvei</t>
        </is>
      </c>
      <c r="D121" t="inlineStr">
        <is>
          <t>EUR</t>
        </is>
      </c>
      <c r="E121" s="9" t="n">
        <v>349850.72</v>
      </c>
      <c r="F121" s="9" t="n">
        <v>-4269.01</v>
      </c>
      <c r="G121" s="9" t="n">
        <v>0</v>
      </c>
      <c r="H121" s="9">
        <f>IF(D121="USD",E121*$N$1,E121)</f>
        <v/>
      </c>
      <c r="I121" s="9">
        <f>IF(D121="USD",F121*$N$1,F121)</f>
        <v/>
      </c>
      <c r="J121" s="9">
        <f>IF(D121="USD",G121*$N$1,G121)</f>
        <v/>
      </c>
      <c r="K121" s="9">
        <f>H121+I121</f>
        <v/>
      </c>
    </row>
    <row r="122">
      <c r="A122" s="8" t="n">
        <v>45976</v>
      </c>
      <c r="B122" t="inlineStr">
        <is>
          <t>2025-W46</t>
        </is>
      </c>
      <c r="C122" t="inlineStr">
        <is>
          <t>Nuvei</t>
        </is>
      </c>
      <c r="D122" t="inlineStr">
        <is>
          <t>EUR</t>
        </is>
      </c>
      <c r="E122" s="9" t="n">
        <v>30462.13</v>
      </c>
      <c r="F122" s="9" t="n">
        <v>-905.77</v>
      </c>
      <c r="G122" s="9" t="n">
        <v>0</v>
      </c>
      <c r="H122" s="9">
        <f>IF(D122="USD",E122*$N$1,E122)</f>
        <v/>
      </c>
      <c r="I122" s="9">
        <f>IF(D122="USD",F122*$N$1,F122)</f>
        <v/>
      </c>
      <c r="J122" s="9">
        <f>IF(D122="USD",G122*$N$1,G122)</f>
        <v/>
      </c>
      <c r="K122" s="9">
        <f>H122+I122</f>
        <v/>
      </c>
    </row>
    <row r="123">
      <c r="A123" s="8" t="n">
        <v>45977</v>
      </c>
      <c r="B123" t="inlineStr">
        <is>
          <t>2025-W46</t>
        </is>
      </c>
      <c r="C123" t="inlineStr">
        <is>
          <t>Nuvei</t>
        </is>
      </c>
      <c r="D123" t="inlineStr">
        <is>
          <t>EUR</t>
        </is>
      </c>
      <c r="E123" s="9" t="n">
        <v>488188.75</v>
      </c>
      <c r="F123" s="9" t="n">
        <v>-5816.18</v>
      </c>
      <c r="G123" s="9" t="n">
        <v>0</v>
      </c>
      <c r="H123" s="9">
        <f>IF(D123="USD",E123*$N$1,E123)</f>
        <v/>
      </c>
      <c r="I123" s="9">
        <f>IF(D123="USD",F123*$N$1,F123)</f>
        <v/>
      </c>
      <c r="J123" s="9">
        <f>IF(D123="USD",G123*$N$1,G123)</f>
        <v/>
      </c>
      <c r="K123" s="9">
        <f>H123+I123</f>
        <v/>
      </c>
    </row>
    <row r="124">
      <c r="A124" s="8" t="n">
        <v>45977</v>
      </c>
      <c r="B124" t="inlineStr">
        <is>
          <t>2025-W46</t>
        </is>
      </c>
      <c r="C124" t="inlineStr">
        <is>
          <t>Nuvei</t>
        </is>
      </c>
      <c r="D124" t="inlineStr">
        <is>
          <t>EUR</t>
        </is>
      </c>
      <c r="E124" s="9" t="n">
        <v>27304.18</v>
      </c>
      <c r="F124" s="9" t="n">
        <v>-742.42</v>
      </c>
      <c r="G124" s="9" t="n">
        <v>0</v>
      </c>
      <c r="H124" s="9">
        <f>IF(D124="USD",E124*$N$1,E124)</f>
        <v/>
      </c>
      <c r="I124" s="9">
        <f>IF(D124="USD",F124*$N$1,F124)</f>
        <v/>
      </c>
      <c r="J124" s="9">
        <f>IF(D124="USD",G124*$N$1,G124)</f>
        <v/>
      </c>
      <c r="K124" s="9">
        <f>H124+I124</f>
        <v/>
      </c>
    </row>
    <row r="125">
      <c r="A125" s="8" t="n">
        <v>45978</v>
      </c>
      <c r="B125" t="inlineStr">
        <is>
          <t>2025-W47</t>
        </is>
      </c>
      <c r="C125" t="inlineStr">
        <is>
          <t>Nuvei</t>
        </is>
      </c>
      <c r="D125" t="inlineStr">
        <is>
          <t>EUR</t>
        </is>
      </c>
      <c r="E125" s="9" t="n">
        <v>442378.17</v>
      </c>
      <c r="F125" s="9" t="n">
        <v>-5663.3</v>
      </c>
      <c r="G125" s="9" t="n">
        <v>0</v>
      </c>
      <c r="H125" s="9">
        <f>IF(D125="USD",E125*$N$1,E125)</f>
        <v/>
      </c>
      <c r="I125" s="9">
        <f>IF(D125="USD",F125*$N$1,F125)</f>
        <v/>
      </c>
      <c r="J125" s="9">
        <f>IF(D125="USD",G125*$N$1,G125)</f>
        <v/>
      </c>
      <c r="K125" s="9">
        <f>H125+I125</f>
        <v/>
      </c>
    </row>
    <row r="126">
      <c r="A126" s="8" t="n">
        <v>45978</v>
      </c>
      <c r="B126" t="inlineStr">
        <is>
          <t>2025-W47</t>
        </is>
      </c>
      <c r="C126" t="inlineStr">
        <is>
          <t>Nuvei</t>
        </is>
      </c>
      <c r="D126" t="inlineStr">
        <is>
          <t>EUR</t>
        </is>
      </c>
      <c r="E126" s="9" t="n">
        <v>25604.48</v>
      </c>
      <c r="F126" s="9" t="n">
        <v>-719.8</v>
      </c>
      <c r="G126" s="9" t="n">
        <v>0</v>
      </c>
      <c r="H126" s="9">
        <f>IF(D126="USD",E126*$N$1,E126)</f>
        <v/>
      </c>
      <c r="I126" s="9">
        <f>IF(D126="USD",F126*$N$1,F126)</f>
        <v/>
      </c>
      <c r="J126" s="9">
        <f>IF(D126="USD",G126*$N$1,G126)</f>
        <v/>
      </c>
      <c r="K126" s="9">
        <f>H126+I126</f>
        <v/>
      </c>
    </row>
    <row r="127">
      <c r="A127" s="8" t="n">
        <v>45979</v>
      </c>
      <c r="B127" t="inlineStr">
        <is>
          <t>2025-W47</t>
        </is>
      </c>
      <c r="C127" t="inlineStr">
        <is>
          <t>Nuvei</t>
        </is>
      </c>
      <c r="D127" t="inlineStr">
        <is>
          <t>EUR</t>
        </is>
      </c>
      <c r="E127" s="9" t="n">
        <v>0</v>
      </c>
      <c r="F127" s="9" t="n">
        <v>0</v>
      </c>
      <c r="G127" s="9" t="n">
        <v>-3024444.73</v>
      </c>
      <c r="H127" s="9">
        <f>IF(D127="USD",E127*$N$1,E127)</f>
        <v/>
      </c>
      <c r="I127" s="9">
        <f>IF(D127="USD",F127*$N$1,F127)</f>
        <v/>
      </c>
      <c r="J127" s="9">
        <f>IF(D127="USD",G127*$N$1,G127)</f>
        <v/>
      </c>
      <c r="K127" s="9">
        <f>H127+I127</f>
        <v/>
      </c>
    </row>
    <row r="128">
      <c r="A128" s="8" t="n">
        <v>45979</v>
      </c>
      <c r="B128" t="inlineStr">
        <is>
          <t>2025-W47</t>
        </is>
      </c>
      <c r="C128" t="inlineStr">
        <is>
          <t>Nuvei</t>
        </is>
      </c>
      <c r="D128" t="inlineStr">
        <is>
          <t>EUR</t>
        </is>
      </c>
      <c r="E128" s="9" t="n">
        <v>0</v>
      </c>
      <c r="F128" s="9" t="n">
        <v>0</v>
      </c>
      <c r="G128" s="9" t="n">
        <v>-139127.99</v>
      </c>
      <c r="H128" s="9">
        <f>IF(D128="USD",E128*$N$1,E128)</f>
        <v/>
      </c>
      <c r="I128" s="9">
        <f>IF(D128="USD",F128*$N$1,F128)</f>
        <v/>
      </c>
      <c r="J128" s="9">
        <f>IF(D128="USD",G128*$N$1,G128)</f>
        <v/>
      </c>
      <c r="K128" s="9">
        <f>H128+I128</f>
        <v/>
      </c>
    </row>
    <row r="129">
      <c r="A129" s="8" t="n">
        <v>45979</v>
      </c>
      <c r="B129" t="inlineStr">
        <is>
          <t>2025-W47</t>
        </is>
      </c>
      <c r="C129" t="inlineStr">
        <is>
          <t>Nuvei</t>
        </is>
      </c>
      <c r="D129" t="inlineStr">
        <is>
          <t>EUR</t>
        </is>
      </c>
      <c r="E129" s="9" t="n">
        <v>457244.25</v>
      </c>
      <c r="F129" s="9" t="n">
        <v>-5867.48</v>
      </c>
      <c r="G129" s="9" t="n">
        <v>0</v>
      </c>
      <c r="H129" s="9">
        <f>IF(D129="USD",E129*$N$1,E129)</f>
        <v/>
      </c>
      <c r="I129" s="9">
        <f>IF(D129="USD",F129*$N$1,F129)</f>
        <v/>
      </c>
      <c r="J129" s="9">
        <f>IF(D129="USD",G129*$N$1,G129)</f>
        <v/>
      </c>
      <c r="K129" s="9">
        <f>H129+I129</f>
        <v/>
      </c>
    </row>
    <row r="130">
      <c r="A130" s="8" t="n">
        <v>45979</v>
      </c>
      <c r="B130" t="inlineStr">
        <is>
          <t>2025-W47</t>
        </is>
      </c>
      <c r="C130" t="inlineStr">
        <is>
          <t>Nuvei</t>
        </is>
      </c>
      <c r="D130" t="inlineStr">
        <is>
          <t>EUR</t>
        </is>
      </c>
      <c r="E130" s="9" t="n">
        <v>22867.5</v>
      </c>
      <c r="F130" s="9" t="n">
        <v>-675.6900000000001</v>
      </c>
      <c r="G130" s="9" t="n">
        <v>0</v>
      </c>
      <c r="H130" s="9">
        <f>IF(D130="USD",E130*$N$1,E130)</f>
        <v/>
      </c>
      <c r="I130" s="9">
        <f>IF(D130="USD",F130*$N$1,F130)</f>
        <v/>
      </c>
      <c r="J130" s="9">
        <f>IF(D130="USD",G130*$N$1,G130)</f>
        <v/>
      </c>
      <c r="K130" s="9">
        <f>H130+I130</f>
        <v/>
      </c>
    </row>
    <row r="131">
      <c r="A131" s="8" t="n">
        <v>45980</v>
      </c>
      <c r="B131" t="inlineStr">
        <is>
          <t>2025-W47</t>
        </is>
      </c>
      <c r="C131" t="inlineStr">
        <is>
          <t>Nuvei</t>
        </is>
      </c>
      <c r="D131" t="inlineStr">
        <is>
          <t>EUR</t>
        </is>
      </c>
      <c r="E131" s="9" t="n">
        <v>422357.36</v>
      </c>
      <c r="F131" s="9" t="n">
        <v>-5673.1</v>
      </c>
      <c r="G131" s="9" t="n">
        <v>0</v>
      </c>
      <c r="H131" s="9">
        <f>IF(D131="USD",E131*$N$1,E131)</f>
        <v/>
      </c>
      <c r="I131" s="9">
        <f>IF(D131="USD",F131*$N$1,F131)</f>
        <v/>
      </c>
      <c r="J131" s="9">
        <f>IF(D131="USD",G131*$N$1,G131)</f>
        <v/>
      </c>
      <c r="K131" s="9">
        <f>H131+I131</f>
        <v/>
      </c>
    </row>
    <row r="132">
      <c r="A132" s="8" t="n">
        <v>45980</v>
      </c>
      <c r="B132" t="inlineStr">
        <is>
          <t>2025-W47</t>
        </is>
      </c>
      <c r="C132" t="inlineStr">
        <is>
          <t>Nuvei</t>
        </is>
      </c>
      <c r="D132" t="inlineStr">
        <is>
          <t>EUR</t>
        </is>
      </c>
      <c r="E132" s="9" t="n">
        <v>31150.59</v>
      </c>
      <c r="F132" s="9" t="n">
        <v>-898.79</v>
      </c>
      <c r="G132" s="9" t="n">
        <v>0</v>
      </c>
      <c r="H132" s="9">
        <f>IF(D132="USD",E132*$N$1,E132)</f>
        <v/>
      </c>
      <c r="I132" s="9">
        <f>IF(D132="USD",F132*$N$1,F132)</f>
        <v/>
      </c>
      <c r="J132" s="9">
        <f>IF(D132="USD",G132*$N$1,G132)</f>
        <v/>
      </c>
      <c r="K132" s="9">
        <f>H132+I132</f>
        <v/>
      </c>
    </row>
    <row r="133">
      <c r="A133" s="8" t="n">
        <v>45981</v>
      </c>
      <c r="B133" t="inlineStr">
        <is>
          <t>2025-W47</t>
        </is>
      </c>
      <c r="C133" t="inlineStr">
        <is>
          <t>Nuvei</t>
        </is>
      </c>
      <c r="D133" t="inlineStr">
        <is>
          <t>EUR</t>
        </is>
      </c>
      <c r="E133" s="9" t="n">
        <v>367034.77</v>
      </c>
      <c r="F133" s="9" t="n">
        <v>-4805.74</v>
      </c>
      <c r="G133" s="9" t="n">
        <v>0</v>
      </c>
      <c r="H133" s="9">
        <f>IF(D133="USD",E133*$N$1,E133)</f>
        <v/>
      </c>
      <c r="I133" s="9">
        <f>IF(D133="USD",F133*$N$1,F133)</f>
        <v/>
      </c>
      <c r="J133" s="9">
        <f>IF(D133="USD",G133*$N$1,G133)</f>
        <v/>
      </c>
      <c r="K133" s="9">
        <f>H133+I133</f>
        <v/>
      </c>
    </row>
    <row r="134">
      <c r="A134" s="8" t="n">
        <v>45981</v>
      </c>
      <c r="B134" t="inlineStr">
        <is>
          <t>2025-W47</t>
        </is>
      </c>
      <c r="C134" t="inlineStr">
        <is>
          <t>Nuvei</t>
        </is>
      </c>
      <c r="D134" t="inlineStr">
        <is>
          <t>EUR</t>
        </is>
      </c>
      <c r="E134" s="9" t="n">
        <v>23001.96</v>
      </c>
      <c r="F134" s="9" t="n">
        <v>-624.9</v>
      </c>
      <c r="G134" s="9" t="n">
        <v>0</v>
      </c>
      <c r="H134" s="9">
        <f>IF(D134="USD",E134*$N$1,E134)</f>
        <v/>
      </c>
      <c r="I134" s="9">
        <f>IF(D134="USD",F134*$N$1,F134)</f>
        <v/>
      </c>
      <c r="J134" s="9">
        <f>IF(D134="USD",G134*$N$1,G134)</f>
        <v/>
      </c>
      <c r="K134" s="9">
        <f>H134+I134</f>
        <v/>
      </c>
    </row>
    <row r="135">
      <c r="A135" s="8" t="n">
        <v>45982</v>
      </c>
      <c r="B135" t="inlineStr">
        <is>
          <t>2025-W47</t>
        </is>
      </c>
      <c r="C135" t="inlineStr">
        <is>
          <t>Nuvei</t>
        </is>
      </c>
      <c r="D135" t="inlineStr">
        <is>
          <t>EUR</t>
        </is>
      </c>
      <c r="E135" s="9" t="n">
        <v>0</v>
      </c>
      <c r="F135" s="9" t="n">
        <v>0</v>
      </c>
      <c r="G135" s="9" t="n">
        <v>-1087111.86</v>
      </c>
      <c r="H135" s="9">
        <f>IF(D135="USD",E135*$N$1,E135)</f>
        <v/>
      </c>
      <c r="I135" s="9">
        <f>IF(D135="USD",F135*$N$1,F135)</f>
        <v/>
      </c>
      <c r="J135" s="9">
        <f>IF(D135="USD",G135*$N$1,G135)</f>
        <v/>
      </c>
      <c r="K135" s="9">
        <f>H135+I135</f>
        <v/>
      </c>
    </row>
    <row r="136">
      <c r="A136" s="8" t="n">
        <v>45982</v>
      </c>
      <c r="B136" t="inlineStr">
        <is>
          <t>2025-W47</t>
        </is>
      </c>
      <c r="C136" t="inlineStr">
        <is>
          <t>Nuvei</t>
        </is>
      </c>
      <c r="D136" t="inlineStr">
        <is>
          <t>EUR</t>
        </is>
      </c>
      <c r="E136" s="9" t="n">
        <v>0</v>
      </c>
      <c r="F136" s="9" t="n">
        <v>0</v>
      </c>
      <c r="G136" s="9" t="n">
        <v>-28314.86</v>
      </c>
      <c r="H136" s="9">
        <f>IF(D136="USD",E136*$N$1,E136)</f>
        <v/>
      </c>
      <c r="I136" s="9">
        <f>IF(D136="USD",F136*$N$1,F136)</f>
        <v/>
      </c>
      <c r="J136" s="9">
        <f>IF(D136="USD",G136*$N$1,G136)</f>
        <v/>
      </c>
      <c r="K136" s="9">
        <f>H136+I136</f>
        <v/>
      </c>
    </row>
    <row r="137">
      <c r="A137" s="8" t="n">
        <v>45982</v>
      </c>
      <c r="B137" t="inlineStr">
        <is>
          <t>2025-W47</t>
        </is>
      </c>
      <c r="C137" t="inlineStr">
        <is>
          <t>Nuvei</t>
        </is>
      </c>
      <c r="D137" t="inlineStr">
        <is>
          <t>EUR</t>
        </is>
      </c>
      <c r="E137" s="9" t="n">
        <v>0</v>
      </c>
      <c r="F137" s="9" t="n">
        <v>0</v>
      </c>
      <c r="G137" s="9" t="n">
        <v>-416413.8</v>
      </c>
      <c r="H137" s="9">
        <f>IF(D137="USD",E137*$N$1,E137)</f>
        <v/>
      </c>
      <c r="I137" s="9">
        <f>IF(D137="USD",F137*$N$1,F137)</f>
        <v/>
      </c>
      <c r="J137" s="9">
        <f>IF(D137="USD",G137*$N$1,G137)</f>
        <v/>
      </c>
      <c r="K137" s="9">
        <f>H137+I137</f>
        <v/>
      </c>
    </row>
    <row r="138">
      <c r="A138" s="8" t="n">
        <v>45982</v>
      </c>
      <c r="B138" t="inlineStr">
        <is>
          <t>2025-W47</t>
        </is>
      </c>
      <c r="C138" t="inlineStr">
        <is>
          <t>Nuvei</t>
        </is>
      </c>
      <c r="D138" t="inlineStr">
        <is>
          <t>EUR</t>
        </is>
      </c>
      <c r="E138" s="9" t="n">
        <v>0</v>
      </c>
      <c r="F138" s="9" t="n">
        <v>0</v>
      </c>
      <c r="G138" s="9" t="n">
        <v>-15669.89</v>
      </c>
      <c r="H138" s="9">
        <f>IF(D138="USD",E138*$N$1,E138)</f>
        <v/>
      </c>
      <c r="I138" s="9">
        <f>IF(D138="USD",F138*$N$1,F138)</f>
        <v/>
      </c>
      <c r="J138" s="9">
        <f>IF(D138="USD",G138*$N$1,G138)</f>
        <v/>
      </c>
      <c r="K138" s="9">
        <f>H138+I138</f>
        <v/>
      </c>
    </row>
    <row r="139">
      <c r="A139" s="8" t="n">
        <v>45982</v>
      </c>
      <c r="B139" t="inlineStr">
        <is>
          <t>2025-W47</t>
        </is>
      </c>
      <c r="C139" t="inlineStr">
        <is>
          <t>Nuvei</t>
        </is>
      </c>
      <c r="D139" t="inlineStr">
        <is>
          <t>EUR</t>
        </is>
      </c>
      <c r="E139" s="9" t="n">
        <v>306727.27</v>
      </c>
      <c r="F139" s="9" t="n">
        <v>-3882.59</v>
      </c>
      <c r="G139" s="9" t="n">
        <v>0</v>
      </c>
      <c r="H139" s="9">
        <f>IF(D139="USD",E139*$N$1,E139)</f>
        <v/>
      </c>
      <c r="I139" s="9">
        <f>IF(D139="USD",F139*$N$1,F139)</f>
        <v/>
      </c>
      <c r="J139" s="9">
        <f>IF(D139="USD",G139*$N$1,G139)</f>
        <v/>
      </c>
      <c r="K139" s="9">
        <f>H139+I139</f>
        <v/>
      </c>
    </row>
    <row r="140">
      <c r="A140" s="8" t="n">
        <v>45982</v>
      </c>
      <c r="B140" t="inlineStr">
        <is>
          <t>2025-W47</t>
        </is>
      </c>
      <c r="C140" t="inlineStr">
        <is>
          <t>Nuvei</t>
        </is>
      </c>
      <c r="D140" t="inlineStr">
        <is>
          <t>EUR</t>
        </is>
      </c>
      <c r="E140" s="9" t="n">
        <v>25430.83</v>
      </c>
      <c r="F140" s="9" t="n">
        <v>-718.34</v>
      </c>
      <c r="G140" s="9" t="n">
        <v>0</v>
      </c>
      <c r="H140" s="9">
        <f>IF(D140="USD",E140*$N$1,E140)</f>
        <v/>
      </c>
      <c r="I140" s="9">
        <f>IF(D140="USD",F140*$N$1,F140)</f>
        <v/>
      </c>
      <c r="J140" s="9">
        <f>IF(D140="USD",G140*$N$1,G140)</f>
        <v/>
      </c>
      <c r="K140" s="9">
        <f>H140+I140</f>
        <v/>
      </c>
    </row>
    <row r="141">
      <c r="A141" s="8" t="n">
        <v>45983</v>
      </c>
      <c r="B141" t="inlineStr">
        <is>
          <t>2025-W47</t>
        </is>
      </c>
      <c r="C141" t="inlineStr">
        <is>
          <t>Nuvei</t>
        </is>
      </c>
      <c r="D141" t="inlineStr">
        <is>
          <t>EUR</t>
        </is>
      </c>
      <c r="E141" s="9" t="n">
        <v>312917.45</v>
      </c>
      <c r="F141" s="9" t="n">
        <v>-4245.31</v>
      </c>
      <c r="G141" s="9" t="n">
        <v>0</v>
      </c>
      <c r="H141" s="9">
        <f>IF(D141="USD",E141*$N$1,E141)</f>
        <v/>
      </c>
      <c r="I141" s="9">
        <f>IF(D141="USD",F141*$N$1,F141)</f>
        <v/>
      </c>
      <c r="J141" s="9">
        <f>IF(D141="USD",G141*$N$1,G141)</f>
        <v/>
      </c>
      <c r="K141" s="9">
        <f>H141+I141</f>
        <v/>
      </c>
    </row>
    <row r="142">
      <c r="A142" s="8" t="n">
        <v>45983</v>
      </c>
      <c r="B142" t="inlineStr">
        <is>
          <t>2025-W47</t>
        </is>
      </c>
      <c r="C142" t="inlineStr">
        <is>
          <t>Nuvei</t>
        </is>
      </c>
      <c r="D142" t="inlineStr">
        <is>
          <t>EUR</t>
        </is>
      </c>
      <c r="E142" s="9" t="n">
        <v>13633.28</v>
      </c>
      <c r="F142" s="9" t="n">
        <v>-404.15</v>
      </c>
      <c r="G142" s="9" t="n">
        <v>0</v>
      </c>
      <c r="H142" s="9">
        <f>IF(D142="USD",E142*$N$1,E142)</f>
        <v/>
      </c>
      <c r="I142" s="9">
        <f>IF(D142="USD",F142*$N$1,F142)</f>
        <v/>
      </c>
      <c r="J142" s="9">
        <f>IF(D142="USD",G142*$N$1,G142)</f>
        <v/>
      </c>
      <c r="K142" s="9">
        <f>H142+I142</f>
        <v/>
      </c>
    </row>
    <row r="143">
      <c r="A143" s="8" t="n">
        <v>45984</v>
      </c>
      <c r="B143" t="inlineStr">
        <is>
          <t>2025-W47</t>
        </is>
      </c>
      <c r="C143" t="inlineStr">
        <is>
          <t>Nuvei</t>
        </is>
      </c>
      <c r="D143" t="inlineStr">
        <is>
          <t>EUR</t>
        </is>
      </c>
      <c r="E143" s="9" t="n">
        <v>416709.08</v>
      </c>
      <c r="F143" s="9" t="n">
        <v>-5390.7</v>
      </c>
      <c r="G143" s="9" t="n">
        <v>0</v>
      </c>
      <c r="H143" s="9">
        <f>IF(D143="USD",E143*$N$1,E143)</f>
        <v/>
      </c>
      <c r="I143" s="9">
        <f>IF(D143="USD",F143*$N$1,F143)</f>
        <v/>
      </c>
      <c r="J143" s="9">
        <f>IF(D143="USD",G143*$N$1,G143)</f>
        <v/>
      </c>
      <c r="K143" s="9">
        <f>H143+I143</f>
        <v/>
      </c>
    </row>
    <row r="144">
      <c r="A144" s="8" t="n">
        <v>45984</v>
      </c>
      <c r="B144" t="inlineStr">
        <is>
          <t>2025-W47</t>
        </is>
      </c>
      <c r="C144" t="inlineStr">
        <is>
          <t>Nuvei</t>
        </is>
      </c>
      <c r="D144" t="inlineStr">
        <is>
          <t>EUR</t>
        </is>
      </c>
      <c r="E144" s="9" t="n">
        <v>25510.57</v>
      </c>
      <c r="F144" s="9" t="n">
        <v>-725.39</v>
      </c>
      <c r="G144" s="9" t="n">
        <v>0</v>
      </c>
      <c r="H144" s="9">
        <f>IF(D144="USD",E144*$N$1,E144)</f>
        <v/>
      </c>
      <c r="I144" s="9">
        <f>IF(D144="USD",F144*$N$1,F144)</f>
        <v/>
      </c>
      <c r="J144" s="9">
        <f>IF(D144="USD",G144*$N$1,G144)</f>
        <v/>
      </c>
      <c r="K144" s="9">
        <f>H144+I144</f>
        <v/>
      </c>
    </row>
    <row r="145">
      <c r="A145" s="8" t="n">
        <v>45985</v>
      </c>
      <c r="B145" t="inlineStr">
        <is>
          <t>2025-W48</t>
        </is>
      </c>
      <c r="C145" t="inlineStr">
        <is>
          <t>Nuvei</t>
        </is>
      </c>
      <c r="D145" t="inlineStr">
        <is>
          <t>EUR</t>
        </is>
      </c>
      <c r="E145" s="9" t="n">
        <v>0</v>
      </c>
      <c r="F145" s="9" t="n">
        <v>0</v>
      </c>
      <c r="G145" s="9" t="n">
        <v>-402303.96</v>
      </c>
      <c r="H145" s="9">
        <f>IF(D145="USD",E145*$N$1,E145)</f>
        <v/>
      </c>
      <c r="I145" s="9">
        <f>IF(D145="USD",F145*$N$1,F145)</f>
        <v/>
      </c>
      <c r="J145" s="9">
        <f>IF(D145="USD",G145*$N$1,G145)</f>
        <v/>
      </c>
      <c r="K145" s="9">
        <f>H145+I145</f>
        <v/>
      </c>
    </row>
    <row r="146">
      <c r="A146" s="8" t="n">
        <v>45985</v>
      </c>
      <c r="B146" t="inlineStr">
        <is>
          <t>2025-W48</t>
        </is>
      </c>
      <c r="C146" t="inlineStr">
        <is>
          <t>Nuvei</t>
        </is>
      </c>
      <c r="D146" t="inlineStr">
        <is>
          <t>EUR</t>
        </is>
      </c>
      <c r="E146" s="9" t="n">
        <v>0</v>
      </c>
      <c r="F146" s="9" t="n">
        <v>0</v>
      </c>
      <c r="G146" s="9" t="n">
        <v>-15853.93</v>
      </c>
      <c r="H146" s="9">
        <f>IF(D146="USD",E146*$N$1,E146)</f>
        <v/>
      </c>
      <c r="I146" s="9">
        <f>IF(D146="USD",F146*$N$1,F146)</f>
        <v/>
      </c>
      <c r="J146" s="9">
        <f>IF(D146="USD",G146*$N$1,G146)</f>
        <v/>
      </c>
      <c r="K146" s="9">
        <f>H146+I146</f>
        <v/>
      </c>
    </row>
    <row r="147">
      <c r="A147" s="8" t="n">
        <v>45985</v>
      </c>
      <c r="B147" t="inlineStr">
        <is>
          <t>2025-W48</t>
        </is>
      </c>
      <c r="C147" t="inlineStr">
        <is>
          <t>Nuvei</t>
        </is>
      </c>
      <c r="D147" t="inlineStr">
        <is>
          <t>EUR</t>
        </is>
      </c>
      <c r="E147" s="9" t="n">
        <v>365240.18</v>
      </c>
      <c r="F147" s="9" t="n">
        <v>-4887.89</v>
      </c>
      <c r="G147" s="9" t="n">
        <v>0</v>
      </c>
      <c r="H147" s="9">
        <f>IF(D147="USD",E147*$N$1,E147)</f>
        <v/>
      </c>
      <c r="I147" s="9">
        <f>IF(D147="USD",F147*$N$1,F147)</f>
        <v/>
      </c>
      <c r="J147" s="9">
        <f>IF(D147="USD",G147*$N$1,G147)</f>
        <v/>
      </c>
      <c r="K147" s="9">
        <f>H147+I147</f>
        <v/>
      </c>
    </row>
    <row r="148">
      <c r="A148" s="8" t="n">
        <v>45985</v>
      </c>
      <c r="B148" t="inlineStr">
        <is>
          <t>2025-W48</t>
        </is>
      </c>
      <c r="C148" t="inlineStr">
        <is>
          <t>Nuvei</t>
        </is>
      </c>
      <c r="D148" t="inlineStr">
        <is>
          <t>EUR</t>
        </is>
      </c>
      <c r="E148" s="9" t="n">
        <v>22331.58</v>
      </c>
      <c r="F148" s="9" t="n">
        <v>-607.1</v>
      </c>
      <c r="G148" s="9" t="n">
        <v>0</v>
      </c>
      <c r="H148" s="9">
        <f>IF(D148="USD",E148*$N$1,E148)</f>
        <v/>
      </c>
      <c r="I148" s="9">
        <f>IF(D148="USD",F148*$N$1,F148)</f>
        <v/>
      </c>
      <c r="J148" s="9">
        <f>IF(D148="USD",G148*$N$1,G148)</f>
        <v/>
      </c>
      <c r="K148" s="9">
        <f>H148+I148</f>
        <v/>
      </c>
    </row>
    <row r="149">
      <c r="A149" s="8" t="n">
        <v>45986</v>
      </c>
      <c r="B149" t="inlineStr">
        <is>
          <t>2025-W48</t>
        </is>
      </c>
      <c r="C149" t="inlineStr">
        <is>
          <t>Nuvei</t>
        </is>
      </c>
      <c r="D149" t="inlineStr">
        <is>
          <t>EUR</t>
        </is>
      </c>
      <c r="E149" s="9" t="n">
        <v>0</v>
      </c>
      <c r="F149" s="9" t="n">
        <v>0</v>
      </c>
      <c r="G149" s="9" t="n">
        <v>-1264669.17</v>
      </c>
      <c r="H149" s="9">
        <f>IF(D149="USD",E149*$N$1,E149)</f>
        <v/>
      </c>
      <c r="I149" s="9">
        <f>IF(D149="USD",F149*$N$1,F149)</f>
        <v/>
      </c>
      <c r="J149" s="9">
        <f>IF(D149="USD",G149*$N$1,G149)</f>
        <v/>
      </c>
      <c r="K149" s="9">
        <f>H149+I149</f>
        <v/>
      </c>
    </row>
    <row r="150">
      <c r="A150" s="8" t="n">
        <v>45986</v>
      </c>
      <c r="B150" t="inlineStr">
        <is>
          <t>2025-W48</t>
        </is>
      </c>
      <c r="C150" t="inlineStr">
        <is>
          <t>Nuvei</t>
        </is>
      </c>
      <c r="D150" t="inlineStr">
        <is>
          <t>EUR</t>
        </is>
      </c>
      <c r="E150" s="9" t="n">
        <v>0</v>
      </c>
      <c r="F150" s="9" t="n">
        <v>0</v>
      </c>
      <c r="G150" s="9" t="n">
        <v>-81002.8</v>
      </c>
      <c r="H150" s="9">
        <f>IF(D150="USD",E150*$N$1,E150)</f>
        <v/>
      </c>
      <c r="I150" s="9">
        <f>IF(D150="USD",F150*$N$1,F150)</f>
        <v/>
      </c>
      <c r="J150" s="9">
        <f>IF(D150="USD",G150*$N$1,G150)</f>
        <v/>
      </c>
      <c r="K150" s="9">
        <f>H150+I150</f>
        <v/>
      </c>
    </row>
    <row r="151">
      <c r="A151" s="8" t="n">
        <v>45986</v>
      </c>
      <c r="B151" t="inlineStr">
        <is>
          <t>2025-W48</t>
        </is>
      </c>
      <c r="C151" t="inlineStr">
        <is>
          <t>Nuvei</t>
        </is>
      </c>
      <c r="D151" t="inlineStr">
        <is>
          <t>EUR</t>
        </is>
      </c>
      <c r="E151" s="9" t="n">
        <v>419766.98</v>
      </c>
      <c r="F151" s="9" t="n">
        <v>-5676.9</v>
      </c>
      <c r="G151" s="9" t="n">
        <v>0</v>
      </c>
      <c r="H151" s="9">
        <f>IF(D151="USD",E151*$N$1,E151)</f>
        <v/>
      </c>
      <c r="I151" s="9">
        <f>IF(D151="USD",F151*$N$1,F151)</f>
        <v/>
      </c>
      <c r="J151" s="9">
        <f>IF(D151="USD",G151*$N$1,G151)</f>
        <v/>
      </c>
      <c r="K151" s="9">
        <f>H151+I151</f>
        <v/>
      </c>
    </row>
    <row r="152">
      <c r="A152" s="8" t="n">
        <v>45986</v>
      </c>
      <c r="B152" t="inlineStr">
        <is>
          <t>2025-W48</t>
        </is>
      </c>
      <c r="C152" t="inlineStr">
        <is>
          <t>Nuvei</t>
        </is>
      </c>
      <c r="D152" t="inlineStr">
        <is>
          <t>EUR</t>
        </is>
      </c>
      <c r="E152" s="9" t="n">
        <v>30003.92</v>
      </c>
      <c r="F152" s="9" t="n">
        <v>-795.72</v>
      </c>
      <c r="G152" s="9" t="n">
        <v>0</v>
      </c>
      <c r="H152" s="9">
        <f>IF(D152="USD",E152*$N$1,E152)</f>
        <v/>
      </c>
      <c r="I152" s="9">
        <f>IF(D152="USD",F152*$N$1,F152)</f>
        <v/>
      </c>
      <c r="J152" s="9">
        <f>IF(D152="USD",G152*$N$1,G152)</f>
        <v/>
      </c>
      <c r="K152" s="9">
        <f>H152+I152</f>
        <v/>
      </c>
    </row>
    <row r="153">
      <c r="A153" s="8" t="n">
        <v>45987</v>
      </c>
      <c r="B153" t="inlineStr">
        <is>
          <t>2025-W48</t>
        </is>
      </c>
      <c r="C153" t="inlineStr">
        <is>
          <t>Nuvei</t>
        </is>
      </c>
      <c r="D153" t="inlineStr">
        <is>
          <t>EUR</t>
        </is>
      </c>
      <c r="E153" s="9" t="n">
        <v>0</v>
      </c>
      <c r="F153" s="9" t="n">
        <v>0</v>
      </c>
      <c r="G153" s="9" t="n">
        <v>-451373.28</v>
      </c>
      <c r="H153" s="9">
        <f>IF(D153="USD",E153*$N$1,E153)</f>
        <v/>
      </c>
      <c r="I153" s="9">
        <f>IF(D153="USD",F153*$N$1,F153)</f>
        <v/>
      </c>
      <c r="J153" s="9">
        <f>IF(D153="USD",G153*$N$1,G153)</f>
        <v/>
      </c>
      <c r="K153" s="9">
        <f>H153+I153</f>
        <v/>
      </c>
    </row>
    <row r="154">
      <c r="A154" s="8" t="n">
        <v>45987</v>
      </c>
      <c r="B154" t="inlineStr">
        <is>
          <t>2025-W48</t>
        </is>
      </c>
      <c r="C154" t="inlineStr">
        <is>
          <t>Nuvei</t>
        </is>
      </c>
      <c r="D154" t="inlineStr">
        <is>
          <t>EUR</t>
        </is>
      </c>
      <c r="E154" s="9" t="n">
        <v>0</v>
      </c>
      <c r="F154" s="9" t="n">
        <v>0</v>
      </c>
      <c r="G154" s="9" t="n">
        <v>-22188.31</v>
      </c>
      <c r="H154" s="9">
        <f>IF(D154="USD",E154*$N$1,E154)</f>
        <v/>
      </c>
      <c r="I154" s="9">
        <f>IF(D154="USD",F154*$N$1,F154)</f>
        <v/>
      </c>
      <c r="J154" s="9">
        <f>IF(D154="USD",G154*$N$1,G154)</f>
        <v/>
      </c>
      <c r="K154" s="9">
        <f>H154+I154</f>
        <v/>
      </c>
    </row>
    <row r="155">
      <c r="A155" s="8" t="n">
        <v>45987</v>
      </c>
      <c r="B155" t="inlineStr">
        <is>
          <t>2025-W48</t>
        </is>
      </c>
      <c r="C155" t="inlineStr">
        <is>
          <t>Nuvei</t>
        </is>
      </c>
      <c r="D155" t="inlineStr">
        <is>
          <t>EUR</t>
        </is>
      </c>
      <c r="E155" s="9" t="n">
        <v>393430.31</v>
      </c>
      <c r="F155" s="9" t="n">
        <v>-5304.84</v>
      </c>
      <c r="G155" s="9" t="n">
        <v>0</v>
      </c>
      <c r="H155" s="9">
        <f>IF(D155="USD",E155*$N$1,E155)</f>
        <v/>
      </c>
      <c r="I155" s="9">
        <f>IF(D155="USD",F155*$N$1,F155)</f>
        <v/>
      </c>
      <c r="J155" s="9">
        <f>IF(D155="USD",G155*$N$1,G155)</f>
        <v/>
      </c>
      <c r="K155" s="9">
        <f>H155+I155</f>
        <v/>
      </c>
    </row>
    <row r="156">
      <c r="A156" s="8" t="n">
        <v>45987</v>
      </c>
      <c r="B156" t="inlineStr">
        <is>
          <t>2025-W48</t>
        </is>
      </c>
      <c r="C156" t="inlineStr">
        <is>
          <t>Nuvei</t>
        </is>
      </c>
      <c r="D156" t="inlineStr">
        <is>
          <t>EUR</t>
        </is>
      </c>
      <c r="E156" s="9" t="n">
        <v>25773.69</v>
      </c>
      <c r="F156" s="9" t="n">
        <v>-737.03</v>
      </c>
      <c r="G156" s="9" t="n">
        <v>0</v>
      </c>
      <c r="H156" s="9">
        <f>IF(D156="USD",E156*$N$1,E156)</f>
        <v/>
      </c>
      <c r="I156" s="9">
        <f>IF(D156="USD",F156*$N$1,F156)</f>
        <v/>
      </c>
      <c r="J156" s="9">
        <f>IF(D156="USD",G156*$N$1,G156)</f>
        <v/>
      </c>
      <c r="K156" s="9">
        <f>H156+I156</f>
        <v/>
      </c>
    </row>
    <row r="157">
      <c r="A157" s="8" t="n">
        <v>45988</v>
      </c>
      <c r="B157" t="inlineStr">
        <is>
          <t>2025-W48</t>
        </is>
      </c>
      <c r="C157" t="inlineStr">
        <is>
          <t>Nuvei</t>
        </is>
      </c>
      <c r="D157" t="inlineStr">
        <is>
          <t>EUR</t>
        </is>
      </c>
      <c r="E157" s="9" t="n">
        <v>0</v>
      </c>
      <c r="F157" s="9" t="n">
        <v>0</v>
      </c>
      <c r="G157" s="9" t="n">
        <v>-416680.76</v>
      </c>
      <c r="H157" s="9">
        <f>IF(D157="USD",E157*$N$1,E157)</f>
        <v/>
      </c>
      <c r="I157" s="9">
        <f>IF(D157="USD",F157*$N$1,F157)</f>
        <v/>
      </c>
      <c r="J157" s="9">
        <f>IF(D157="USD",G157*$N$1,G157)</f>
        <v/>
      </c>
      <c r="K157" s="9">
        <f>H157+I157</f>
        <v/>
      </c>
    </row>
    <row r="158">
      <c r="A158" s="8" t="n">
        <v>45988</v>
      </c>
      <c r="B158" t="inlineStr">
        <is>
          <t>2025-W48</t>
        </is>
      </c>
      <c r="C158" t="inlineStr">
        <is>
          <t>Nuvei</t>
        </is>
      </c>
      <c r="D158" t="inlineStr">
        <is>
          <t>EUR</t>
        </is>
      </c>
      <c r="E158" s="9" t="n">
        <v>0</v>
      </c>
      <c r="F158" s="9" t="n">
        <v>0</v>
      </c>
      <c r="G158" s="9" t="n">
        <v>-30248.31</v>
      </c>
      <c r="H158" s="9">
        <f>IF(D158="USD",E158*$N$1,E158)</f>
        <v/>
      </c>
      <c r="I158" s="9">
        <f>IF(D158="USD",F158*$N$1,F158)</f>
        <v/>
      </c>
      <c r="J158" s="9">
        <f>IF(D158="USD",G158*$N$1,G158)</f>
        <v/>
      </c>
      <c r="K158" s="9">
        <f>H158+I158</f>
        <v/>
      </c>
    </row>
    <row r="159">
      <c r="A159" s="8" t="n">
        <v>45988</v>
      </c>
      <c r="B159" t="inlineStr">
        <is>
          <t>2025-W48</t>
        </is>
      </c>
      <c r="C159" t="inlineStr">
        <is>
          <t>Nuvei</t>
        </is>
      </c>
      <c r="D159" t="inlineStr">
        <is>
          <t>EUR</t>
        </is>
      </c>
      <c r="E159" s="9" t="n">
        <v>359169.77</v>
      </c>
      <c r="F159" s="9" t="n">
        <v>-4861.01</v>
      </c>
      <c r="G159" s="9" t="n">
        <v>0</v>
      </c>
      <c r="H159" s="9">
        <f>IF(D159="USD",E159*$N$1,E159)</f>
        <v/>
      </c>
      <c r="I159" s="9">
        <f>IF(D159="USD",F159*$N$1,F159)</f>
        <v/>
      </c>
      <c r="J159" s="9">
        <f>IF(D159="USD",G159*$N$1,G159)</f>
        <v/>
      </c>
      <c r="K159" s="9">
        <f>H159+I159</f>
        <v/>
      </c>
    </row>
    <row r="160">
      <c r="A160" s="8" t="n">
        <v>45988</v>
      </c>
      <c r="B160" t="inlineStr">
        <is>
          <t>2025-W48</t>
        </is>
      </c>
      <c r="C160" t="inlineStr">
        <is>
          <t>Nuvei</t>
        </is>
      </c>
      <c r="D160" t="inlineStr">
        <is>
          <t>EUR</t>
        </is>
      </c>
      <c r="E160" s="9" t="n">
        <v>26046.46</v>
      </c>
      <c r="F160" s="9" t="n">
        <v>-727.61</v>
      </c>
      <c r="G160" s="9" t="n">
        <v>0</v>
      </c>
      <c r="H160" s="9">
        <f>IF(D160="USD",E160*$N$1,E160)</f>
        <v/>
      </c>
      <c r="I160" s="9">
        <f>IF(D160="USD",F160*$N$1,F160)</f>
        <v/>
      </c>
      <c r="J160" s="9">
        <f>IF(D160="USD",G160*$N$1,G160)</f>
        <v/>
      </c>
      <c r="K160" s="9">
        <f>H160+I160</f>
        <v/>
      </c>
    </row>
    <row r="161">
      <c r="A161" s="8" t="n">
        <v>45989</v>
      </c>
      <c r="B161" t="inlineStr">
        <is>
          <t>2025-W48</t>
        </is>
      </c>
      <c r="C161" t="inlineStr">
        <is>
          <t>Nuvei</t>
        </is>
      </c>
      <c r="D161" t="inlineStr">
        <is>
          <t>EUR</t>
        </is>
      </c>
      <c r="E161" s="9" t="n">
        <v>0</v>
      </c>
      <c r="F161" s="9" t="n">
        <v>0</v>
      </c>
      <c r="G161" s="9" t="n">
        <v>-362225.54</v>
      </c>
      <c r="H161" s="9">
        <f>IF(D161="USD",E161*$N$1,E161)</f>
        <v/>
      </c>
      <c r="I161" s="9">
        <f>IF(D161="USD",F161*$N$1,F161)</f>
        <v/>
      </c>
      <c r="J161" s="9">
        <f>IF(D161="USD",G161*$N$1,G161)</f>
        <v/>
      </c>
      <c r="K161" s="9">
        <f>H161+I161</f>
        <v/>
      </c>
    </row>
    <row r="162">
      <c r="A162" s="8" t="n">
        <v>45989</v>
      </c>
      <c r="B162" t="inlineStr">
        <is>
          <t>2025-W48</t>
        </is>
      </c>
      <c r="C162" t="inlineStr">
        <is>
          <t>Nuvei</t>
        </is>
      </c>
      <c r="D162" t="inlineStr">
        <is>
          <t>EUR</t>
        </is>
      </c>
      <c r="E162" s="9" t="n">
        <v>0</v>
      </c>
      <c r="F162" s="9" t="n">
        <v>0</v>
      </c>
      <c r="G162" s="9" t="n">
        <v>-22373.57</v>
      </c>
      <c r="H162" s="9">
        <f>IF(D162="USD",E162*$N$1,E162)</f>
        <v/>
      </c>
      <c r="I162" s="9">
        <f>IF(D162="USD",F162*$N$1,F162)</f>
        <v/>
      </c>
      <c r="J162" s="9">
        <f>IF(D162="USD",G162*$N$1,G162)</f>
        <v/>
      </c>
      <c r="K162" s="9">
        <f>H162+I162</f>
        <v/>
      </c>
    </row>
    <row r="163">
      <c r="A163" s="8" t="n">
        <v>45989</v>
      </c>
      <c r="B163" t="inlineStr">
        <is>
          <t>2025-W48</t>
        </is>
      </c>
      <c r="C163" t="inlineStr">
        <is>
          <t>Nuvei</t>
        </is>
      </c>
      <c r="D163" t="inlineStr">
        <is>
          <t>EUR</t>
        </is>
      </c>
      <c r="E163" s="9" t="n">
        <v>0</v>
      </c>
      <c r="F163" s="9" t="n">
        <v>0</v>
      </c>
      <c r="G163" s="9" t="n">
        <v>-302841.19</v>
      </c>
      <c r="H163" s="9">
        <f>IF(D163="USD",E163*$N$1,E163)</f>
        <v/>
      </c>
      <c r="I163" s="9">
        <f>IF(D163="USD",F163*$N$1,F163)</f>
        <v/>
      </c>
      <c r="J163" s="9">
        <f>IF(D163="USD",G163*$N$1,G163)</f>
        <v/>
      </c>
      <c r="K163" s="9">
        <f>H163+I163</f>
        <v/>
      </c>
    </row>
    <row r="164">
      <c r="A164" s="8" t="n">
        <v>45989</v>
      </c>
      <c r="B164" t="inlineStr">
        <is>
          <t>2025-W48</t>
        </is>
      </c>
      <c r="C164" t="inlineStr">
        <is>
          <t>Nuvei</t>
        </is>
      </c>
      <c r="D164" t="inlineStr">
        <is>
          <t>EUR</t>
        </is>
      </c>
      <c r="E164" s="9" t="n">
        <v>0</v>
      </c>
      <c r="F164" s="9" t="n">
        <v>0</v>
      </c>
      <c r="G164" s="9" t="n">
        <v>-24708.99</v>
      </c>
      <c r="H164" s="9">
        <f>IF(D164="USD",E164*$N$1,E164)</f>
        <v/>
      </c>
      <c r="I164" s="9">
        <f>IF(D164="USD",F164*$N$1,F164)</f>
        <v/>
      </c>
      <c r="J164" s="9">
        <f>IF(D164="USD",G164*$N$1,G164)</f>
        <v/>
      </c>
      <c r="K164" s="9">
        <f>H164+I164</f>
        <v/>
      </c>
    </row>
    <row r="165">
      <c r="A165" s="8" t="n">
        <v>45989</v>
      </c>
      <c r="B165" t="inlineStr">
        <is>
          <t>2025-W48</t>
        </is>
      </c>
      <c r="C165" t="inlineStr">
        <is>
          <t>Nuvei</t>
        </is>
      </c>
      <c r="D165" t="inlineStr">
        <is>
          <t>EUR</t>
        </is>
      </c>
      <c r="E165" s="9" t="n">
        <v>0</v>
      </c>
      <c r="F165" s="9" t="n">
        <v>0</v>
      </c>
      <c r="G165" s="9" t="n">
        <v>-1080339.31</v>
      </c>
      <c r="H165" s="9">
        <f>IF(D165="USD",E165*$N$1,E165)</f>
        <v/>
      </c>
      <c r="I165" s="9">
        <f>IF(D165="USD",F165*$N$1,F165)</f>
        <v/>
      </c>
      <c r="J165" s="9">
        <f>IF(D165="USD",G165*$N$1,G165)</f>
        <v/>
      </c>
      <c r="K165" s="9">
        <f>H165+I165</f>
        <v/>
      </c>
    </row>
    <row r="166">
      <c r="A166" s="8" t="n">
        <v>45989</v>
      </c>
      <c r="B166" t="inlineStr">
        <is>
          <t>2025-W48</t>
        </is>
      </c>
      <c r="C166" t="inlineStr">
        <is>
          <t>Nuvei</t>
        </is>
      </c>
      <c r="D166" t="inlineStr">
        <is>
          <t>EUR</t>
        </is>
      </c>
      <c r="E166" s="9" t="n">
        <v>0</v>
      </c>
      <c r="F166" s="9" t="n">
        <v>0</v>
      </c>
      <c r="G166" s="9" t="n">
        <v>-59735.28</v>
      </c>
      <c r="H166" s="9">
        <f>IF(D166="USD",E166*$N$1,E166)</f>
        <v/>
      </c>
      <c r="I166" s="9">
        <f>IF(D166="USD",F166*$N$1,F166)</f>
        <v/>
      </c>
      <c r="J166" s="9">
        <f>IF(D166="USD",G166*$N$1,G166)</f>
        <v/>
      </c>
      <c r="K166" s="9">
        <f>H166+I166</f>
        <v/>
      </c>
    </row>
    <row r="167">
      <c r="A167" s="8" t="n">
        <v>45989</v>
      </c>
      <c r="B167" t="inlineStr">
        <is>
          <t>2025-W48</t>
        </is>
      </c>
      <c r="C167" t="inlineStr">
        <is>
          <t>Nuvei</t>
        </is>
      </c>
      <c r="D167" t="inlineStr">
        <is>
          <t>EUR</t>
        </is>
      </c>
      <c r="E167" s="9" t="n">
        <v>546494.48</v>
      </c>
      <c r="F167" s="9" t="n">
        <v>-6978.21</v>
      </c>
      <c r="G167" s="9" t="n">
        <v>0</v>
      </c>
      <c r="H167" s="9">
        <f>IF(D167="USD",E167*$N$1,E167)</f>
        <v/>
      </c>
      <c r="I167" s="9">
        <f>IF(D167="USD",F167*$N$1,F167)</f>
        <v/>
      </c>
      <c r="J167" s="9">
        <f>IF(D167="USD",G167*$N$1,G167)</f>
        <v/>
      </c>
      <c r="K167" s="9">
        <f>H167+I167</f>
        <v/>
      </c>
    </row>
    <row r="168">
      <c r="A168" s="8" t="n">
        <v>45989</v>
      </c>
      <c r="B168" t="inlineStr">
        <is>
          <t>2025-W48</t>
        </is>
      </c>
      <c r="C168" t="inlineStr">
        <is>
          <t>Nuvei</t>
        </is>
      </c>
      <c r="D168" t="inlineStr">
        <is>
          <t>EUR</t>
        </is>
      </c>
      <c r="E168" s="9" t="n">
        <v>26552.48</v>
      </c>
      <c r="F168" s="9" t="n">
        <v>-779.92</v>
      </c>
      <c r="G168" s="9" t="n">
        <v>0</v>
      </c>
      <c r="H168" s="9">
        <f>IF(D168="USD",E168*$N$1,E168)</f>
        <v/>
      </c>
      <c r="I168" s="9">
        <f>IF(D168="USD",F168*$N$1,F168)</f>
        <v/>
      </c>
      <c r="J168" s="9">
        <f>IF(D168="USD",G168*$N$1,G168)</f>
        <v/>
      </c>
      <c r="K168" s="9">
        <f>H168+I168</f>
        <v/>
      </c>
    </row>
    <row r="169">
      <c r="A169" s="8" t="n">
        <v>45990</v>
      </c>
      <c r="B169" t="inlineStr">
        <is>
          <t>2025-W48</t>
        </is>
      </c>
      <c r="C169" t="inlineStr">
        <is>
          <t>Nuvei</t>
        </is>
      </c>
      <c r="D169" t="inlineStr">
        <is>
          <t>EUR</t>
        </is>
      </c>
      <c r="E169" s="9" t="n">
        <v>394122.68</v>
      </c>
      <c r="F169" s="9" t="n">
        <v>-4922.65</v>
      </c>
      <c r="G169" s="9" t="n">
        <v>0</v>
      </c>
      <c r="H169" s="9">
        <f>IF(D169="USD",E169*$N$1,E169)</f>
        <v/>
      </c>
      <c r="I169" s="9">
        <f>IF(D169="USD",F169*$N$1,F169)</f>
        <v/>
      </c>
      <c r="J169" s="9">
        <f>IF(D169="USD",G169*$N$1,G169)</f>
        <v/>
      </c>
      <c r="K169" s="9">
        <f>H169+I169</f>
        <v/>
      </c>
    </row>
    <row r="170">
      <c r="A170" s="8" t="n">
        <v>45990</v>
      </c>
      <c r="B170" t="inlineStr">
        <is>
          <t>2025-W48</t>
        </is>
      </c>
      <c r="C170" t="inlineStr">
        <is>
          <t>Nuvei</t>
        </is>
      </c>
      <c r="D170" t="inlineStr">
        <is>
          <t>EUR</t>
        </is>
      </c>
      <c r="E170" s="9" t="n">
        <v>15839.26</v>
      </c>
      <c r="F170" s="9" t="n">
        <v>-426.72</v>
      </c>
      <c r="G170" s="9" t="n">
        <v>0</v>
      </c>
      <c r="H170" s="9">
        <f>IF(D170="USD",E170*$N$1,E170)</f>
        <v/>
      </c>
      <c r="I170" s="9">
        <f>IF(D170="USD",F170*$N$1,F170)</f>
        <v/>
      </c>
      <c r="J170" s="9">
        <f>IF(D170="USD",G170*$N$1,G170)</f>
        <v/>
      </c>
      <c r="K170" s="9">
        <f>H170+I170</f>
        <v/>
      </c>
    </row>
    <row r="171">
      <c r="A171" s="8" t="n">
        <v>45991</v>
      </c>
      <c r="B171" t="inlineStr">
        <is>
          <t>2025-W48</t>
        </is>
      </c>
      <c r="C171" t="inlineStr">
        <is>
          <t>Nuvei</t>
        </is>
      </c>
      <c r="D171" t="inlineStr">
        <is>
          <t>EUR</t>
        </is>
      </c>
      <c r="E171" s="9" t="n">
        <v>527801.84</v>
      </c>
      <c r="F171" s="9" t="n">
        <v>-6295.14</v>
      </c>
      <c r="G171" s="9" t="n">
        <v>0</v>
      </c>
      <c r="H171" s="9">
        <f>IF(D171="USD",E171*$N$1,E171)</f>
        <v/>
      </c>
      <c r="I171" s="9">
        <f>IF(D171="USD",F171*$N$1,F171)</f>
        <v/>
      </c>
      <c r="J171" s="9">
        <f>IF(D171="USD",G171*$N$1,G171)</f>
        <v/>
      </c>
      <c r="K171" s="9">
        <f>H171+I171</f>
        <v/>
      </c>
    </row>
    <row r="172">
      <c r="A172" s="8" t="n">
        <v>45991</v>
      </c>
      <c r="B172" t="inlineStr">
        <is>
          <t>2025-W48</t>
        </is>
      </c>
      <c r="C172" t="inlineStr">
        <is>
          <t>Nuvei</t>
        </is>
      </c>
      <c r="D172" t="inlineStr">
        <is>
          <t>EUR</t>
        </is>
      </c>
      <c r="E172" s="9" t="n">
        <v>26547.58</v>
      </c>
      <c r="F172" s="9" t="n">
        <v>-763.97</v>
      </c>
      <c r="G172" s="9" t="n">
        <v>0</v>
      </c>
      <c r="H172" s="9">
        <f>IF(D172="USD",E172*$N$1,E172)</f>
        <v/>
      </c>
      <c r="I172" s="9">
        <f>IF(D172="USD",F172*$N$1,F172)</f>
        <v/>
      </c>
      <c r="J172" s="9">
        <f>IF(D172="USD",G172*$N$1,G172)</f>
        <v/>
      </c>
      <c r="K172" s="9">
        <f>H172+I172</f>
        <v/>
      </c>
    </row>
    <row r="173">
      <c r="A173" s="8" t="n">
        <v>45992</v>
      </c>
      <c r="B173" t="inlineStr">
        <is>
          <t>2025-W49</t>
        </is>
      </c>
      <c r="C173" t="inlineStr">
        <is>
          <t>Nuvei</t>
        </is>
      </c>
      <c r="D173" t="inlineStr">
        <is>
          <t>EUR</t>
        </is>
      </c>
      <c r="E173" s="9" t="n">
        <v>0</v>
      </c>
      <c r="F173" s="9" t="n">
        <v>0</v>
      </c>
      <c r="G173" s="9" t="n">
        <v>-414071.59</v>
      </c>
      <c r="H173" s="9">
        <f>IF(D173="USD",E173*$N$1,E173)</f>
        <v/>
      </c>
      <c r="I173" s="9">
        <f>IF(D173="USD",F173*$N$1,F173)</f>
        <v/>
      </c>
      <c r="J173" s="9">
        <f>IF(D173="USD",G173*$N$1,G173)</f>
        <v/>
      </c>
      <c r="K173" s="9">
        <f>H173+I173</f>
        <v/>
      </c>
    </row>
    <row r="174">
      <c r="A174" s="8" t="n">
        <v>45992</v>
      </c>
      <c r="B174" t="inlineStr">
        <is>
          <t>2025-W49</t>
        </is>
      </c>
      <c r="C174" t="inlineStr">
        <is>
          <t>Nuvei</t>
        </is>
      </c>
      <c r="D174" t="inlineStr">
        <is>
          <t>EUR</t>
        </is>
      </c>
      <c r="E174" s="9" t="n">
        <v>0</v>
      </c>
      <c r="F174" s="9" t="n">
        <v>0</v>
      </c>
      <c r="G174" s="9" t="n">
        <v>-29204.7</v>
      </c>
      <c r="H174" s="9">
        <f>IF(D174="USD",E174*$N$1,E174)</f>
        <v/>
      </c>
      <c r="I174" s="9">
        <f>IF(D174="USD",F174*$N$1,F174)</f>
        <v/>
      </c>
      <c r="J174" s="9">
        <f>IF(D174="USD",G174*$N$1,G174)</f>
        <v/>
      </c>
      <c r="K174" s="9">
        <f>H174+I174</f>
        <v/>
      </c>
    </row>
    <row r="175">
      <c r="A175" s="8" t="n">
        <v>45992</v>
      </c>
      <c r="B175" t="inlineStr">
        <is>
          <t>2025-W49</t>
        </is>
      </c>
      <c r="C175" t="inlineStr">
        <is>
          <t>Nuvei</t>
        </is>
      </c>
      <c r="D175" t="inlineStr">
        <is>
          <t>EUR</t>
        </is>
      </c>
      <c r="E175" s="9" t="n">
        <v>439176.21</v>
      </c>
      <c r="F175" s="9" t="n">
        <v>-5578.84</v>
      </c>
      <c r="G175" s="9" t="n">
        <v>0</v>
      </c>
      <c r="H175" s="9">
        <f>IF(D175="USD",E175*$N$1,E175)</f>
        <v/>
      </c>
      <c r="I175" s="9">
        <f>IF(D175="USD",F175*$N$1,F175)</f>
        <v/>
      </c>
      <c r="J175" s="9">
        <f>IF(D175="USD",G175*$N$1,G175)</f>
        <v/>
      </c>
      <c r="K175" s="9">
        <f>H175+I175</f>
        <v/>
      </c>
    </row>
    <row r="176">
      <c r="A176" s="8" t="n">
        <v>45992</v>
      </c>
      <c r="B176" t="inlineStr">
        <is>
          <t>2025-W49</t>
        </is>
      </c>
      <c r="C176" t="inlineStr">
        <is>
          <t>Nuvei</t>
        </is>
      </c>
      <c r="D176" t="inlineStr">
        <is>
          <t>EUR</t>
        </is>
      </c>
      <c r="E176" s="9" t="n">
        <v>20258.06</v>
      </c>
      <c r="F176" s="9" t="n">
        <v>-581.03</v>
      </c>
      <c r="G176" s="9" t="n">
        <v>0</v>
      </c>
      <c r="H176" s="9">
        <f>IF(D176="USD",E176*$N$1,E176)</f>
        <v/>
      </c>
      <c r="I176" s="9">
        <f>IF(D176="USD",F176*$N$1,F176)</f>
        <v/>
      </c>
      <c r="J176" s="9">
        <f>IF(D176="USD",G176*$N$1,G176)</f>
        <v/>
      </c>
      <c r="K176" s="9">
        <f>H176+I176</f>
        <v/>
      </c>
    </row>
    <row r="177">
      <c r="A177" s="8" t="n">
        <v>45993</v>
      </c>
      <c r="B177" t="inlineStr">
        <is>
          <t>2025-W49</t>
        </is>
      </c>
      <c r="C177" t="inlineStr">
        <is>
          <t>Nuvei</t>
        </is>
      </c>
      <c r="D177" t="inlineStr">
        <is>
          <t>EUR</t>
        </is>
      </c>
      <c r="E177" s="9" t="n">
        <v>0</v>
      </c>
      <c r="F177" s="9" t="n">
        <v>0</v>
      </c>
      <c r="G177" s="9" t="n">
        <v>-388121.97</v>
      </c>
      <c r="H177" s="9">
        <f>IF(D177="USD",E177*$N$1,E177)</f>
        <v/>
      </c>
      <c r="I177" s="9">
        <f>IF(D177="USD",F177*$N$1,F177)</f>
        <v/>
      </c>
      <c r="J177" s="9">
        <f>IF(D177="USD",G177*$N$1,G177)</f>
        <v/>
      </c>
      <c r="K177" s="9">
        <f>H177+I177</f>
        <v/>
      </c>
    </row>
    <row r="178">
      <c r="A178" s="8" t="n">
        <v>45993</v>
      </c>
      <c r="B178" t="inlineStr">
        <is>
          <t>2025-W49</t>
        </is>
      </c>
      <c r="C178" t="inlineStr">
        <is>
          <t>Nuvei</t>
        </is>
      </c>
      <c r="D178" t="inlineStr">
        <is>
          <t>EUR</t>
        </is>
      </c>
      <c r="E178" s="9" t="n">
        <v>0</v>
      </c>
      <c r="F178" s="9" t="n">
        <v>0</v>
      </c>
      <c r="G178" s="9" t="n">
        <v>-25033.16</v>
      </c>
      <c r="H178" s="9">
        <f>IF(D178="USD",E178*$N$1,E178)</f>
        <v/>
      </c>
      <c r="I178" s="9">
        <f>IF(D178="USD",F178*$N$1,F178)</f>
        <v/>
      </c>
      <c r="J178" s="9">
        <f>IF(D178="USD",G178*$N$1,G178)</f>
        <v/>
      </c>
      <c r="K178" s="9">
        <f>H178+I178</f>
        <v/>
      </c>
    </row>
    <row r="179">
      <c r="A179" s="8" t="n">
        <v>45993</v>
      </c>
      <c r="B179" t="inlineStr">
        <is>
          <t>2025-W49</t>
        </is>
      </c>
      <c r="C179" t="inlineStr">
        <is>
          <t>Nuvei</t>
        </is>
      </c>
      <c r="D179" t="inlineStr">
        <is>
          <t>EUR</t>
        </is>
      </c>
      <c r="E179" s="9" t="n">
        <v>469578.28</v>
      </c>
      <c r="F179" s="9" t="n">
        <v>-6403.02</v>
      </c>
      <c r="G179" s="9" t="n">
        <v>0</v>
      </c>
      <c r="H179" s="9">
        <f>IF(D179="USD",E179*$N$1,E179)</f>
        <v/>
      </c>
      <c r="I179" s="9">
        <f>IF(D179="USD",F179*$N$1,F179)</f>
        <v/>
      </c>
      <c r="J179" s="9">
        <f>IF(D179="USD",G179*$N$1,G179)</f>
        <v/>
      </c>
      <c r="K179" s="9">
        <f>H179+I179</f>
        <v/>
      </c>
    </row>
    <row r="180">
      <c r="A180" s="8" t="n">
        <v>45993</v>
      </c>
      <c r="B180" t="inlineStr">
        <is>
          <t>2025-W49</t>
        </is>
      </c>
      <c r="C180" t="inlineStr">
        <is>
          <t>Nuvei</t>
        </is>
      </c>
      <c r="D180" t="inlineStr">
        <is>
          <t>EUR</t>
        </is>
      </c>
      <c r="E180" s="9" t="n">
        <v>18235.29</v>
      </c>
      <c r="F180" s="9" t="n">
        <v>-505.46</v>
      </c>
      <c r="G180" s="9" t="n">
        <v>0</v>
      </c>
      <c r="H180" s="9">
        <f>IF(D180="USD",E180*$N$1,E180)</f>
        <v/>
      </c>
      <c r="I180" s="9">
        <f>IF(D180="USD",F180*$N$1,F180)</f>
        <v/>
      </c>
      <c r="J180" s="9">
        <f>IF(D180="USD",G180*$N$1,G180)</f>
        <v/>
      </c>
      <c r="K180" s="9">
        <f>H180+I180</f>
        <v/>
      </c>
    </row>
    <row r="181">
      <c r="A181" s="8" t="n">
        <v>45994</v>
      </c>
      <c r="B181" t="inlineStr">
        <is>
          <t>2025-W49</t>
        </is>
      </c>
      <c r="C181" t="inlineStr">
        <is>
          <t>Nuvei</t>
        </is>
      </c>
      <c r="D181" t="inlineStr">
        <is>
          <t>EUR</t>
        </is>
      </c>
      <c r="E181" s="9" t="n">
        <v>0</v>
      </c>
      <c r="F181" s="9" t="n">
        <v>0</v>
      </c>
      <c r="G181" s="9" t="n">
        <v>-354305.25</v>
      </c>
      <c r="H181" s="9">
        <f>IF(D181="USD",E181*$N$1,E181)</f>
        <v/>
      </c>
      <c r="I181" s="9">
        <f>IF(D181="USD",F181*$N$1,F181)</f>
        <v/>
      </c>
      <c r="J181" s="9">
        <f>IF(D181="USD",G181*$N$1,G181)</f>
        <v/>
      </c>
      <c r="K181" s="9">
        <f>H181+I181</f>
        <v/>
      </c>
    </row>
    <row r="182">
      <c r="A182" s="8" t="n">
        <v>45994</v>
      </c>
      <c r="B182" t="inlineStr">
        <is>
          <t>2025-W49</t>
        </is>
      </c>
      <c r="C182" t="inlineStr">
        <is>
          <t>Nuvei</t>
        </is>
      </c>
      <c r="D182" t="inlineStr">
        <is>
          <t>EUR</t>
        </is>
      </c>
      <c r="E182" s="9" t="n">
        <v>0</v>
      </c>
      <c r="F182" s="9" t="n">
        <v>0</v>
      </c>
      <c r="G182" s="9" t="n">
        <v>-25315.35</v>
      </c>
      <c r="H182" s="9">
        <f>IF(D182="USD",E182*$N$1,E182)</f>
        <v/>
      </c>
      <c r="I182" s="9">
        <f>IF(D182="USD",F182*$N$1,F182)</f>
        <v/>
      </c>
      <c r="J182" s="9">
        <f>IF(D182="USD",G182*$N$1,G182)</f>
        <v/>
      </c>
      <c r="K182" s="9">
        <f>H182+I182</f>
        <v/>
      </c>
    </row>
    <row r="183">
      <c r="A183" s="8" t="n">
        <v>45994</v>
      </c>
      <c r="B183" t="inlineStr">
        <is>
          <t>2025-W49</t>
        </is>
      </c>
      <c r="C183" t="inlineStr">
        <is>
          <t>Nuvei</t>
        </is>
      </c>
      <c r="D183" t="inlineStr">
        <is>
          <t>EUR</t>
        </is>
      </c>
      <c r="E183" s="9" t="n">
        <v>372215.88</v>
      </c>
      <c r="F183" s="9" t="n">
        <v>-5377.39</v>
      </c>
      <c r="G183" s="9" t="n">
        <v>0</v>
      </c>
      <c r="H183" s="9">
        <f>IF(D183="USD",E183*$N$1,E183)</f>
        <v/>
      </c>
      <c r="I183" s="9">
        <f>IF(D183="USD",F183*$N$1,F183)</f>
        <v/>
      </c>
      <c r="J183" s="9">
        <f>IF(D183="USD",G183*$N$1,G183)</f>
        <v/>
      </c>
      <c r="K183" s="9">
        <f>H183+I183</f>
        <v/>
      </c>
    </row>
    <row r="184">
      <c r="A184" s="8" t="n">
        <v>45994</v>
      </c>
      <c r="B184" t="inlineStr">
        <is>
          <t>2025-W49</t>
        </is>
      </c>
      <c r="C184" t="inlineStr">
        <is>
          <t>Nuvei</t>
        </is>
      </c>
      <c r="D184" t="inlineStr">
        <is>
          <t>EUR</t>
        </is>
      </c>
      <c r="E184" s="9" t="n">
        <v>24402.67</v>
      </c>
      <c r="F184" s="9" t="n">
        <v>-706.96</v>
      </c>
      <c r="G184" s="9" t="n">
        <v>0</v>
      </c>
      <c r="H184" s="9">
        <f>IF(D184="USD",E184*$N$1,E184)</f>
        <v/>
      </c>
      <c r="I184" s="9">
        <f>IF(D184="USD",F184*$N$1,F184)</f>
        <v/>
      </c>
      <c r="J184" s="9">
        <f>IF(D184="USD",G184*$N$1,G184)</f>
        <v/>
      </c>
      <c r="K184" s="9">
        <f>H184+I184</f>
        <v/>
      </c>
    </row>
    <row r="185">
      <c r="A185" s="8" t="n">
        <v>45995</v>
      </c>
      <c r="B185" t="inlineStr">
        <is>
          <t>2025-W49</t>
        </is>
      </c>
      <c r="C185" t="inlineStr">
        <is>
          <t>Nuvei</t>
        </is>
      </c>
      <c r="D185" t="inlineStr">
        <is>
          <t>EUR</t>
        </is>
      </c>
      <c r="E185" s="9" t="n">
        <v>0</v>
      </c>
      <c r="F185" s="9" t="n">
        <v>0</v>
      </c>
      <c r="G185" s="9" t="n">
        <v>-539512.77</v>
      </c>
      <c r="H185" s="9">
        <f>IF(D185="USD",E185*$N$1,E185)</f>
        <v/>
      </c>
      <c r="I185" s="9">
        <f>IF(D185="USD",F185*$N$1,F185)</f>
        <v/>
      </c>
      <c r="J185" s="9">
        <f>IF(D185="USD",G185*$N$1,G185)</f>
        <v/>
      </c>
      <c r="K185" s="9">
        <f>H185+I185</f>
        <v/>
      </c>
    </row>
    <row r="186">
      <c r="A186" s="8" t="n">
        <v>45995</v>
      </c>
      <c r="B186" t="inlineStr">
        <is>
          <t>2025-W49</t>
        </is>
      </c>
      <c r="C186" t="inlineStr">
        <is>
          <t>Nuvei</t>
        </is>
      </c>
      <c r="D186" t="inlineStr">
        <is>
          <t>EUR</t>
        </is>
      </c>
      <c r="E186" s="9" t="n">
        <v>0</v>
      </c>
      <c r="F186" s="9" t="n">
        <v>0</v>
      </c>
      <c r="G186" s="9" t="n">
        <v>-25769.07</v>
      </c>
      <c r="H186" s="9">
        <f>IF(D186="USD",E186*$N$1,E186)</f>
        <v/>
      </c>
      <c r="I186" s="9">
        <f>IF(D186="USD",F186*$N$1,F186)</f>
        <v/>
      </c>
      <c r="J186" s="9">
        <f>IF(D186="USD",G186*$N$1,G186)</f>
        <v/>
      </c>
      <c r="K186" s="9">
        <f>H186+I186</f>
        <v/>
      </c>
    </row>
    <row r="187">
      <c r="A187" s="8" t="n">
        <v>45995</v>
      </c>
      <c r="B187" t="inlineStr">
        <is>
          <t>2025-W49</t>
        </is>
      </c>
      <c r="C187" t="inlineStr">
        <is>
          <t>Nuvei</t>
        </is>
      </c>
      <c r="D187" t="inlineStr">
        <is>
          <t>EUR</t>
        </is>
      </c>
      <c r="E187" s="9" t="n">
        <v>336572.66</v>
      </c>
      <c r="F187" s="9" t="n">
        <v>-4770.66</v>
      </c>
      <c r="G187" s="9" t="n">
        <v>0</v>
      </c>
      <c r="H187" s="9">
        <f>IF(D187="USD",E187*$N$1,E187)</f>
        <v/>
      </c>
      <c r="I187" s="9">
        <f>IF(D187="USD",F187*$N$1,F187)</f>
        <v/>
      </c>
      <c r="J187" s="9">
        <f>IF(D187="USD",G187*$N$1,G187)</f>
        <v/>
      </c>
      <c r="K187" s="9">
        <f>H187+I187</f>
        <v/>
      </c>
    </row>
    <row r="188">
      <c r="A188" s="8" t="n">
        <v>45995</v>
      </c>
      <c r="B188" t="inlineStr">
        <is>
          <t>2025-W49</t>
        </is>
      </c>
      <c r="C188" t="inlineStr">
        <is>
          <t>Nuvei</t>
        </is>
      </c>
      <c r="D188" t="inlineStr">
        <is>
          <t>EUR</t>
        </is>
      </c>
      <c r="E188" s="9" t="n">
        <v>21044.44</v>
      </c>
      <c r="F188" s="9" t="n">
        <v>-611.99</v>
      </c>
      <c r="G188" s="9" t="n">
        <v>0</v>
      </c>
      <c r="H188" s="9">
        <f>IF(D188="USD",E188*$N$1,E188)</f>
        <v/>
      </c>
      <c r="I188" s="9">
        <f>IF(D188="USD",F188*$N$1,F188)</f>
        <v/>
      </c>
      <c r="J188" s="9">
        <f>IF(D188="USD",G188*$N$1,G188)</f>
        <v/>
      </c>
      <c r="K188" s="9">
        <f>H188+I188</f>
        <v/>
      </c>
    </row>
    <row r="189">
      <c r="A189" s="8" t="n">
        <v>45996</v>
      </c>
      <c r="B189" t="inlineStr">
        <is>
          <t>2025-W49</t>
        </is>
      </c>
      <c r="C189" t="inlineStr">
        <is>
          <t>Nuvei</t>
        </is>
      </c>
      <c r="D189" t="inlineStr">
        <is>
          <t>EUR</t>
        </is>
      </c>
      <c r="E189" s="9" t="n">
        <v>271111.22</v>
      </c>
      <c r="F189" s="9" t="n">
        <v>-3781.32</v>
      </c>
      <c r="G189" s="9" t="n">
        <v>0</v>
      </c>
      <c r="H189" s="9">
        <f>IF(D189="USD",E189*$N$1,E189)</f>
        <v/>
      </c>
      <c r="I189" s="9">
        <f>IF(D189="USD",F189*$N$1,F189)</f>
        <v/>
      </c>
      <c r="J189" s="9">
        <f>IF(D189="USD",G189*$N$1,G189)</f>
        <v/>
      </c>
      <c r="K189" s="9">
        <f>H189+I189</f>
        <v/>
      </c>
    </row>
    <row r="190">
      <c r="A190" s="8" t="n">
        <v>45996</v>
      </c>
      <c r="B190" t="inlineStr">
        <is>
          <t>2025-W49</t>
        </is>
      </c>
      <c r="C190" t="inlineStr">
        <is>
          <t>Nuvei</t>
        </is>
      </c>
      <c r="D190" t="inlineStr">
        <is>
          <t>EUR</t>
        </is>
      </c>
      <c r="E190" s="9" t="n">
        <v>13098.7</v>
      </c>
      <c r="F190" s="9" t="n">
        <v>-373.08</v>
      </c>
      <c r="G190" s="9" t="n">
        <v>0</v>
      </c>
      <c r="H190" s="9">
        <f>IF(D190="USD",E190*$N$1,E190)</f>
        <v/>
      </c>
      <c r="I190" s="9">
        <f>IF(D190="USD",F190*$N$1,F190)</f>
        <v/>
      </c>
      <c r="J190" s="9">
        <f>IF(D190="USD",G190*$N$1,G190)</f>
        <v/>
      </c>
      <c r="K190" s="9">
        <f>H190+I190</f>
        <v/>
      </c>
    </row>
    <row r="191">
      <c r="A191" s="8" t="n">
        <v>45997</v>
      </c>
      <c r="B191" t="inlineStr">
        <is>
          <t>2025-W49</t>
        </is>
      </c>
      <c r="C191" t="inlineStr">
        <is>
          <t>Nuvei</t>
        </is>
      </c>
      <c r="D191" t="inlineStr">
        <is>
          <t>EUR</t>
        </is>
      </c>
      <c r="E191" s="9" t="n">
        <v>262992.57</v>
      </c>
      <c r="F191" s="9" t="n">
        <v>-3349.93</v>
      </c>
      <c r="G191" s="9" t="n">
        <v>0</v>
      </c>
      <c r="H191" s="9">
        <f>IF(D191="USD",E191*$N$1,E191)</f>
        <v/>
      </c>
      <c r="I191" s="9">
        <f>IF(D191="USD",F191*$N$1,F191)</f>
        <v/>
      </c>
      <c r="J191" s="9">
        <f>IF(D191="USD",G191*$N$1,G191)</f>
        <v/>
      </c>
      <c r="K191" s="9">
        <f>H191+I191</f>
        <v/>
      </c>
    </row>
    <row r="192">
      <c r="A192" s="8" t="n">
        <v>45997</v>
      </c>
      <c r="B192" t="inlineStr">
        <is>
          <t>2025-W49</t>
        </is>
      </c>
      <c r="C192" t="inlineStr">
        <is>
          <t>Nuvei</t>
        </is>
      </c>
      <c r="D192" t="inlineStr">
        <is>
          <t>EUR</t>
        </is>
      </c>
      <c r="E192" s="9" t="n">
        <v>13087.88</v>
      </c>
      <c r="F192" s="9" t="n">
        <v>-384.81</v>
      </c>
      <c r="G192" s="9" t="n">
        <v>0</v>
      </c>
      <c r="H192" s="9">
        <f>IF(D192="USD",E192*$N$1,E192)</f>
        <v/>
      </c>
      <c r="I192" s="9">
        <f>IF(D192="USD",F192*$N$1,F192)</f>
        <v/>
      </c>
      <c r="J192" s="9">
        <f>IF(D192="USD",G192*$N$1,G192)</f>
        <v/>
      </c>
      <c r="K192" s="9">
        <f>H192+I192</f>
        <v/>
      </c>
    </row>
    <row r="193">
      <c r="A193" s="8" t="n">
        <v>45998</v>
      </c>
      <c r="B193" t="inlineStr">
        <is>
          <t>2025-W49</t>
        </is>
      </c>
      <c r="C193" t="inlineStr">
        <is>
          <t>Nuvei</t>
        </is>
      </c>
      <c r="D193" t="inlineStr">
        <is>
          <t>EUR</t>
        </is>
      </c>
      <c r="E193" s="9" t="n">
        <v>0</v>
      </c>
      <c r="F193" s="9" t="n">
        <v>0</v>
      </c>
      <c r="G193" s="9" t="n">
        <v>-1344290.61</v>
      </c>
      <c r="H193" s="9">
        <f>IF(D193="USD",E193*$N$1,E193)</f>
        <v/>
      </c>
      <c r="I193" s="9">
        <f>IF(D193="USD",F193*$N$1,F193)</f>
        <v/>
      </c>
      <c r="J193" s="9">
        <f>IF(D193="USD",G193*$N$1,G193)</f>
        <v/>
      </c>
      <c r="K193" s="9">
        <f>H193+I193</f>
        <v/>
      </c>
    </row>
    <row r="194">
      <c r="A194" s="8" t="n">
        <v>45998</v>
      </c>
      <c r="B194" t="inlineStr">
        <is>
          <t>2025-W49</t>
        </is>
      </c>
      <c r="C194" t="inlineStr">
        <is>
          <t>Nuvei</t>
        </is>
      </c>
      <c r="D194" t="inlineStr">
        <is>
          <t>EUR</t>
        </is>
      </c>
      <c r="E194" s="9" t="n">
        <v>0</v>
      </c>
      <c r="F194" s="9" t="n">
        <v>0</v>
      </c>
      <c r="G194" s="9" t="n">
        <v>-60869.68</v>
      </c>
      <c r="H194" s="9">
        <f>IF(D194="USD",E194*$N$1,E194)</f>
        <v/>
      </c>
      <c r="I194" s="9">
        <f>IF(D194="USD",F194*$N$1,F194)</f>
        <v/>
      </c>
      <c r="J194" s="9">
        <f>IF(D194="USD",G194*$N$1,G194)</f>
        <v/>
      </c>
      <c r="K194" s="9">
        <f>H194+I194</f>
        <v/>
      </c>
    </row>
    <row r="195">
      <c r="A195" s="8" t="n">
        <v>45998</v>
      </c>
      <c r="B195" t="inlineStr">
        <is>
          <t>2025-W49</t>
        </is>
      </c>
      <c r="C195" t="inlineStr">
        <is>
          <t>Nuvei</t>
        </is>
      </c>
      <c r="D195" t="inlineStr">
        <is>
          <t>EUR</t>
        </is>
      </c>
      <c r="E195" s="9" t="n">
        <v>337549.13</v>
      </c>
      <c r="F195" s="9" t="n">
        <v>-4507.39</v>
      </c>
      <c r="G195" s="9" t="n">
        <v>0</v>
      </c>
      <c r="H195" s="9">
        <f>IF(D195="USD",E195*$N$1,E195)</f>
        <v/>
      </c>
      <c r="I195" s="9">
        <f>IF(D195="USD",F195*$N$1,F195)</f>
        <v/>
      </c>
      <c r="J195" s="9">
        <f>IF(D195="USD",G195*$N$1,G195)</f>
        <v/>
      </c>
      <c r="K195" s="9">
        <f>H195+I195</f>
        <v/>
      </c>
    </row>
    <row r="196">
      <c r="A196" s="8" t="n">
        <v>45998</v>
      </c>
      <c r="B196" t="inlineStr">
        <is>
          <t>2025-W49</t>
        </is>
      </c>
      <c r="C196" t="inlineStr">
        <is>
          <t>Nuvei</t>
        </is>
      </c>
      <c r="D196" t="inlineStr">
        <is>
          <t>EUR</t>
        </is>
      </c>
      <c r="E196" s="9" t="n">
        <v>17193.51</v>
      </c>
      <c r="F196" s="9" t="n">
        <v>-472.68</v>
      </c>
      <c r="G196" s="9" t="n">
        <v>0</v>
      </c>
      <c r="H196" s="9">
        <f>IF(D196="USD",E196*$N$1,E196)</f>
        <v/>
      </c>
      <c r="I196" s="9">
        <f>IF(D196="USD",F196*$N$1,F196)</f>
        <v/>
      </c>
      <c r="J196" s="9">
        <f>IF(D196="USD",G196*$N$1,G196)</f>
        <v/>
      </c>
      <c r="K196" s="9">
        <f>H196+I196</f>
        <v/>
      </c>
    </row>
    <row r="197">
      <c r="A197" s="8" t="n">
        <v>45999</v>
      </c>
      <c r="B197" t="inlineStr">
        <is>
          <t>2025-W50</t>
        </is>
      </c>
      <c r="C197" t="inlineStr">
        <is>
          <t>Nuvei</t>
        </is>
      </c>
      <c r="D197" t="inlineStr">
        <is>
          <t>EUR</t>
        </is>
      </c>
      <c r="E197" s="9" t="n">
        <v>0</v>
      </c>
      <c r="F197" s="9" t="n">
        <v>0</v>
      </c>
      <c r="G197" s="9" t="n">
        <v>-463171.77</v>
      </c>
      <c r="H197" s="9">
        <f>IF(D197="USD",E197*$N$1,E197)</f>
        <v/>
      </c>
      <c r="I197" s="9">
        <f>IF(D197="USD",F197*$N$1,F197)</f>
        <v/>
      </c>
      <c r="J197" s="9">
        <f>IF(D197="USD",G197*$N$1,G197)</f>
        <v/>
      </c>
      <c r="K197" s="9">
        <f>H197+I197</f>
        <v/>
      </c>
    </row>
    <row r="198">
      <c r="A198" s="8" t="n">
        <v>45999</v>
      </c>
      <c r="B198" t="inlineStr">
        <is>
          <t>2025-W50</t>
        </is>
      </c>
      <c r="C198" t="inlineStr">
        <is>
          <t>Nuvei</t>
        </is>
      </c>
      <c r="D198" t="inlineStr">
        <is>
          <t>EUR</t>
        </is>
      </c>
      <c r="E198" s="9" t="n">
        <v>0</v>
      </c>
      <c r="F198" s="9" t="n">
        <v>0</v>
      </c>
      <c r="G198" s="9" t="n">
        <v>-17726.33</v>
      </c>
      <c r="H198" s="9">
        <f>IF(D198="USD",E198*$N$1,E198)</f>
        <v/>
      </c>
      <c r="I198" s="9">
        <f>IF(D198="USD",F198*$N$1,F198)</f>
        <v/>
      </c>
      <c r="J198" s="9">
        <f>IF(D198="USD",G198*$N$1,G198)</f>
        <v/>
      </c>
      <c r="K198" s="9">
        <f>H198+I198</f>
        <v/>
      </c>
    </row>
    <row r="199">
      <c r="A199" s="8" t="n">
        <v>45999</v>
      </c>
      <c r="B199" t="inlineStr">
        <is>
          <t>2025-W50</t>
        </is>
      </c>
      <c r="C199" t="inlineStr">
        <is>
          <t>Nuvei</t>
        </is>
      </c>
      <c r="D199" t="inlineStr">
        <is>
          <t>EUR</t>
        </is>
      </c>
      <c r="E199" s="9" t="n">
        <v>303857.81</v>
      </c>
      <c r="F199" s="9" t="n">
        <v>-3990.12</v>
      </c>
      <c r="G199" s="9" t="n">
        <v>0</v>
      </c>
      <c r="H199" s="9">
        <f>IF(D199="USD",E199*$N$1,E199)</f>
        <v/>
      </c>
      <c r="I199" s="9">
        <f>IF(D199="USD",F199*$N$1,F199)</f>
        <v/>
      </c>
      <c r="J199" s="9">
        <f>IF(D199="USD",G199*$N$1,G199)</f>
        <v/>
      </c>
      <c r="K199" s="9">
        <f>H199+I199</f>
        <v/>
      </c>
    </row>
    <row r="200">
      <c r="A200" s="8" t="n">
        <v>45999</v>
      </c>
      <c r="B200" t="inlineStr">
        <is>
          <t>2025-W50</t>
        </is>
      </c>
      <c r="C200" t="inlineStr">
        <is>
          <t>Nuvei</t>
        </is>
      </c>
      <c r="D200" t="inlineStr">
        <is>
          <t>EUR</t>
        </is>
      </c>
      <c r="E200" s="9" t="n">
        <v>23095.68</v>
      </c>
      <c r="F200" s="9" t="n">
        <v>-655.34</v>
      </c>
      <c r="G200" s="9" t="n">
        <v>0</v>
      </c>
      <c r="H200" s="9">
        <f>IF(D200="USD",E200*$N$1,E200)</f>
        <v/>
      </c>
      <c r="I200" s="9">
        <f>IF(D200="USD",F200*$N$1,F200)</f>
        <v/>
      </c>
      <c r="J200" s="9">
        <f>IF(D200="USD",G200*$N$1,G200)</f>
        <v/>
      </c>
      <c r="K200" s="9">
        <f>H200+I200</f>
        <v/>
      </c>
    </row>
    <row r="201">
      <c r="A201" s="8" t="n">
        <v>46000</v>
      </c>
      <c r="B201" t="inlineStr">
        <is>
          <t>2025-W50</t>
        </is>
      </c>
      <c r="C201" t="inlineStr">
        <is>
          <t>Nuvei</t>
        </is>
      </c>
      <c r="D201" t="inlineStr">
        <is>
          <t>EUR</t>
        </is>
      </c>
      <c r="E201" s="9" t="n">
        <v>0</v>
      </c>
      <c r="F201" s="9" t="n">
        <v>0</v>
      </c>
      <c r="G201" s="9" t="n">
        <v>-366835</v>
      </c>
      <c r="H201" s="9">
        <f>IF(D201="USD",E201*$N$1,E201)</f>
        <v/>
      </c>
      <c r="I201" s="9">
        <f>IF(D201="USD",F201*$N$1,F201)</f>
        <v/>
      </c>
      <c r="J201" s="9">
        <f>IF(D201="USD",G201*$N$1,G201)</f>
        <v/>
      </c>
      <c r="K201" s="9">
        <f>H201+I201</f>
        <v/>
      </c>
    </row>
    <row r="202">
      <c r="A202" s="8" t="n">
        <v>46000</v>
      </c>
      <c r="B202" t="inlineStr">
        <is>
          <t>2025-W50</t>
        </is>
      </c>
      <c r="C202" t="inlineStr">
        <is>
          <t>Nuvei</t>
        </is>
      </c>
      <c r="D202" t="inlineStr">
        <is>
          <t>EUR</t>
        </is>
      </c>
      <c r="E202" s="9" t="n">
        <v>0</v>
      </c>
      <c r="F202" s="9" t="n">
        <v>0</v>
      </c>
      <c r="G202" s="9" t="n">
        <v>-23692.22</v>
      </c>
      <c r="H202" s="9">
        <f>IF(D202="USD",E202*$N$1,E202)</f>
        <v/>
      </c>
      <c r="I202" s="9">
        <f>IF(D202="USD",F202*$N$1,F202)</f>
        <v/>
      </c>
      <c r="J202" s="9">
        <f>IF(D202="USD",G202*$N$1,G202)</f>
        <v/>
      </c>
      <c r="K202" s="9">
        <f>H202+I202</f>
        <v/>
      </c>
    </row>
    <row r="203">
      <c r="A203" s="8" t="n">
        <v>46000</v>
      </c>
      <c r="B203" t="inlineStr">
        <is>
          <t>2025-W50</t>
        </is>
      </c>
      <c r="C203" t="inlineStr">
        <is>
          <t>Nuvei</t>
        </is>
      </c>
      <c r="D203" t="inlineStr">
        <is>
          <t>EUR</t>
        </is>
      </c>
      <c r="E203" s="9" t="n">
        <v>343350.18</v>
      </c>
      <c r="F203" s="9" t="n">
        <v>-4712.98</v>
      </c>
      <c r="G203" s="9" t="n">
        <v>0</v>
      </c>
      <c r="H203" s="9">
        <f>IF(D203="USD",E203*$N$1,E203)</f>
        <v/>
      </c>
      <c r="I203" s="9">
        <f>IF(D203="USD",F203*$N$1,F203)</f>
        <v/>
      </c>
      <c r="J203" s="9">
        <f>IF(D203="USD",G203*$N$1,G203)</f>
        <v/>
      </c>
      <c r="K203" s="9">
        <f>H203+I203</f>
        <v/>
      </c>
    </row>
    <row r="204">
      <c r="A204" s="8" t="n">
        <v>46000</v>
      </c>
      <c r="B204" t="inlineStr">
        <is>
          <t>2025-W50</t>
        </is>
      </c>
      <c r="C204" t="inlineStr">
        <is>
          <t>Nuvei</t>
        </is>
      </c>
      <c r="D204" t="inlineStr">
        <is>
          <t>EUR</t>
        </is>
      </c>
      <c r="E204" s="9" t="n">
        <v>21218.07</v>
      </c>
      <c r="F204" s="9" t="n">
        <v>-616.11</v>
      </c>
      <c r="G204" s="9" t="n">
        <v>0</v>
      </c>
      <c r="H204" s="9">
        <f>IF(D204="USD",E204*$N$1,E204)</f>
        <v/>
      </c>
      <c r="I204" s="9">
        <f>IF(D204="USD",F204*$N$1,F204)</f>
        <v/>
      </c>
      <c r="J204" s="9">
        <f>IF(D204="USD",G204*$N$1,G204)</f>
        <v/>
      </c>
      <c r="K204" s="9">
        <f>H204+I204</f>
        <v/>
      </c>
    </row>
    <row r="205">
      <c r="A205" s="8" t="n">
        <v>46001</v>
      </c>
      <c r="B205" t="inlineStr">
        <is>
          <t>2025-W50</t>
        </is>
      </c>
      <c r="C205" t="inlineStr">
        <is>
          <t>Nuvei</t>
        </is>
      </c>
      <c r="D205" t="inlineStr">
        <is>
          <t>EUR</t>
        </is>
      </c>
      <c r="E205" s="9" t="n">
        <v>0</v>
      </c>
      <c r="F205" s="9" t="n">
        <v>0</v>
      </c>
      <c r="G205" s="9" t="n">
        <v>-331798.57</v>
      </c>
      <c r="H205" s="9">
        <f>IF(D205="USD",E205*$N$1,E205)</f>
        <v/>
      </c>
      <c r="I205" s="9">
        <f>IF(D205="USD",F205*$N$1,F205)</f>
        <v/>
      </c>
      <c r="J205" s="9">
        <f>IF(D205="USD",G205*$N$1,G205)</f>
        <v/>
      </c>
      <c r="K205" s="9">
        <f>H205+I205</f>
        <v/>
      </c>
    </row>
    <row r="206">
      <c r="A206" s="8" t="n">
        <v>46001</v>
      </c>
      <c r="B206" t="inlineStr">
        <is>
          <t>2025-W50</t>
        </is>
      </c>
      <c r="C206" t="inlineStr">
        <is>
          <t>Nuvei</t>
        </is>
      </c>
      <c r="D206" t="inlineStr">
        <is>
          <t>EUR</t>
        </is>
      </c>
      <c r="E206" s="9" t="n">
        <v>0</v>
      </c>
      <c r="F206" s="9" t="n">
        <v>0</v>
      </c>
      <c r="G206" s="9" t="n">
        <v>-20428.94</v>
      </c>
      <c r="H206" s="9">
        <f>IF(D206="USD",E206*$N$1,E206)</f>
        <v/>
      </c>
      <c r="I206" s="9">
        <f>IF(D206="USD",F206*$N$1,F206)</f>
        <v/>
      </c>
      <c r="J206" s="9">
        <f>IF(D206="USD",G206*$N$1,G206)</f>
        <v/>
      </c>
      <c r="K206" s="9">
        <f>H206+I206</f>
        <v/>
      </c>
    </row>
    <row r="207">
      <c r="A207" s="8" t="n">
        <v>46001</v>
      </c>
      <c r="B207" t="inlineStr">
        <is>
          <t>2025-W50</t>
        </is>
      </c>
      <c r="C207" t="inlineStr">
        <is>
          <t>Nuvei</t>
        </is>
      </c>
      <c r="D207" t="inlineStr">
        <is>
          <t>EUR</t>
        </is>
      </c>
      <c r="E207" s="9" t="n">
        <v>358000.33</v>
      </c>
      <c r="F207" s="9" t="n">
        <v>-4883.05</v>
      </c>
      <c r="G207" s="9" t="n">
        <v>0</v>
      </c>
      <c r="H207" s="9">
        <f>IF(D207="USD",E207*$N$1,E207)</f>
        <v/>
      </c>
      <c r="I207" s="9">
        <f>IF(D207="USD",F207*$N$1,F207)</f>
        <v/>
      </c>
      <c r="J207" s="9">
        <f>IF(D207="USD",G207*$N$1,G207)</f>
        <v/>
      </c>
      <c r="K207" s="9">
        <f>H207+I207</f>
        <v/>
      </c>
    </row>
    <row r="208">
      <c r="A208" s="8" t="n">
        <v>46001</v>
      </c>
      <c r="B208" t="inlineStr">
        <is>
          <t>2025-W50</t>
        </is>
      </c>
      <c r="C208" t="inlineStr">
        <is>
          <t>Nuvei</t>
        </is>
      </c>
      <c r="D208" t="inlineStr">
        <is>
          <t>EUR</t>
        </is>
      </c>
      <c r="E208" s="9" t="n">
        <v>17013.59</v>
      </c>
      <c r="F208" s="9" t="n">
        <v>-498.71</v>
      </c>
      <c r="G208" s="9" t="n">
        <v>0</v>
      </c>
      <c r="H208" s="9">
        <f>IF(D208="USD",E208*$N$1,E208)</f>
        <v/>
      </c>
      <c r="I208" s="9">
        <f>IF(D208="USD",F208*$N$1,F208)</f>
        <v/>
      </c>
      <c r="J208" s="9">
        <f>IF(D208="USD",G208*$N$1,G208)</f>
        <v/>
      </c>
      <c r="K208" s="9">
        <f>H208+I208</f>
        <v/>
      </c>
    </row>
    <row r="209">
      <c r="A209" s="8" t="n">
        <v>46001</v>
      </c>
      <c r="B209" t="inlineStr">
        <is>
          <t>2025-W50</t>
        </is>
      </c>
      <c r="C209" t="inlineStr">
        <is>
          <t>Nuvei</t>
        </is>
      </c>
      <c r="D209" t="inlineStr">
        <is>
          <t>EUR</t>
        </is>
      </c>
      <c r="E209" s="9" t="n">
        <v>298668.15</v>
      </c>
      <c r="F209" s="9" t="n">
        <v>-3901.04</v>
      </c>
      <c r="G209" s="9" t="n">
        <v>0</v>
      </c>
      <c r="H209" s="9">
        <f>IF(D209="USD",E209*$N$1,E209)</f>
        <v/>
      </c>
      <c r="I209" s="9">
        <f>IF(D209="USD",F209*$N$1,F209)</f>
        <v/>
      </c>
      <c r="J209" s="9">
        <f>IF(D209="USD",G209*$N$1,G209)</f>
        <v/>
      </c>
      <c r="K209" s="9">
        <f>H209+I209</f>
        <v/>
      </c>
    </row>
    <row r="210">
      <c r="A210" s="8" t="n">
        <v>46001</v>
      </c>
      <c r="B210" t="inlineStr">
        <is>
          <t>2025-W50</t>
        </is>
      </c>
      <c r="C210" t="inlineStr">
        <is>
          <t>Nuvei</t>
        </is>
      </c>
      <c r="D210" t="inlineStr">
        <is>
          <t>EUR</t>
        </is>
      </c>
      <c r="E210" s="9" t="n">
        <v>22118.44</v>
      </c>
      <c r="F210" s="9" t="n">
        <v>-633.6799999999999</v>
      </c>
      <c r="G210" s="9" t="n">
        <v>0</v>
      </c>
      <c r="H210" s="9">
        <f>IF(D210="USD",E210*$N$1,E210)</f>
        <v/>
      </c>
      <c r="I210" s="9">
        <f>IF(D210="USD",F210*$N$1,F210)</f>
        <v/>
      </c>
      <c r="J210" s="9">
        <f>IF(D210="USD",G210*$N$1,G210)</f>
        <v/>
      </c>
      <c r="K210" s="9">
        <f>H210+I210</f>
        <v/>
      </c>
    </row>
    <row r="211">
      <c r="A211" s="8" t="n">
        <v>46002</v>
      </c>
      <c r="B211" t="inlineStr">
        <is>
          <t>2025-W50</t>
        </is>
      </c>
      <c r="C211" t="inlineStr">
        <is>
          <t>Nuvei</t>
        </is>
      </c>
      <c r="D211" t="inlineStr">
        <is>
          <t>EUR</t>
        </is>
      </c>
      <c r="E211" s="9" t="n">
        <v>0</v>
      </c>
      <c r="F211" s="9" t="n">
        <v>0</v>
      </c>
      <c r="G211" s="9" t="n">
        <v>-267326.41</v>
      </c>
      <c r="H211" s="9">
        <f>IF(D211="USD",E211*$N$1,E211)</f>
        <v/>
      </c>
      <c r="I211" s="9">
        <f>IF(D211="USD",F211*$N$1,F211)</f>
        <v/>
      </c>
      <c r="J211" s="9">
        <f>IF(D211="USD",G211*$N$1,G211)</f>
        <v/>
      </c>
      <c r="K211" s="9">
        <f>H211+I211</f>
        <v/>
      </c>
    </row>
    <row r="212">
      <c r="A212" s="8" t="n">
        <v>46002</v>
      </c>
      <c r="B212" t="inlineStr">
        <is>
          <t>2025-W50</t>
        </is>
      </c>
      <c r="C212" t="inlineStr">
        <is>
          <t>Nuvei</t>
        </is>
      </c>
      <c r="D212" t="inlineStr">
        <is>
          <t>EUR</t>
        </is>
      </c>
      <c r="E212" s="9" t="n">
        <v>0</v>
      </c>
      <c r="F212" s="9" t="n">
        <v>0</v>
      </c>
      <c r="G212" s="9" t="n">
        <v>-12722.13</v>
      </c>
      <c r="H212" s="9">
        <f>IF(D212="USD",E212*$N$1,E212)</f>
        <v/>
      </c>
      <c r="I212" s="9">
        <f>IF(D212="USD",F212*$N$1,F212)</f>
        <v/>
      </c>
      <c r="J212" s="9">
        <f>IF(D212="USD",G212*$N$1,G212)</f>
        <v/>
      </c>
      <c r="K212" s="9">
        <f>H212+I212</f>
        <v/>
      </c>
    </row>
    <row r="213">
      <c r="A213" s="8" t="n">
        <v>46005</v>
      </c>
      <c r="B213" t="inlineStr">
        <is>
          <t>2025-W50</t>
        </is>
      </c>
      <c r="C213" t="inlineStr">
        <is>
          <t>Nuvei</t>
        </is>
      </c>
      <c r="D213" t="inlineStr">
        <is>
          <t>EUR</t>
        </is>
      </c>
      <c r="E213" s="9" t="n">
        <v>0</v>
      </c>
      <c r="F213" s="9" t="n">
        <v>0</v>
      </c>
      <c r="G213" s="9" t="n">
        <v>-892538.5699999999</v>
      </c>
      <c r="H213" s="9">
        <f>IF(D213="USD",E213*$N$1,E213)</f>
        <v/>
      </c>
      <c r="I213" s="9">
        <f>IF(D213="USD",F213*$N$1,F213)</f>
        <v/>
      </c>
      <c r="J213" s="9">
        <f>IF(D213="USD",G213*$N$1,G213)</f>
        <v/>
      </c>
      <c r="K213" s="9">
        <f>H213+I213</f>
        <v/>
      </c>
    </row>
    <row r="214">
      <c r="A214" s="8" t="n">
        <v>46005</v>
      </c>
      <c r="B214" t="inlineStr">
        <is>
          <t>2025-W50</t>
        </is>
      </c>
      <c r="C214" t="inlineStr">
        <is>
          <t>Nuvei</t>
        </is>
      </c>
      <c r="D214" t="inlineStr">
        <is>
          <t>EUR</t>
        </is>
      </c>
      <c r="E214" s="9" t="n">
        <v>0</v>
      </c>
      <c r="F214" s="9" t="n">
        <v>0</v>
      </c>
      <c r="G214" s="9" t="n">
        <v>-51860.75</v>
      </c>
      <c r="H214" s="9">
        <f>IF(D214="USD",E214*$N$1,E214)</f>
        <v/>
      </c>
      <c r="I214" s="9">
        <f>IF(D214="USD",F214*$N$1,F214)</f>
        <v/>
      </c>
      <c r="J214" s="9">
        <f>IF(D214="USD",G214*$N$1,G214)</f>
        <v/>
      </c>
      <c r="K214" s="9">
        <f>H214+I214</f>
        <v/>
      </c>
    </row>
    <row r="215">
      <c r="A215" s="8" t="n">
        <v>46005</v>
      </c>
      <c r="B215" t="inlineStr">
        <is>
          <t>2025-W50</t>
        </is>
      </c>
      <c r="C215" t="inlineStr">
        <is>
          <t>Nuvei</t>
        </is>
      </c>
      <c r="D215" t="inlineStr">
        <is>
          <t>EUR</t>
        </is>
      </c>
      <c r="E215" s="9" t="n">
        <v>310074.39</v>
      </c>
      <c r="F215" s="9" t="n">
        <v>-4179.86</v>
      </c>
      <c r="G215" s="9" t="n">
        <v>0</v>
      </c>
      <c r="H215" s="9">
        <f>IF(D215="USD",E215*$N$1,E215)</f>
        <v/>
      </c>
      <c r="I215" s="9">
        <f>IF(D215="USD",F215*$N$1,F215)</f>
        <v/>
      </c>
      <c r="J215" s="9">
        <f>IF(D215="USD",G215*$N$1,G215)</f>
        <v/>
      </c>
      <c r="K215" s="9">
        <f>H215+I215</f>
        <v/>
      </c>
    </row>
    <row r="216">
      <c r="A216" s="8" t="n">
        <v>46005</v>
      </c>
      <c r="B216" t="inlineStr">
        <is>
          <t>2025-W50</t>
        </is>
      </c>
      <c r="C216" t="inlineStr">
        <is>
          <t>Nuvei</t>
        </is>
      </c>
      <c r="D216" t="inlineStr">
        <is>
          <t>EUR</t>
        </is>
      </c>
      <c r="E216" s="9" t="n">
        <v>15388.27</v>
      </c>
      <c r="F216" s="9" t="n">
        <v>-418.35</v>
      </c>
      <c r="G216" s="9" t="n">
        <v>0</v>
      </c>
      <c r="H216" s="9">
        <f>IF(D216="USD",E216*$N$1,E216)</f>
        <v/>
      </c>
      <c r="I216" s="9">
        <f>IF(D216="USD",F216*$N$1,F216)</f>
        <v/>
      </c>
      <c r="J216" s="9">
        <f>IF(D216="USD",G216*$N$1,G216)</f>
        <v/>
      </c>
      <c r="K216" s="9">
        <f>H216+I216</f>
        <v/>
      </c>
    </row>
    <row r="217">
      <c r="A217" s="8" t="n">
        <v>46005</v>
      </c>
      <c r="B217" t="inlineStr">
        <is>
          <t>2025-W50</t>
        </is>
      </c>
      <c r="C217" t="inlineStr">
        <is>
          <t>Nuvei</t>
        </is>
      </c>
      <c r="D217" t="inlineStr">
        <is>
          <t>EUR</t>
        </is>
      </c>
      <c r="E217" s="9" t="n">
        <v>267779.66</v>
      </c>
      <c r="F217" s="9" t="n">
        <v>-3384.13</v>
      </c>
      <c r="G217" s="9" t="n">
        <v>0</v>
      </c>
      <c r="H217" s="9">
        <f>IF(D217="USD",E217*$N$1,E217)</f>
        <v/>
      </c>
      <c r="I217" s="9">
        <f>IF(D217="USD",F217*$N$1,F217)</f>
        <v/>
      </c>
      <c r="J217" s="9">
        <f>IF(D217="USD",G217*$N$1,G217)</f>
        <v/>
      </c>
      <c r="K217" s="9">
        <f>H217+I217</f>
        <v/>
      </c>
    </row>
    <row r="218">
      <c r="A218" s="8" t="n">
        <v>46005</v>
      </c>
      <c r="B218" t="inlineStr">
        <is>
          <t>2025-W50</t>
        </is>
      </c>
      <c r="C218" t="inlineStr">
        <is>
          <t>Nuvei</t>
        </is>
      </c>
      <c r="D218" t="inlineStr">
        <is>
          <t>EUR</t>
        </is>
      </c>
      <c r="E218" s="9" t="n">
        <v>9129.73</v>
      </c>
      <c r="F218" s="9" t="n">
        <v>-258.25</v>
      </c>
      <c r="G218" s="9" t="n">
        <v>0</v>
      </c>
      <c r="H218" s="9">
        <f>IF(D218="USD",E218*$N$1,E218)</f>
        <v/>
      </c>
      <c r="I218" s="9">
        <f>IF(D218="USD",F218*$N$1,F218)</f>
        <v/>
      </c>
      <c r="J218" s="9">
        <f>IF(D218="USD",G218*$N$1,G218)</f>
        <v/>
      </c>
      <c r="K218" s="9">
        <f>H218+I218</f>
        <v/>
      </c>
    </row>
    <row r="219">
      <c r="A219" s="8" t="n">
        <v>46005</v>
      </c>
      <c r="B219" t="inlineStr">
        <is>
          <t>2025-W50</t>
        </is>
      </c>
      <c r="C219" t="inlineStr">
        <is>
          <t>Nuvei</t>
        </is>
      </c>
      <c r="D219" t="inlineStr">
        <is>
          <t>EUR</t>
        </is>
      </c>
      <c r="E219" s="9" t="n">
        <v>368803.66</v>
      </c>
      <c r="F219" s="9" t="n">
        <v>-4773.29</v>
      </c>
      <c r="G219" s="9" t="n">
        <v>0</v>
      </c>
      <c r="H219" s="9">
        <f>IF(D219="USD",E219*$N$1,E219)</f>
        <v/>
      </c>
      <c r="I219" s="9">
        <f>IF(D219="USD",F219*$N$1,F219)</f>
        <v/>
      </c>
      <c r="J219" s="9">
        <f>IF(D219="USD",G219*$N$1,G219)</f>
        <v/>
      </c>
      <c r="K219" s="9">
        <f>H219+I219</f>
        <v/>
      </c>
    </row>
    <row r="220">
      <c r="A220" s="8" t="n">
        <v>46005</v>
      </c>
      <c r="B220" t="inlineStr">
        <is>
          <t>2025-W50</t>
        </is>
      </c>
      <c r="C220" t="inlineStr">
        <is>
          <t>Nuvei</t>
        </is>
      </c>
      <c r="D220" t="inlineStr">
        <is>
          <t>EUR</t>
        </is>
      </c>
      <c r="E220" s="9" t="n">
        <v>12143.14</v>
      </c>
      <c r="F220" s="9" t="n">
        <v>-352.53</v>
      </c>
      <c r="G220" s="9" t="n">
        <v>0</v>
      </c>
      <c r="H220" s="9">
        <f>IF(D220="USD",E220*$N$1,E220)</f>
        <v/>
      </c>
      <c r="I220" s="9">
        <f>IF(D220="USD",F220*$N$1,F220)</f>
        <v/>
      </c>
      <c r="J220" s="9">
        <f>IF(D220="USD",G220*$N$1,G220)</f>
        <v/>
      </c>
      <c r="K220" s="9">
        <f>H220+I220</f>
        <v/>
      </c>
    </row>
    <row r="221">
      <c r="A221" s="8" t="n">
        <v>46006</v>
      </c>
      <c r="B221" t="inlineStr">
        <is>
          <t>2025-W51</t>
        </is>
      </c>
      <c r="C221" t="inlineStr">
        <is>
          <t>Nuvei</t>
        </is>
      </c>
      <c r="D221" t="inlineStr">
        <is>
          <t>EUR</t>
        </is>
      </c>
      <c r="E221" s="9" t="n">
        <v>0</v>
      </c>
      <c r="F221" s="9" t="n">
        <v>0</v>
      </c>
      <c r="G221" s="9" t="n">
        <v>-338633.7</v>
      </c>
      <c r="H221" s="9">
        <f>IF(D221="USD",E221*$N$1,E221)</f>
        <v/>
      </c>
      <c r="I221" s="9">
        <f>IF(D221="USD",F221*$N$1,F221)</f>
        <v/>
      </c>
      <c r="J221" s="9">
        <f>IF(D221="USD",G221*$N$1,G221)</f>
        <v/>
      </c>
      <c r="K221" s="9">
        <f>H221+I221</f>
        <v/>
      </c>
    </row>
    <row r="222">
      <c r="A222" s="8" t="n">
        <v>46006</v>
      </c>
      <c r="B222" t="inlineStr">
        <is>
          <t>2025-W51</t>
        </is>
      </c>
      <c r="C222" t="inlineStr">
        <is>
          <t>Nuvei</t>
        </is>
      </c>
      <c r="D222" t="inlineStr">
        <is>
          <t>EUR</t>
        </is>
      </c>
      <c r="E222" s="9" t="n">
        <v>0</v>
      </c>
      <c r="F222" s="9" t="n">
        <v>0</v>
      </c>
      <c r="G222" s="9" t="n">
        <v>-20598.46</v>
      </c>
      <c r="H222" s="9">
        <f>IF(D222="USD",E222*$N$1,E222)</f>
        <v/>
      </c>
      <c r="I222" s="9">
        <f>IF(D222="USD",F222*$N$1,F222)</f>
        <v/>
      </c>
      <c r="J222" s="9">
        <f>IF(D222="USD",G222*$N$1,G222)</f>
        <v/>
      </c>
      <c r="K222" s="9">
        <f>H222+I222</f>
        <v/>
      </c>
    </row>
    <row r="223">
      <c r="A223" s="8" t="n">
        <v>46006</v>
      </c>
      <c r="B223" t="inlineStr">
        <is>
          <t>2025-W51</t>
        </is>
      </c>
      <c r="C223" t="inlineStr">
        <is>
          <t>Nuvei</t>
        </is>
      </c>
      <c r="D223" t="inlineStr">
        <is>
          <t>EUR</t>
        </is>
      </c>
      <c r="E223" s="9" t="n">
        <v>352172.56</v>
      </c>
      <c r="F223" s="9" t="n">
        <v>-4998</v>
      </c>
      <c r="G223" s="9" t="n">
        <v>0</v>
      </c>
      <c r="H223" s="9">
        <f>IF(D223="USD",E223*$N$1,E223)</f>
        <v/>
      </c>
      <c r="I223" s="9">
        <f>IF(D223="USD",F223*$N$1,F223)</f>
        <v/>
      </c>
      <c r="J223" s="9">
        <f>IF(D223="USD",G223*$N$1,G223)</f>
        <v/>
      </c>
      <c r="K223" s="9">
        <f>H223+I223</f>
        <v/>
      </c>
    </row>
    <row r="224">
      <c r="A224" s="8" t="n">
        <v>46006</v>
      </c>
      <c r="B224" t="inlineStr">
        <is>
          <t>2025-W51</t>
        </is>
      </c>
      <c r="C224" t="inlineStr">
        <is>
          <t>Nuvei</t>
        </is>
      </c>
      <c r="D224" t="inlineStr">
        <is>
          <t>EUR</t>
        </is>
      </c>
      <c r="E224" s="9" t="n">
        <v>26845</v>
      </c>
      <c r="F224" s="9" t="n">
        <v>-742.53</v>
      </c>
      <c r="G224" s="9" t="n">
        <v>0</v>
      </c>
      <c r="H224" s="9">
        <f>IF(D224="USD",E224*$N$1,E224)</f>
        <v/>
      </c>
      <c r="I224" s="9">
        <f>IF(D224="USD",F224*$N$1,F224)</f>
        <v/>
      </c>
      <c r="J224" s="9">
        <f>IF(D224="USD",G224*$N$1,G224)</f>
        <v/>
      </c>
      <c r="K224" s="9">
        <f>H224+I224</f>
        <v/>
      </c>
    </row>
    <row r="225">
      <c r="A225" s="8" t="n">
        <v>46007</v>
      </c>
      <c r="B225" t="inlineStr">
        <is>
          <t>2025-W51</t>
        </is>
      </c>
      <c r="C225" t="inlineStr">
        <is>
          <t>Nuvei</t>
        </is>
      </c>
      <c r="D225" t="inlineStr">
        <is>
          <t>EUR</t>
        </is>
      </c>
      <c r="E225" s="9" t="n">
        <v>0</v>
      </c>
      <c r="F225" s="9" t="n">
        <v>0</v>
      </c>
      <c r="G225" s="9" t="n">
        <v>-353113.77</v>
      </c>
      <c r="H225" s="9">
        <f>IF(D225="USD",E225*$N$1,E225)</f>
        <v/>
      </c>
      <c r="I225" s="9">
        <f>IF(D225="USD",F225*$N$1,F225)</f>
        <v/>
      </c>
      <c r="J225" s="9">
        <f>IF(D225="USD",G225*$N$1,G225)</f>
        <v/>
      </c>
      <c r="K225" s="9">
        <f>H225+I225</f>
        <v/>
      </c>
    </row>
    <row r="226">
      <c r="A226" s="8" t="n">
        <v>46007</v>
      </c>
      <c r="B226" t="inlineStr">
        <is>
          <t>2025-W51</t>
        </is>
      </c>
      <c r="C226" t="inlineStr">
        <is>
          <t>Nuvei</t>
        </is>
      </c>
      <c r="D226" t="inlineStr">
        <is>
          <t>EUR</t>
        </is>
      </c>
      <c r="E226" s="9" t="n">
        <v>0</v>
      </c>
      <c r="F226" s="9" t="n">
        <v>0</v>
      </c>
      <c r="G226" s="9" t="n">
        <v>-16511.38</v>
      </c>
      <c r="H226" s="9">
        <f>IF(D226="USD",E226*$N$1,E226)</f>
        <v/>
      </c>
      <c r="I226" s="9">
        <f>IF(D226="USD",F226*$N$1,F226)</f>
        <v/>
      </c>
      <c r="J226" s="9">
        <f>IF(D226="USD",G226*$N$1,G226)</f>
        <v/>
      </c>
      <c r="K226" s="9">
        <f>H226+I226</f>
        <v/>
      </c>
    </row>
    <row r="227">
      <c r="A227" s="8" t="n">
        <v>46007</v>
      </c>
      <c r="B227" t="inlineStr">
        <is>
          <t>2025-W51</t>
        </is>
      </c>
      <c r="C227" t="inlineStr">
        <is>
          <t>Nuvei</t>
        </is>
      </c>
      <c r="D227" t="inlineStr">
        <is>
          <t>EUR</t>
        </is>
      </c>
      <c r="E227" s="9" t="n">
        <v>0</v>
      </c>
      <c r="F227" s="9" t="n">
        <v>0</v>
      </c>
      <c r="G227" s="9" t="n">
        <v>-294763.61</v>
      </c>
      <c r="H227" s="9">
        <f>IF(D227="USD",E227*$N$1,E227)</f>
        <v/>
      </c>
      <c r="I227" s="9">
        <f>IF(D227="USD",F227*$N$1,F227)</f>
        <v/>
      </c>
      <c r="J227" s="9">
        <f>IF(D227="USD",G227*$N$1,G227)</f>
        <v/>
      </c>
      <c r="K227" s="9">
        <f>H227+I227</f>
        <v/>
      </c>
    </row>
    <row r="228">
      <c r="A228" s="8" t="n">
        <v>46007</v>
      </c>
      <c r="B228" t="inlineStr">
        <is>
          <t>2025-W51</t>
        </is>
      </c>
      <c r="C228" t="inlineStr">
        <is>
          <t>Nuvei</t>
        </is>
      </c>
      <c r="D228" t="inlineStr">
        <is>
          <t>EUR</t>
        </is>
      </c>
      <c r="E228" s="9" t="n">
        <v>0</v>
      </c>
      <c r="F228" s="9" t="n">
        <v>0</v>
      </c>
      <c r="G228" s="9" t="n">
        <v>-21481.26</v>
      </c>
      <c r="H228" s="9">
        <f>IF(D228="USD",E228*$N$1,E228)</f>
        <v/>
      </c>
      <c r="I228" s="9">
        <f>IF(D228="USD",F228*$N$1,F228)</f>
        <v/>
      </c>
      <c r="J228" s="9">
        <f>IF(D228="USD",G228*$N$1,G228)</f>
        <v/>
      </c>
      <c r="K228" s="9">
        <f>H228+I228</f>
        <v/>
      </c>
    </row>
    <row r="229">
      <c r="A229" s="8" t="n">
        <v>46007</v>
      </c>
      <c r="B229" t="inlineStr">
        <is>
          <t>2025-W51</t>
        </is>
      </c>
      <c r="C229" t="inlineStr">
        <is>
          <t>Nuvei</t>
        </is>
      </c>
      <c r="D229" t="inlineStr">
        <is>
          <t>EUR</t>
        </is>
      </c>
      <c r="E229" s="9" t="n">
        <v>325950.1</v>
      </c>
      <c r="F229" s="9" t="n">
        <v>-4725.79</v>
      </c>
      <c r="G229" s="9" t="n">
        <v>0</v>
      </c>
      <c r="H229" s="9">
        <f>IF(D229="USD",E229*$N$1,E229)</f>
        <v/>
      </c>
      <c r="I229" s="9">
        <f>IF(D229="USD",F229*$N$1,F229)</f>
        <v/>
      </c>
      <c r="J229" s="9">
        <f>IF(D229="USD",G229*$N$1,G229)</f>
        <v/>
      </c>
      <c r="K229" s="9">
        <f>H229+I229</f>
        <v/>
      </c>
    </row>
    <row r="230">
      <c r="A230" s="8" t="n">
        <v>46007</v>
      </c>
      <c r="B230" t="inlineStr">
        <is>
          <t>2025-W51</t>
        </is>
      </c>
      <c r="C230" t="inlineStr">
        <is>
          <t>Nuvei</t>
        </is>
      </c>
      <c r="D230" t="inlineStr">
        <is>
          <t>EUR</t>
        </is>
      </c>
      <c r="E230" s="9" t="n">
        <v>40276.68</v>
      </c>
      <c r="F230" s="9" t="n">
        <v>-1059.55</v>
      </c>
      <c r="G230" s="9" t="n">
        <v>0</v>
      </c>
      <c r="H230" s="9">
        <f>IF(D230="USD",E230*$N$1,E230)</f>
        <v/>
      </c>
      <c r="I230" s="9">
        <f>IF(D230="USD",F230*$N$1,F230)</f>
        <v/>
      </c>
      <c r="J230" s="9">
        <f>IF(D230="USD",G230*$N$1,G230)</f>
        <v/>
      </c>
      <c r="K230" s="9">
        <f>H230+I230</f>
        <v/>
      </c>
    </row>
    <row r="231">
      <c r="A231" s="8" t="n">
        <v>46008</v>
      </c>
      <c r="B231" t="inlineStr">
        <is>
          <t>2025-W51</t>
        </is>
      </c>
      <c r="C231" t="inlineStr">
        <is>
          <t>Nuvei</t>
        </is>
      </c>
      <c r="D231" t="inlineStr">
        <is>
          <t>EUR</t>
        </is>
      </c>
      <c r="E231" s="9" t="n">
        <v>354470.66</v>
      </c>
      <c r="F231" s="9" t="n">
        <v>-5280.65</v>
      </c>
      <c r="G231" s="9" t="n">
        <v>0</v>
      </c>
      <c r="H231" s="9">
        <f>IF(D231="USD",E231*$N$1,E231)</f>
        <v/>
      </c>
      <c r="I231" s="9">
        <f>IF(D231="USD",F231*$N$1,F231)</f>
        <v/>
      </c>
      <c r="J231" s="9">
        <f>IF(D231="USD",G231*$N$1,G231)</f>
        <v/>
      </c>
      <c r="K231" s="9">
        <f>H231+I231</f>
        <v/>
      </c>
    </row>
    <row r="232">
      <c r="A232" s="8" t="n">
        <v>46008</v>
      </c>
      <c r="B232" t="inlineStr">
        <is>
          <t>2025-W51</t>
        </is>
      </c>
      <c r="C232" t="inlineStr">
        <is>
          <t>Nuvei</t>
        </is>
      </c>
      <c r="D232" t="inlineStr">
        <is>
          <t>EUR</t>
        </is>
      </c>
      <c r="E232" s="9" t="n">
        <v>19284.77</v>
      </c>
      <c r="F232" s="9" t="n">
        <v>-524.84</v>
      </c>
      <c r="G232" s="9" t="n">
        <v>0</v>
      </c>
      <c r="H232" s="9">
        <f>IF(D232="USD",E232*$N$1,E232)</f>
        <v/>
      </c>
      <c r="I232" s="9">
        <f>IF(D232="USD",F232*$N$1,F232)</f>
        <v/>
      </c>
      <c r="J232" s="9">
        <f>IF(D232="USD",G232*$N$1,G232)</f>
        <v/>
      </c>
      <c r="K232" s="9">
        <f>H232+I232</f>
        <v/>
      </c>
    </row>
    <row r="233">
      <c r="A233" s="8" t="n">
        <v>46008</v>
      </c>
      <c r="B233" t="inlineStr">
        <is>
          <t>2025-W51</t>
        </is>
      </c>
      <c r="C233" t="inlineStr">
        <is>
          <t>Nuvei</t>
        </is>
      </c>
      <c r="D233" t="inlineStr">
        <is>
          <t>EUR</t>
        </is>
      </c>
      <c r="E233" s="9" t="n">
        <v>349825.22</v>
      </c>
      <c r="F233" s="9" t="n">
        <v>-4887.16</v>
      </c>
      <c r="G233" s="9" t="n">
        <v>0</v>
      </c>
      <c r="H233" s="9">
        <f>IF(D233="USD",E233*$N$1,E233)</f>
        <v/>
      </c>
      <c r="I233" s="9">
        <f>IF(D233="USD",F233*$N$1,F233)</f>
        <v/>
      </c>
      <c r="J233" s="9">
        <f>IF(D233="USD",G233*$N$1,G233)</f>
        <v/>
      </c>
      <c r="K233" s="9">
        <f>H233+I233</f>
        <v/>
      </c>
    </row>
    <row r="234">
      <c r="A234" s="8" t="n">
        <v>46008</v>
      </c>
      <c r="B234" t="inlineStr">
        <is>
          <t>2025-W51</t>
        </is>
      </c>
      <c r="C234" t="inlineStr">
        <is>
          <t>Nuvei</t>
        </is>
      </c>
      <c r="D234" t="inlineStr">
        <is>
          <t>EUR</t>
        </is>
      </c>
      <c r="E234" s="9" t="n">
        <v>27944.02</v>
      </c>
      <c r="F234" s="9" t="n">
        <v>-772.71</v>
      </c>
      <c r="G234" s="9" t="n">
        <v>0</v>
      </c>
      <c r="H234" s="9">
        <f>IF(D234="USD",E234*$N$1,E234)</f>
        <v/>
      </c>
      <c r="I234" s="9">
        <f>IF(D234="USD",F234*$N$1,F234)</f>
        <v/>
      </c>
      <c r="J234" s="9">
        <f>IF(D234="USD",G234*$N$1,G234)</f>
        <v/>
      </c>
      <c r="K234" s="9">
        <f>H234+I234</f>
        <v/>
      </c>
    </row>
    <row r="235">
      <c r="A235" s="8" t="n">
        <v>46008</v>
      </c>
      <c r="B235" t="inlineStr">
        <is>
          <t>2025-W51</t>
        </is>
      </c>
      <c r="C235" t="inlineStr">
        <is>
          <t>Nuvei</t>
        </is>
      </c>
      <c r="D235" t="inlineStr">
        <is>
          <t>EUR</t>
        </is>
      </c>
      <c r="E235" s="9" t="n">
        <v>336422.4</v>
      </c>
      <c r="F235" s="9" t="n">
        <v>-5146.59</v>
      </c>
      <c r="G235" s="9" t="n">
        <v>0</v>
      </c>
      <c r="H235" s="9">
        <f>IF(D235="USD",E235*$N$1,E235)</f>
        <v/>
      </c>
      <c r="I235" s="9">
        <f>IF(D235="USD",F235*$N$1,F235)</f>
        <v/>
      </c>
      <c r="J235" s="9">
        <f>IF(D235="USD",G235*$N$1,G235)</f>
        <v/>
      </c>
      <c r="K235" s="9">
        <f>H235+I235</f>
        <v/>
      </c>
    </row>
    <row r="236">
      <c r="A236" s="8" t="n">
        <v>46008</v>
      </c>
      <c r="B236" t="inlineStr">
        <is>
          <t>2025-W51</t>
        </is>
      </c>
      <c r="C236" t="inlineStr">
        <is>
          <t>Nuvei</t>
        </is>
      </c>
      <c r="D236" t="inlineStr">
        <is>
          <t>EUR</t>
        </is>
      </c>
      <c r="E236" s="9" t="n">
        <v>26811.34</v>
      </c>
      <c r="F236" s="9" t="n">
        <v>-741.4</v>
      </c>
      <c r="G236" s="9" t="n">
        <v>0</v>
      </c>
      <c r="H236" s="9">
        <f>IF(D236="USD",E236*$N$1,E236)</f>
        <v/>
      </c>
      <c r="I236" s="9">
        <f>IF(D236="USD",F236*$N$1,F236)</f>
        <v/>
      </c>
      <c r="J236" s="9">
        <f>IF(D236="USD",G236*$N$1,G236)</f>
        <v/>
      </c>
      <c r="K236" s="9">
        <f>H236+I236</f>
        <v/>
      </c>
    </row>
    <row r="237">
      <c r="A237" s="8" t="n">
        <v>46010</v>
      </c>
      <c r="B237" t="inlineStr">
        <is>
          <t>2025-W51</t>
        </is>
      </c>
      <c r="C237" t="inlineStr">
        <is>
          <t>Nuvei</t>
        </is>
      </c>
      <c r="D237" t="inlineStr">
        <is>
          <t>EUR</t>
        </is>
      </c>
      <c r="E237" s="9" t="n">
        <v>309454.05</v>
      </c>
      <c r="F237" s="9" t="n">
        <v>-3968.37</v>
      </c>
      <c r="G237" s="9" t="n">
        <v>0</v>
      </c>
      <c r="H237" s="9">
        <f>IF(D237="USD",E237*$N$1,E237)</f>
        <v/>
      </c>
      <c r="I237" s="9">
        <f>IF(D237="USD",F237*$N$1,F237)</f>
        <v/>
      </c>
      <c r="J237" s="9">
        <f>IF(D237="USD",G237*$N$1,G237)</f>
        <v/>
      </c>
      <c r="K237" s="9">
        <f>H237+I237</f>
        <v/>
      </c>
    </row>
    <row r="238">
      <c r="A238" s="8" t="n">
        <v>46010</v>
      </c>
      <c r="B238" t="inlineStr">
        <is>
          <t>2025-W51</t>
        </is>
      </c>
      <c r="C238" t="inlineStr">
        <is>
          <t>Nuvei</t>
        </is>
      </c>
      <c r="D238" t="inlineStr">
        <is>
          <t>EUR</t>
        </is>
      </c>
      <c r="E238" s="9" t="n">
        <v>23622.24</v>
      </c>
      <c r="F238" s="9" t="n">
        <v>-624.54</v>
      </c>
      <c r="G238" s="9" t="n">
        <v>0</v>
      </c>
      <c r="H238" s="9">
        <f>IF(D238="USD",E238*$N$1,E238)</f>
        <v/>
      </c>
      <c r="I238" s="9">
        <f>IF(D238="USD",F238*$N$1,F238)</f>
        <v/>
      </c>
      <c r="J238" s="9">
        <f>IF(D238="USD",G238*$N$1,G238)</f>
        <v/>
      </c>
      <c r="K238" s="9">
        <f>H238+I238</f>
        <v/>
      </c>
    </row>
    <row r="239">
      <c r="A239" s="8" t="n">
        <v>46011</v>
      </c>
      <c r="B239" t="inlineStr">
        <is>
          <t>2025-W51</t>
        </is>
      </c>
      <c r="C239" t="inlineStr">
        <is>
          <t>Nuvei</t>
        </is>
      </c>
      <c r="D239" t="inlineStr">
        <is>
          <t>EUR</t>
        </is>
      </c>
      <c r="E239" s="9" t="n">
        <v>0</v>
      </c>
      <c r="F239" s="9" t="n">
        <v>0</v>
      </c>
      <c r="G239" s="9" t="n">
        <v>-305891.03</v>
      </c>
      <c r="H239" s="9">
        <f>IF(D239="USD",E239*$N$1,E239)</f>
        <v/>
      </c>
      <c r="I239" s="9">
        <f>IF(D239="USD",F239*$N$1,F239)</f>
        <v/>
      </c>
      <c r="J239" s="9">
        <f>IF(D239="USD",G239*$N$1,G239)</f>
        <v/>
      </c>
      <c r="K239" s="9">
        <f>H239+I239</f>
        <v/>
      </c>
    </row>
    <row r="240">
      <c r="A240" s="8" t="n">
        <v>46011</v>
      </c>
      <c r="B240" t="inlineStr">
        <is>
          <t>2025-W51</t>
        </is>
      </c>
      <c r="C240" t="inlineStr">
        <is>
          <t>Nuvei</t>
        </is>
      </c>
      <c r="D240" t="inlineStr">
        <is>
          <t>EUR</t>
        </is>
      </c>
      <c r="E240" s="9" t="n">
        <v>0</v>
      </c>
      <c r="F240" s="9" t="n">
        <v>0</v>
      </c>
      <c r="G240" s="9" t="n">
        <v>-14966.42</v>
      </c>
      <c r="H240" s="9">
        <f>IF(D240="USD",E240*$N$1,E240)</f>
        <v/>
      </c>
      <c r="I240" s="9">
        <f>IF(D240="USD",F240*$N$1,F240)</f>
        <v/>
      </c>
      <c r="J240" s="9">
        <f>IF(D240="USD",G240*$N$1,G240)</f>
        <v/>
      </c>
      <c r="K240" s="9">
        <f>H240+I240</f>
        <v/>
      </c>
    </row>
    <row r="241">
      <c r="A241" s="8" t="n">
        <v>46011</v>
      </c>
      <c r="B241" t="inlineStr">
        <is>
          <t>2025-W51</t>
        </is>
      </c>
      <c r="C241" t="inlineStr">
        <is>
          <t>Nuvei</t>
        </is>
      </c>
      <c r="D241" t="inlineStr">
        <is>
          <t>EUR</t>
        </is>
      </c>
      <c r="E241" s="9" t="n">
        <v>369537.94</v>
      </c>
      <c r="F241" s="9" t="n">
        <v>-4557.23</v>
      </c>
      <c r="G241" s="9" t="n">
        <v>0</v>
      </c>
      <c r="H241" s="9">
        <f>IF(D241="USD",E241*$N$1,E241)</f>
        <v/>
      </c>
      <c r="I241" s="9">
        <f>IF(D241="USD",F241*$N$1,F241)</f>
        <v/>
      </c>
      <c r="J241" s="9">
        <f>IF(D241="USD",G241*$N$1,G241)</f>
        <v/>
      </c>
      <c r="K241" s="9">
        <f>H241+I241</f>
        <v/>
      </c>
    </row>
    <row r="242">
      <c r="A242" s="8" t="n">
        <v>46011</v>
      </c>
      <c r="B242" t="inlineStr">
        <is>
          <t>2025-W51</t>
        </is>
      </c>
      <c r="C242" t="inlineStr">
        <is>
          <t>Nuvei</t>
        </is>
      </c>
      <c r="D242" t="inlineStr">
        <is>
          <t>EUR</t>
        </is>
      </c>
      <c r="E242" s="9" t="n">
        <v>18367.37</v>
      </c>
      <c r="F242" s="9" t="n">
        <v>-537.66</v>
      </c>
      <c r="G242" s="9" t="n">
        <v>0</v>
      </c>
      <c r="H242" s="9">
        <f>IF(D242="USD",E242*$N$1,E242)</f>
        <v/>
      </c>
      <c r="I242" s="9">
        <f>IF(D242="USD",F242*$N$1,F242)</f>
        <v/>
      </c>
      <c r="J242" s="9">
        <f>IF(D242="USD",G242*$N$1,G242)</f>
        <v/>
      </c>
      <c r="K242" s="9">
        <f>H242+I242</f>
        <v/>
      </c>
    </row>
    <row r="243">
      <c r="A243" s="8" t="n">
        <v>46012</v>
      </c>
      <c r="B243" t="inlineStr">
        <is>
          <t>2025-W51</t>
        </is>
      </c>
      <c r="C243" t="inlineStr">
        <is>
          <t>Nuvei</t>
        </is>
      </c>
      <c r="D243" t="inlineStr">
        <is>
          <t>EUR</t>
        </is>
      </c>
      <c r="E243" s="9" t="n">
        <v>0</v>
      </c>
      <c r="F243" s="9" t="n">
        <v>0</v>
      </c>
      <c r="G243" s="9" t="n">
        <v>-975596.99</v>
      </c>
      <c r="H243" s="9">
        <f>IF(D243="USD",E243*$N$1,E243)</f>
        <v/>
      </c>
      <c r="I243" s="9">
        <f>IF(D243="USD",F243*$N$1,F243)</f>
        <v/>
      </c>
      <c r="J243" s="9">
        <f>IF(D243="USD",G243*$N$1,G243)</f>
        <v/>
      </c>
      <c r="K243" s="9">
        <f>H243+I243</f>
        <v/>
      </c>
    </row>
    <row r="244">
      <c r="A244" s="8" t="n">
        <v>46012</v>
      </c>
      <c r="B244" t="inlineStr">
        <is>
          <t>2025-W51</t>
        </is>
      </c>
      <c r="C244" t="inlineStr">
        <is>
          <t>Nuvei</t>
        </is>
      </c>
      <c r="D244" t="inlineStr">
        <is>
          <t>EUR</t>
        </is>
      </c>
      <c r="E244" s="9" t="n">
        <v>0</v>
      </c>
      <c r="F244" s="9" t="n">
        <v>0</v>
      </c>
      <c r="G244" s="9" t="n">
        <v>-46761.05</v>
      </c>
      <c r="H244" s="9">
        <f>IF(D244="USD",E244*$N$1,E244)</f>
        <v/>
      </c>
      <c r="I244" s="9">
        <f>IF(D244="USD",F244*$N$1,F244)</f>
        <v/>
      </c>
      <c r="J244" s="9">
        <f>IF(D244="USD",G244*$N$1,G244)</f>
        <v/>
      </c>
      <c r="K244" s="9">
        <f>H244+I244</f>
        <v/>
      </c>
    </row>
    <row r="245">
      <c r="A245" s="8" t="n">
        <v>46012</v>
      </c>
      <c r="B245" t="inlineStr">
        <is>
          <t>2025-W51</t>
        </is>
      </c>
      <c r="C245" t="inlineStr">
        <is>
          <t>Nuvei</t>
        </is>
      </c>
      <c r="D245" t="inlineStr">
        <is>
          <t>EUR</t>
        </is>
      </c>
      <c r="E245" s="9" t="n">
        <v>365787.57</v>
      </c>
      <c r="F245" s="9" t="n">
        <v>-4956.3</v>
      </c>
      <c r="G245" s="9" t="n">
        <v>0</v>
      </c>
      <c r="H245" s="9">
        <f>IF(D245="USD",E245*$N$1,E245)</f>
        <v/>
      </c>
      <c r="I245" s="9">
        <f>IF(D245="USD",F245*$N$1,F245)</f>
        <v/>
      </c>
      <c r="J245" s="9">
        <f>IF(D245="USD",G245*$N$1,G245)</f>
        <v/>
      </c>
      <c r="K245" s="9">
        <f>H245+I245</f>
        <v/>
      </c>
    </row>
    <row r="246">
      <c r="A246" s="8" t="n">
        <v>46012</v>
      </c>
      <c r="B246" t="inlineStr">
        <is>
          <t>2025-W51</t>
        </is>
      </c>
      <c r="C246" t="inlineStr">
        <is>
          <t>Nuvei</t>
        </is>
      </c>
      <c r="D246" t="inlineStr">
        <is>
          <t>EUR</t>
        </is>
      </c>
      <c r="E246" s="9" t="n">
        <v>30711.1</v>
      </c>
      <c r="F246" s="9" t="n">
        <v>-768.67</v>
      </c>
      <c r="G246" s="9" t="n">
        <v>0</v>
      </c>
      <c r="H246" s="9">
        <f>IF(D246="USD",E246*$N$1,E246)</f>
        <v/>
      </c>
      <c r="I246" s="9">
        <f>IF(D246="USD",F246*$N$1,F246)</f>
        <v/>
      </c>
      <c r="J246" s="9">
        <f>IF(D246="USD",G246*$N$1,G246)</f>
        <v/>
      </c>
      <c r="K246" s="9">
        <f>H246+I246</f>
        <v/>
      </c>
    </row>
    <row r="247">
      <c r="A247" s="8" t="n">
        <v>46013</v>
      </c>
      <c r="B247" t="inlineStr">
        <is>
          <t>2025-W52</t>
        </is>
      </c>
      <c r="C247" t="inlineStr">
        <is>
          <t>Nuvei</t>
        </is>
      </c>
      <c r="D247" t="inlineStr">
        <is>
          <t>EUR</t>
        </is>
      </c>
      <c r="E247" s="9" t="n">
        <v>0</v>
      </c>
      <c r="F247" s="9" t="n">
        <v>0</v>
      </c>
      <c r="G247" s="9" t="n">
        <v>-321200.81</v>
      </c>
      <c r="H247" s="9">
        <f>IF(D247="USD",E247*$N$1,E247)</f>
        <v/>
      </c>
      <c r="I247" s="9">
        <f>IF(D247="USD",F247*$N$1,F247)</f>
        <v/>
      </c>
      <c r="J247" s="9">
        <f>IF(D247="USD",G247*$N$1,G247)</f>
        <v/>
      </c>
      <c r="K247" s="9">
        <f>H247+I247</f>
        <v/>
      </c>
    </row>
    <row r="248">
      <c r="A248" s="8" t="n">
        <v>46013</v>
      </c>
      <c r="B248" t="inlineStr">
        <is>
          <t>2025-W52</t>
        </is>
      </c>
      <c r="C248" t="inlineStr">
        <is>
          <t>Nuvei</t>
        </is>
      </c>
      <c r="D248" t="inlineStr">
        <is>
          <t>EUR</t>
        </is>
      </c>
      <c r="E248" s="9" t="n">
        <v>0</v>
      </c>
      <c r="F248" s="9" t="n">
        <v>0</v>
      </c>
      <c r="G248" s="9" t="n">
        <v>-39213.63</v>
      </c>
      <c r="H248" s="9">
        <f>IF(D248="USD",E248*$N$1,E248)</f>
        <v/>
      </c>
      <c r="I248" s="9">
        <f>IF(D248="USD",F248*$N$1,F248)</f>
        <v/>
      </c>
      <c r="J248" s="9">
        <f>IF(D248="USD",G248*$N$1,G248)</f>
        <v/>
      </c>
      <c r="K248" s="9">
        <f>H248+I248</f>
        <v/>
      </c>
    </row>
    <row r="249">
      <c r="A249" s="8" t="n">
        <v>46013</v>
      </c>
      <c r="B249" t="inlineStr">
        <is>
          <t>2025-W52</t>
        </is>
      </c>
      <c r="C249" t="inlineStr">
        <is>
          <t>Nuvei</t>
        </is>
      </c>
      <c r="D249" t="inlineStr">
        <is>
          <t>EUR</t>
        </is>
      </c>
      <c r="E249" s="9" t="n">
        <v>397881.71</v>
      </c>
      <c r="F249" s="9" t="n">
        <v>-283.3999999999996</v>
      </c>
      <c r="G249" s="9" t="n">
        <v>0</v>
      </c>
      <c r="H249" s="9">
        <f>IF(D249="USD",E249*$N$1,E249)</f>
        <v/>
      </c>
      <c r="I249" s="9">
        <f>IF(D249="USD",F249*$N$1,F249)</f>
        <v/>
      </c>
      <c r="J249" s="9">
        <f>IF(D249="USD",G249*$N$1,G249)</f>
        <v/>
      </c>
      <c r="K249" s="9">
        <f>H249+I249</f>
        <v/>
      </c>
    </row>
    <row r="250">
      <c r="A250" s="8" t="n">
        <v>46013</v>
      </c>
      <c r="B250" t="inlineStr">
        <is>
          <t>2025-W52</t>
        </is>
      </c>
      <c r="C250" t="inlineStr">
        <is>
          <t>Nuvei</t>
        </is>
      </c>
      <c r="D250" t="inlineStr">
        <is>
          <t>EUR</t>
        </is>
      </c>
      <c r="E250" s="9" t="n">
        <v>37183.59</v>
      </c>
      <c r="F250" s="9" t="n">
        <v>-941.8200000000001</v>
      </c>
      <c r="G250" s="9" t="n">
        <v>0</v>
      </c>
      <c r="H250" s="9">
        <f>IF(D250="USD",E250*$N$1,E250)</f>
        <v/>
      </c>
      <c r="I250" s="9">
        <f>IF(D250="USD",F250*$N$1,F250)</f>
        <v/>
      </c>
      <c r="J250" s="9">
        <f>IF(D250="USD",G250*$N$1,G250)</f>
        <v/>
      </c>
      <c r="K250" s="9">
        <f>H250+I250</f>
        <v/>
      </c>
    </row>
    <row r="251">
      <c r="A251" s="8" t="n">
        <v>46014</v>
      </c>
      <c r="B251" t="inlineStr">
        <is>
          <t>2025-W52</t>
        </is>
      </c>
      <c r="C251" t="inlineStr">
        <is>
          <t>Nuvei</t>
        </is>
      </c>
      <c r="D251" t="inlineStr">
        <is>
          <t>EUR</t>
        </is>
      </c>
      <c r="E251" s="9" t="n">
        <v>0</v>
      </c>
      <c r="F251" s="9" t="n">
        <v>0</v>
      </c>
      <c r="G251" s="9" t="n">
        <v>-349186.51</v>
      </c>
      <c r="H251" s="9">
        <f>IF(D251="USD",E251*$N$1,E251)</f>
        <v/>
      </c>
      <c r="I251" s="9">
        <f>IF(D251="USD",F251*$N$1,F251)</f>
        <v/>
      </c>
      <c r="J251" s="9">
        <f>IF(D251="USD",G251*$N$1,G251)</f>
        <v/>
      </c>
      <c r="K251" s="9">
        <f>H251+I251</f>
        <v/>
      </c>
    </row>
    <row r="252">
      <c r="A252" s="8" t="n">
        <v>46014</v>
      </c>
      <c r="B252" t="inlineStr">
        <is>
          <t>2025-W52</t>
        </is>
      </c>
      <c r="C252" t="inlineStr">
        <is>
          <t>Nuvei</t>
        </is>
      </c>
      <c r="D252" t="inlineStr">
        <is>
          <t>EUR</t>
        </is>
      </c>
      <c r="E252" s="9" t="n">
        <v>0</v>
      </c>
      <c r="F252" s="9" t="n">
        <v>0</v>
      </c>
      <c r="G252" s="9" t="n">
        <v>-18756.43</v>
      </c>
      <c r="H252" s="9">
        <f>IF(D252="USD",E252*$N$1,E252)</f>
        <v/>
      </c>
      <c r="I252" s="9">
        <f>IF(D252="USD",F252*$N$1,F252)</f>
        <v/>
      </c>
      <c r="J252" s="9">
        <f>IF(D252="USD",G252*$N$1,G252)</f>
        <v/>
      </c>
      <c r="K252" s="9">
        <f>H252+I252</f>
        <v/>
      </c>
    </row>
    <row r="253">
      <c r="A253" s="8" t="n">
        <v>46014</v>
      </c>
      <c r="B253" t="inlineStr">
        <is>
          <t>2025-W52</t>
        </is>
      </c>
      <c r="C253" t="inlineStr">
        <is>
          <t>Nuvei</t>
        </is>
      </c>
      <c r="D253" t="inlineStr">
        <is>
          <t>EUR</t>
        </is>
      </c>
      <c r="E253" s="9" t="n">
        <v>0</v>
      </c>
      <c r="F253" s="9" t="n">
        <v>0</v>
      </c>
      <c r="G253" s="9" t="n">
        <v>-344934.57</v>
      </c>
      <c r="H253" s="9">
        <f>IF(D253="USD",E253*$N$1,E253)</f>
        <v/>
      </c>
      <c r="I253" s="9">
        <f>IF(D253="USD",F253*$N$1,F253)</f>
        <v/>
      </c>
      <c r="J253" s="9">
        <f>IF(D253="USD",G253*$N$1,G253)</f>
        <v/>
      </c>
      <c r="K253" s="9">
        <f>H253+I253</f>
        <v/>
      </c>
    </row>
    <row r="254">
      <c r="A254" s="8" t="n">
        <v>46014</v>
      </c>
      <c r="B254" t="inlineStr">
        <is>
          <t>2025-W52</t>
        </is>
      </c>
      <c r="C254" t="inlineStr">
        <is>
          <t>Nuvei</t>
        </is>
      </c>
      <c r="D254" t="inlineStr">
        <is>
          <t>EUR</t>
        </is>
      </c>
      <c r="E254" s="9" t="n">
        <v>0</v>
      </c>
      <c r="F254" s="9" t="n">
        <v>0</v>
      </c>
      <c r="G254" s="9" t="n">
        <v>-27167.81</v>
      </c>
      <c r="H254" s="9">
        <f>IF(D254="USD",E254*$N$1,E254)</f>
        <v/>
      </c>
      <c r="I254" s="9">
        <f>IF(D254="USD",F254*$N$1,F254)</f>
        <v/>
      </c>
      <c r="J254" s="9">
        <f>IF(D254="USD",G254*$N$1,G254)</f>
        <v/>
      </c>
      <c r="K254" s="9">
        <f>H254+I254</f>
        <v/>
      </c>
    </row>
    <row r="255">
      <c r="A255" s="8" t="n">
        <v>46014</v>
      </c>
      <c r="B255" t="inlineStr">
        <is>
          <t>2025-W52</t>
        </is>
      </c>
      <c r="C255" t="inlineStr">
        <is>
          <t>Nuvei</t>
        </is>
      </c>
      <c r="D255" t="inlineStr">
        <is>
          <t>EUR</t>
        </is>
      </c>
      <c r="E255" s="9" t="n">
        <v>384974.37</v>
      </c>
      <c r="F255" s="9" t="n">
        <v>-4971.88</v>
      </c>
      <c r="G255" s="9" t="n">
        <v>0</v>
      </c>
      <c r="H255" s="9">
        <f>IF(D255="USD",E255*$N$1,E255)</f>
        <v/>
      </c>
      <c r="I255" s="9">
        <f>IF(D255="USD",F255*$N$1,F255)</f>
        <v/>
      </c>
      <c r="J255" s="9">
        <f>IF(D255="USD",G255*$N$1,G255)</f>
        <v/>
      </c>
      <c r="K255" s="9">
        <f>H255+I255</f>
        <v/>
      </c>
    </row>
    <row r="256">
      <c r="A256" s="8" t="n">
        <v>46014</v>
      </c>
      <c r="B256" t="inlineStr">
        <is>
          <t>2025-W52</t>
        </is>
      </c>
      <c r="C256" t="inlineStr">
        <is>
          <t>Nuvei</t>
        </is>
      </c>
      <c r="D256" t="inlineStr">
        <is>
          <t>EUR</t>
        </is>
      </c>
      <c r="E256" s="9" t="n">
        <v>41336.94</v>
      </c>
      <c r="F256" s="9" t="n">
        <v>-1072.01</v>
      </c>
      <c r="G256" s="9" t="n">
        <v>0</v>
      </c>
      <c r="H256" s="9">
        <f>IF(D256="USD",E256*$N$1,E256)</f>
        <v/>
      </c>
      <c r="I256" s="9">
        <f>IF(D256="USD",F256*$N$1,F256)</f>
        <v/>
      </c>
      <c r="J256" s="9">
        <f>IF(D256="USD",G256*$N$1,G256)</f>
        <v/>
      </c>
      <c r="K256" s="9">
        <f>H256+I256</f>
        <v/>
      </c>
    </row>
    <row r="257">
      <c r="A257" s="8" t="n">
        <v>46015</v>
      </c>
      <c r="B257" t="inlineStr">
        <is>
          <t>2025-W52</t>
        </is>
      </c>
      <c r="C257" t="inlineStr">
        <is>
          <t>Nuvei</t>
        </is>
      </c>
      <c r="D257" t="inlineStr">
        <is>
          <t>EUR</t>
        </is>
      </c>
      <c r="E257" s="9" t="n">
        <v>299683.75</v>
      </c>
      <c r="F257" s="9" t="n">
        <v>-3683.68</v>
      </c>
      <c r="G257" s="9" t="n">
        <v>0</v>
      </c>
      <c r="H257" s="9">
        <f>IF(D257="USD",E257*$N$1,E257)</f>
        <v/>
      </c>
      <c r="I257" s="9">
        <f>IF(D257="USD",F257*$N$1,F257)</f>
        <v/>
      </c>
      <c r="J257" s="9">
        <f>IF(D257="USD",G257*$N$1,G257)</f>
        <v/>
      </c>
      <c r="K257" s="9">
        <f>H257+I257</f>
        <v/>
      </c>
    </row>
    <row r="258">
      <c r="A258" s="8" t="n">
        <v>46015</v>
      </c>
      <c r="B258" t="inlineStr">
        <is>
          <t>2025-W52</t>
        </is>
      </c>
      <c r="C258" t="inlineStr">
        <is>
          <t>Nuvei</t>
        </is>
      </c>
      <c r="D258" t="inlineStr">
        <is>
          <t>EUR</t>
        </is>
      </c>
      <c r="E258" s="9" t="n">
        <v>29997.33</v>
      </c>
      <c r="F258" s="9" t="n">
        <v>-816.01</v>
      </c>
      <c r="G258" s="9" t="n">
        <v>0</v>
      </c>
      <c r="H258" s="9">
        <f>IF(D258="USD",E258*$N$1,E258)</f>
        <v/>
      </c>
      <c r="I258" s="9">
        <f>IF(D258="USD",F258*$N$1,F258)</f>
        <v/>
      </c>
      <c r="J258" s="9">
        <f>IF(D258="USD",G258*$N$1,G258)</f>
        <v/>
      </c>
      <c r="K258" s="9">
        <f>H258+I258</f>
        <v/>
      </c>
    </row>
    <row r="259">
      <c r="A259" s="8" t="n">
        <v>46015</v>
      </c>
      <c r="B259" t="inlineStr">
        <is>
          <t>2025-W52</t>
        </is>
      </c>
      <c r="C259" t="inlineStr">
        <is>
          <t>Nuvei</t>
        </is>
      </c>
      <c r="D259" t="inlineStr">
        <is>
          <t>EUR</t>
        </is>
      </c>
      <c r="E259" s="9" t="n">
        <v>428013.94</v>
      </c>
      <c r="F259" s="9" t="n">
        <v>-5429.13</v>
      </c>
      <c r="G259" s="9" t="n">
        <v>0</v>
      </c>
      <c r="H259" s="9">
        <f>IF(D259="USD",E259*$N$1,E259)</f>
        <v/>
      </c>
      <c r="I259" s="9">
        <f>IF(D259="USD",F259*$N$1,F259)</f>
        <v/>
      </c>
      <c r="J259" s="9">
        <f>IF(D259="USD",G259*$N$1,G259)</f>
        <v/>
      </c>
      <c r="K259" s="9">
        <f>H259+I259</f>
        <v/>
      </c>
    </row>
    <row r="260">
      <c r="A260" s="8" t="n">
        <v>46015</v>
      </c>
      <c r="B260" t="inlineStr">
        <is>
          <t>2025-W52</t>
        </is>
      </c>
      <c r="C260" t="inlineStr">
        <is>
          <t>Nuvei</t>
        </is>
      </c>
      <c r="D260" t="inlineStr">
        <is>
          <t>EUR</t>
        </is>
      </c>
      <c r="E260" s="9" t="n">
        <v>39701.42</v>
      </c>
      <c r="F260" s="9" t="n">
        <v>-1097.78</v>
      </c>
      <c r="G260" s="9" t="n">
        <v>0</v>
      </c>
      <c r="H260" s="9">
        <f>IF(D260="USD",E260*$N$1,E260)</f>
        <v/>
      </c>
      <c r="I260" s="9">
        <f>IF(D260="USD",F260*$N$1,F260)</f>
        <v/>
      </c>
      <c r="J260" s="9">
        <f>IF(D260="USD",G260*$N$1,G260)</f>
        <v/>
      </c>
      <c r="K260" s="9">
        <f>H260+I260</f>
        <v/>
      </c>
    </row>
    <row r="261">
      <c r="A261" s="8" t="n">
        <v>46015</v>
      </c>
      <c r="B261" t="inlineStr">
        <is>
          <t>2025-W52</t>
        </is>
      </c>
      <c r="C261" t="inlineStr">
        <is>
          <t>Nuvei</t>
        </is>
      </c>
      <c r="D261" t="inlineStr">
        <is>
          <t>EUR</t>
        </is>
      </c>
      <c r="E261" s="9" t="n">
        <v>393236.21</v>
      </c>
      <c r="F261" s="9" t="n">
        <v>-4839.04</v>
      </c>
      <c r="G261" s="9" t="n">
        <v>0</v>
      </c>
      <c r="H261" s="9">
        <f>IF(D261="USD",E261*$N$1,E261)</f>
        <v/>
      </c>
      <c r="I261" s="9">
        <f>IF(D261="USD",F261*$N$1,F261)</f>
        <v/>
      </c>
      <c r="J261" s="9">
        <f>IF(D261="USD",G261*$N$1,G261)</f>
        <v/>
      </c>
      <c r="K261" s="9">
        <f>H261+I261</f>
        <v/>
      </c>
    </row>
    <row r="262">
      <c r="A262" s="8" t="n">
        <v>46015</v>
      </c>
      <c r="B262" t="inlineStr">
        <is>
          <t>2025-W52</t>
        </is>
      </c>
      <c r="C262" t="inlineStr">
        <is>
          <t>Nuvei</t>
        </is>
      </c>
      <c r="D262" t="inlineStr">
        <is>
          <t>EUR</t>
        </is>
      </c>
      <c r="E262" s="9" t="n">
        <v>35216.14</v>
      </c>
      <c r="F262" s="9" t="n">
        <v>-922.22</v>
      </c>
      <c r="G262" s="9" t="n">
        <v>0</v>
      </c>
      <c r="H262" s="9">
        <f>IF(D262="USD",E262*$N$1,E262)</f>
        <v/>
      </c>
      <c r="I262" s="9">
        <f>IF(D262="USD",F262*$N$1,F262)</f>
        <v/>
      </c>
      <c r="J262" s="9">
        <f>IF(D262="USD",G262*$N$1,G262)</f>
        <v/>
      </c>
      <c r="K262" s="9">
        <f>H262+I262</f>
        <v/>
      </c>
    </row>
    <row r="263">
      <c r="A263" s="8" t="n">
        <v>46015</v>
      </c>
      <c r="B263" t="inlineStr">
        <is>
          <t>2025-W52</t>
        </is>
      </c>
      <c r="C263" t="inlineStr">
        <is>
          <t>Nuvei</t>
        </is>
      </c>
      <c r="D263" t="inlineStr">
        <is>
          <t>EUR</t>
        </is>
      </c>
      <c r="E263" s="9" t="n">
        <v>499241.54</v>
      </c>
      <c r="F263" s="9" t="n">
        <v>-6098.58</v>
      </c>
      <c r="G263" s="9" t="n">
        <v>0</v>
      </c>
      <c r="H263" s="9">
        <f>IF(D263="USD",E263*$N$1,E263)</f>
        <v/>
      </c>
      <c r="I263" s="9">
        <f>IF(D263="USD",F263*$N$1,F263)</f>
        <v/>
      </c>
      <c r="J263" s="9">
        <f>IF(D263="USD",G263*$N$1,G263)</f>
        <v/>
      </c>
      <c r="K263" s="9">
        <f>H263+I263</f>
        <v/>
      </c>
    </row>
    <row r="264">
      <c r="A264" s="8" t="n">
        <v>46015</v>
      </c>
      <c r="B264" t="inlineStr">
        <is>
          <t>2025-W52</t>
        </is>
      </c>
      <c r="C264" t="inlineStr">
        <is>
          <t>Nuvei</t>
        </is>
      </c>
      <c r="D264" t="inlineStr">
        <is>
          <t>EUR</t>
        </is>
      </c>
      <c r="E264" s="9" t="n">
        <v>36061.6</v>
      </c>
      <c r="F264" s="9" t="n">
        <v>-948.3200000000001</v>
      </c>
      <c r="G264" s="9" t="n">
        <v>0</v>
      </c>
      <c r="H264" s="9">
        <f>IF(D264="USD",E264*$N$1,E264)</f>
        <v/>
      </c>
      <c r="I264" s="9">
        <f>IF(D264="USD",F264*$N$1,F264)</f>
        <v/>
      </c>
      <c r="J264" s="9">
        <f>IF(D264="USD",G264*$N$1,G264)</f>
        <v/>
      </c>
      <c r="K264" s="9">
        <f>H264+I264</f>
        <v/>
      </c>
    </row>
    <row r="265">
      <c r="A265" s="8" t="n">
        <v>46019</v>
      </c>
      <c r="B265" t="inlineStr">
        <is>
          <t>2025-W52</t>
        </is>
      </c>
      <c r="C265" t="inlineStr">
        <is>
          <t>Nuvei</t>
        </is>
      </c>
      <c r="D265" t="inlineStr">
        <is>
          <t>EUR</t>
        </is>
      </c>
      <c r="E265" s="9" t="n">
        <v>0</v>
      </c>
      <c r="F265" s="9" t="n">
        <v>0</v>
      </c>
      <c r="G265" s="9" t="n">
        <v>-1760149.79</v>
      </c>
      <c r="H265" s="9">
        <f>IF(D265="USD",E265*$N$1,E265)</f>
        <v/>
      </c>
      <c r="I265" s="9">
        <f>IF(D265="USD",F265*$N$1,F265)</f>
        <v/>
      </c>
      <c r="J265" s="9">
        <f>IF(D265="USD",G265*$N$1,G265)</f>
        <v/>
      </c>
      <c r="K265" s="9">
        <f>H265+I265</f>
        <v/>
      </c>
    </row>
    <row r="266">
      <c r="A266" s="8" t="n">
        <v>46019</v>
      </c>
      <c r="B266" t="inlineStr">
        <is>
          <t>2025-W52</t>
        </is>
      </c>
      <c r="C266" t="inlineStr">
        <is>
          <t>Nuvei</t>
        </is>
      </c>
      <c r="D266" t="inlineStr">
        <is>
          <t>EUR</t>
        </is>
      </c>
      <c r="E266" s="9" t="n">
        <v>0</v>
      </c>
      <c r="F266" s="9" t="n">
        <v>0</v>
      </c>
      <c r="G266" s="9" t="n">
        <v>-133071.05</v>
      </c>
      <c r="H266" s="9">
        <f>IF(D266="USD",E266*$N$1,E266)</f>
        <v/>
      </c>
      <c r="I266" s="9">
        <f>IF(D266="USD",F266*$N$1,F266)</f>
        <v/>
      </c>
      <c r="J266" s="9">
        <f>IF(D266="USD",G266*$N$1,G266)</f>
        <v/>
      </c>
      <c r="K266" s="9">
        <f>H266+I266</f>
        <v/>
      </c>
    </row>
    <row r="267">
      <c r="A267" s="8" t="n">
        <v>46019</v>
      </c>
      <c r="B267" t="inlineStr">
        <is>
          <t>2025-W52</t>
        </is>
      </c>
      <c r="C267" t="inlineStr">
        <is>
          <t>Nuvei</t>
        </is>
      </c>
      <c r="D267" t="inlineStr">
        <is>
          <t>EUR</t>
        </is>
      </c>
      <c r="E267" s="9" t="n">
        <v>538944.5</v>
      </c>
      <c r="F267" s="9" t="n">
        <v>-7075.01</v>
      </c>
      <c r="G267" s="9" t="n">
        <v>0</v>
      </c>
      <c r="H267" s="9">
        <f>IF(D267="USD",E267*$N$1,E267)</f>
        <v/>
      </c>
      <c r="I267" s="9">
        <f>IF(D267="USD",F267*$N$1,F267)</f>
        <v/>
      </c>
      <c r="J267" s="9">
        <f>IF(D267="USD",G267*$N$1,G267)</f>
        <v/>
      </c>
      <c r="K267" s="9">
        <f>H267+I267</f>
        <v/>
      </c>
    </row>
    <row r="268">
      <c r="A268" s="8" t="n">
        <v>46019</v>
      </c>
      <c r="B268" t="inlineStr">
        <is>
          <t>2025-W52</t>
        </is>
      </c>
      <c r="C268" t="inlineStr">
        <is>
          <t>Nuvei</t>
        </is>
      </c>
      <c r="D268" t="inlineStr">
        <is>
          <t>EUR</t>
        </is>
      </c>
      <c r="E268" s="9" t="n">
        <v>37380.64</v>
      </c>
      <c r="F268" s="9" t="n">
        <v>-931.09</v>
      </c>
      <c r="G268" s="9" t="n">
        <v>0</v>
      </c>
      <c r="H268" s="9">
        <f>IF(D268="USD",E268*$N$1,E268)</f>
        <v/>
      </c>
      <c r="I268" s="9">
        <f>IF(D268="USD",F268*$N$1,F268)</f>
        <v/>
      </c>
      <c r="J268" s="9">
        <f>IF(D268="USD",G268*$N$1,G268)</f>
        <v/>
      </c>
      <c r="K268" s="9">
        <f>H268+I268</f>
        <v/>
      </c>
    </row>
    <row r="269">
      <c r="A269" s="8" t="n">
        <v>46020</v>
      </c>
      <c r="B269" t="inlineStr">
        <is>
          <t>2026-W01</t>
        </is>
      </c>
      <c r="C269" t="inlineStr">
        <is>
          <t>Adyen</t>
        </is>
      </c>
      <c r="D269" t="inlineStr">
        <is>
          <t>EUR</t>
        </is>
      </c>
      <c r="E269" s="9" t="n">
        <v>217332.72</v>
      </c>
      <c r="F269" s="9" t="n">
        <v>-5410.340000000026</v>
      </c>
      <c r="G269" s="9" t="n">
        <v>0</v>
      </c>
      <c r="H269" s="9">
        <f>IF(D269="USD",E269*$N$1,E269)</f>
        <v/>
      </c>
      <c r="I269" s="9">
        <f>IF(D269="USD",F269*$N$1,F269)</f>
        <v/>
      </c>
      <c r="J269" s="9">
        <f>IF(D269="USD",G269*$N$1,G269)</f>
        <v/>
      </c>
      <c r="K269" s="9">
        <f>H269+I269</f>
        <v/>
      </c>
    </row>
    <row r="270">
      <c r="A270" s="8" t="n">
        <v>46020</v>
      </c>
      <c r="B270" t="inlineStr">
        <is>
          <t>2026-W01</t>
        </is>
      </c>
      <c r="C270" t="inlineStr">
        <is>
          <t>Adyen</t>
        </is>
      </c>
      <c r="D270" t="inlineStr">
        <is>
          <t>EUR</t>
        </is>
      </c>
      <c r="E270" s="9" t="n">
        <v>17937.17</v>
      </c>
      <c r="F270" s="9" t="n">
        <v>0</v>
      </c>
      <c r="G270" s="9" t="n">
        <v>0</v>
      </c>
      <c r="H270" s="9">
        <f>IF(D270="USD",E270*$N$1,E270)</f>
        <v/>
      </c>
      <c r="I270" s="9">
        <f>IF(D270="USD",F270*$N$1,F270)</f>
        <v/>
      </c>
      <c r="J270" s="9">
        <f>IF(D270="USD",G270*$N$1,G270)</f>
        <v/>
      </c>
      <c r="K270" s="9">
        <f>H270+I270</f>
        <v/>
      </c>
    </row>
    <row r="271">
      <c r="A271" s="8" t="n">
        <v>46020</v>
      </c>
      <c r="B271" t="inlineStr">
        <is>
          <t>2026-W01</t>
        </is>
      </c>
      <c r="C271" t="inlineStr">
        <is>
          <t>Nuvei</t>
        </is>
      </c>
      <c r="D271" t="inlineStr">
        <is>
          <t>EUR</t>
        </is>
      </c>
      <c r="E271" s="9" t="n">
        <v>0</v>
      </c>
      <c r="F271" s="9" t="n">
        <v>0</v>
      </c>
      <c r="G271" s="9" t="n">
        <v>-379999</v>
      </c>
      <c r="H271" s="9">
        <f>IF(D271="USD",E271*$N$1,E271)</f>
        <v/>
      </c>
      <c r="I271" s="9">
        <f>IF(D271="USD",F271*$N$1,F271)</f>
        <v/>
      </c>
      <c r="J271" s="9">
        <f>IF(D271="USD",G271*$N$1,G271)</f>
        <v/>
      </c>
      <c r="K271" s="9">
        <f>H271+I271</f>
        <v/>
      </c>
    </row>
    <row r="272">
      <c r="A272" s="8" t="n">
        <v>46020</v>
      </c>
      <c r="B272" t="inlineStr">
        <is>
          <t>2026-W01</t>
        </is>
      </c>
      <c r="C272" t="inlineStr">
        <is>
          <t>Nuvei</t>
        </is>
      </c>
      <c r="D272" t="inlineStr">
        <is>
          <t>EUR</t>
        </is>
      </c>
      <c r="E272" s="9" t="n">
        <v>0</v>
      </c>
      <c r="F272" s="9" t="n">
        <v>0</v>
      </c>
      <c r="G272" s="9" t="n">
        <v>-40261.43</v>
      </c>
      <c r="H272" s="9">
        <f>IF(D272="USD",E272*$N$1,E272)</f>
        <v/>
      </c>
      <c r="I272" s="9">
        <f>IF(D272="USD",F272*$N$1,F272)</f>
        <v/>
      </c>
      <c r="J272" s="9">
        <f>IF(D272="USD",G272*$N$1,G272)</f>
        <v/>
      </c>
      <c r="K272" s="9">
        <f>H272+I272</f>
        <v/>
      </c>
    </row>
    <row r="273">
      <c r="A273" s="8" t="n">
        <v>46020</v>
      </c>
      <c r="B273" t="inlineStr">
        <is>
          <t>2026-W01</t>
        </is>
      </c>
      <c r="C273" t="inlineStr">
        <is>
          <t>Nuvei</t>
        </is>
      </c>
      <c r="D273" t="inlineStr">
        <is>
          <t>EUR</t>
        </is>
      </c>
      <c r="E273" s="9" t="n">
        <v>568483.17</v>
      </c>
      <c r="F273" s="9" t="n">
        <v>-7158.78</v>
      </c>
      <c r="G273" s="9" t="n">
        <v>0</v>
      </c>
      <c r="H273" s="9">
        <f>IF(D273="USD",E273*$N$1,E273)</f>
        <v/>
      </c>
      <c r="I273" s="9">
        <f>IF(D273="USD",F273*$N$1,F273)</f>
        <v/>
      </c>
      <c r="J273" s="9">
        <f>IF(D273="USD",G273*$N$1,G273)</f>
        <v/>
      </c>
      <c r="K273" s="9">
        <f>H273+I273</f>
        <v/>
      </c>
    </row>
    <row r="274">
      <c r="A274" s="8" t="n">
        <v>46020</v>
      </c>
      <c r="B274" t="inlineStr">
        <is>
          <t>2026-W01</t>
        </is>
      </c>
      <c r="C274" t="inlineStr">
        <is>
          <t>Nuvei</t>
        </is>
      </c>
      <c r="D274" t="inlineStr">
        <is>
          <t>EUR</t>
        </is>
      </c>
      <c r="E274" s="9" t="n">
        <v>19958.93</v>
      </c>
      <c r="F274" s="9" t="n">
        <v>-530.58</v>
      </c>
      <c r="G274" s="9" t="n">
        <v>0</v>
      </c>
      <c r="H274" s="9">
        <f>IF(D274="USD",E274*$N$1,E274)</f>
        <v/>
      </c>
      <c r="I274" s="9">
        <f>IF(D274="USD",F274*$N$1,F274)</f>
        <v/>
      </c>
      <c r="J274" s="9">
        <f>IF(D274="USD",G274*$N$1,G274)</f>
        <v/>
      </c>
      <c r="K274" s="9">
        <f>H274+I274</f>
        <v/>
      </c>
    </row>
    <row r="275">
      <c r="A275" s="8" t="n">
        <v>46021</v>
      </c>
      <c r="B275" t="inlineStr">
        <is>
          <t>2026-W01</t>
        </is>
      </c>
      <c r="C275" t="inlineStr">
        <is>
          <t>Adyen</t>
        </is>
      </c>
      <c r="D275" t="inlineStr">
        <is>
          <t>EUR</t>
        </is>
      </c>
      <c r="E275" s="9" t="n">
        <v>192325.81</v>
      </c>
      <c r="F275" s="9" t="n">
        <v>-4978.260000000009</v>
      </c>
      <c r="G275" s="9" t="n">
        <v>0</v>
      </c>
      <c r="H275" s="9">
        <f>IF(D275="USD",E275*$N$1,E275)</f>
        <v/>
      </c>
      <c r="I275" s="9">
        <f>IF(D275="USD",F275*$N$1,F275)</f>
        <v/>
      </c>
      <c r="J275" s="9">
        <f>IF(D275="USD",G275*$N$1,G275)</f>
        <v/>
      </c>
      <c r="K275" s="9">
        <f>H275+I275</f>
        <v/>
      </c>
    </row>
    <row r="276">
      <c r="A276" s="8" t="n">
        <v>46021</v>
      </c>
      <c r="B276" t="inlineStr">
        <is>
          <t>2026-W01</t>
        </is>
      </c>
      <c r="C276" t="inlineStr">
        <is>
          <t>Adyen</t>
        </is>
      </c>
      <c r="D276" t="inlineStr">
        <is>
          <t>EUR</t>
        </is>
      </c>
      <c r="E276" s="9" t="n">
        <v>13894.68</v>
      </c>
      <c r="F276" s="9" t="n">
        <v>0</v>
      </c>
      <c r="G276" s="9" t="n">
        <v>0</v>
      </c>
      <c r="H276" s="9">
        <f>IF(D276="USD",E276*$N$1,E276)</f>
        <v/>
      </c>
      <c r="I276" s="9">
        <f>IF(D276="USD",F276*$N$1,F276)</f>
        <v/>
      </c>
      <c r="J276" s="9">
        <f>IF(D276="USD",G276*$N$1,G276)</f>
        <v/>
      </c>
      <c r="K276" s="9">
        <f>H276+I276</f>
        <v/>
      </c>
    </row>
    <row r="277">
      <c r="A277" s="8" t="n">
        <v>46021</v>
      </c>
      <c r="B277" t="inlineStr">
        <is>
          <t>2026-W01</t>
        </is>
      </c>
      <c r="C277" t="inlineStr">
        <is>
          <t>Nuvei</t>
        </is>
      </c>
      <c r="D277" t="inlineStr">
        <is>
          <t>EUR</t>
        </is>
      </c>
      <c r="E277" s="9" t="n">
        <v>0</v>
      </c>
      <c r="F277" s="9" t="n">
        <v>0</v>
      </c>
      <c r="G277" s="9" t="n">
        <v>-296000.07</v>
      </c>
      <c r="H277" s="9">
        <f>IF(D277="USD",E277*$N$1,E277)</f>
        <v/>
      </c>
      <c r="I277" s="9">
        <f>IF(D277="USD",F277*$N$1,F277)</f>
        <v/>
      </c>
      <c r="J277" s="9">
        <f>IF(D277="USD",G277*$N$1,G277)</f>
        <v/>
      </c>
      <c r="K277" s="9">
        <f>H277+I277</f>
        <v/>
      </c>
    </row>
    <row r="278">
      <c r="A278" s="8" t="n">
        <v>46021</v>
      </c>
      <c r="B278" t="inlineStr">
        <is>
          <t>2026-W01</t>
        </is>
      </c>
      <c r="C278" t="inlineStr">
        <is>
          <t>Nuvei</t>
        </is>
      </c>
      <c r="D278" t="inlineStr">
        <is>
          <t>EUR</t>
        </is>
      </c>
      <c r="E278" s="9" t="n">
        <v>0</v>
      </c>
      <c r="F278" s="9" t="n">
        <v>0</v>
      </c>
      <c r="G278" s="9" t="n">
        <v>-29181.32</v>
      </c>
      <c r="H278" s="9">
        <f>IF(D278="USD",E278*$N$1,E278)</f>
        <v/>
      </c>
      <c r="I278" s="9">
        <f>IF(D278="USD",F278*$N$1,F278)</f>
        <v/>
      </c>
      <c r="J278" s="9">
        <f>IF(D278="USD",G278*$N$1,G278)</f>
        <v/>
      </c>
      <c r="K278" s="9">
        <f>H278+I278</f>
        <v/>
      </c>
    </row>
    <row r="279">
      <c r="A279" s="8" t="n">
        <v>46021</v>
      </c>
      <c r="B279" t="inlineStr">
        <is>
          <t>2026-W01</t>
        </is>
      </c>
      <c r="C279" t="inlineStr">
        <is>
          <t>Nuvei</t>
        </is>
      </c>
      <c r="D279" t="inlineStr">
        <is>
          <t>EUR</t>
        </is>
      </c>
      <c r="E279" s="9" t="n">
        <v>422268.46</v>
      </c>
      <c r="F279" s="9" t="n">
        <v>-5087.55</v>
      </c>
      <c r="G279" s="9" t="n">
        <v>0</v>
      </c>
      <c r="H279" s="9">
        <f>IF(D279="USD",E279*$N$1,E279)</f>
        <v/>
      </c>
      <c r="I279" s="9">
        <f>IF(D279="USD",F279*$N$1,F279)</f>
        <v/>
      </c>
      <c r="J279" s="9">
        <f>IF(D279="USD",G279*$N$1,G279)</f>
        <v/>
      </c>
      <c r="K279" s="9">
        <f>H279+I279</f>
        <v/>
      </c>
    </row>
    <row r="280">
      <c r="A280" s="8" t="n">
        <v>46021</v>
      </c>
      <c r="B280" t="inlineStr">
        <is>
          <t>2026-W01</t>
        </is>
      </c>
      <c r="C280" t="inlineStr">
        <is>
          <t>Nuvei</t>
        </is>
      </c>
      <c r="D280" t="inlineStr">
        <is>
          <t>EUR</t>
        </is>
      </c>
      <c r="E280" s="9" t="n">
        <v>43377.52</v>
      </c>
      <c r="F280" s="9" t="n">
        <v>-1121.57</v>
      </c>
      <c r="G280" s="9" t="n">
        <v>0</v>
      </c>
      <c r="H280" s="9">
        <f>IF(D280="USD",E280*$N$1,E280)</f>
        <v/>
      </c>
      <c r="I280" s="9">
        <f>IF(D280="USD",F280*$N$1,F280)</f>
        <v/>
      </c>
      <c r="J280" s="9">
        <f>IF(D280="USD",G280*$N$1,G280)</f>
        <v/>
      </c>
      <c r="K280" s="9">
        <f>H280+I280</f>
        <v/>
      </c>
    </row>
    <row r="281">
      <c r="A281" s="8" t="n">
        <v>46022</v>
      </c>
      <c r="B281" t="inlineStr">
        <is>
          <t>2026-W01</t>
        </is>
      </c>
      <c r="C281" t="inlineStr">
        <is>
          <t>Adyen</t>
        </is>
      </c>
      <c r="D281" t="inlineStr">
        <is>
          <t>EUR</t>
        </is>
      </c>
      <c r="E281" s="9" t="n">
        <v>0</v>
      </c>
      <c r="F281" s="9" t="n">
        <v>0</v>
      </c>
      <c r="G281" s="9" t="n">
        <v>-229859.55</v>
      </c>
      <c r="H281" s="9">
        <f>IF(D281="USD",E281*$N$1,E281)</f>
        <v/>
      </c>
      <c r="I281" s="9">
        <f>IF(D281="USD",F281*$N$1,F281)</f>
        <v/>
      </c>
      <c r="J281" s="9">
        <f>IF(D281="USD",G281*$N$1,G281)</f>
        <v/>
      </c>
      <c r="K281" s="9">
        <f>H281+I281</f>
        <v/>
      </c>
    </row>
    <row r="282">
      <c r="A282" s="8" t="n">
        <v>46022</v>
      </c>
      <c r="B282" t="inlineStr">
        <is>
          <t>2026-W01</t>
        </is>
      </c>
      <c r="C282" t="inlineStr">
        <is>
          <t>Adyen</t>
        </is>
      </c>
      <c r="D282" t="inlineStr">
        <is>
          <t>EUR</t>
        </is>
      </c>
      <c r="E282" s="9" t="n">
        <v>122772.49</v>
      </c>
      <c r="F282" s="9" t="n">
        <v>-7229.520000000019</v>
      </c>
      <c r="G282" s="9" t="n">
        <v>0</v>
      </c>
      <c r="H282" s="9">
        <f>IF(D282="USD",E282*$N$1,E282)</f>
        <v/>
      </c>
      <c r="I282" s="9">
        <f>IF(D282="USD",F282*$N$1,F282)</f>
        <v/>
      </c>
      <c r="J282" s="9">
        <f>IF(D282="USD",G282*$N$1,G282)</f>
        <v/>
      </c>
      <c r="K282" s="9">
        <f>H282+I282</f>
        <v/>
      </c>
    </row>
    <row r="283">
      <c r="A283" s="8" t="n">
        <v>46022</v>
      </c>
      <c r="B283" t="inlineStr">
        <is>
          <t>2026-W01</t>
        </is>
      </c>
      <c r="C283" t="inlineStr">
        <is>
          <t>Adyen</t>
        </is>
      </c>
      <c r="D283" t="inlineStr">
        <is>
          <t>EUR</t>
        </is>
      </c>
      <c r="E283" s="9" t="n">
        <v>17022.15</v>
      </c>
      <c r="F283" s="9" t="n">
        <v>0</v>
      </c>
      <c r="G283" s="9" t="n">
        <v>0</v>
      </c>
      <c r="H283" s="9">
        <f>IF(D283="USD",E283*$N$1,E283)</f>
        <v/>
      </c>
      <c r="I283" s="9">
        <f>IF(D283="USD",F283*$N$1,F283)</f>
        <v/>
      </c>
      <c r="J283" s="9">
        <f>IF(D283="USD",G283*$N$1,G283)</f>
        <v/>
      </c>
      <c r="K283" s="9">
        <f>H283+I283</f>
        <v/>
      </c>
    </row>
    <row r="284">
      <c r="A284" s="8" t="n">
        <v>46023</v>
      </c>
      <c r="B284" t="inlineStr">
        <is>
          <t>2026-W01</t>
        </is>
      </c>
      <c r="C284" t="inlineStr">
        <is>
          <t>Adyen</t>
        </is>
      </c>
      <c r="D284" t="inlineStr">
        <is>
          <t>EUR</t>
        </is>
      </c>
      <c r="E284" s="9" t="n">
        <v>120686.68</v>
      </c>
      <c r="F284" s="9" t="n">
        <v>0</v>
      </c>
      <c r="G284" s="9" t="n">
        <v>0</v>
      </c>
      <c r="H284" s="9">
        <f>IF(D284="USD",E284*$N$1,E284)</f>
        <v/>
      </c>
      <c r="I284" s="9">
        <f>IF(D284="USD",F284*$N$1,F284)</f>
        <v/>
      </c>
      <c r="J284" s="9">
        <f>IF(D284="USD",G284*$N$1,G284)</f>
        <v/>
      </c>
      <c r="K284" s="9">
        <f>H284+I284</f>
        <v/>
      </c>
    </row>
    <row r="285">
      <c r="A285" s="8" t="n">
        <v>46023</v>
      </c>
      <c r="B285" t="inlineStr">
        <is>
          <t>2026-W01</t>
        </is>
      </c>
      <c r="C285" t="inlineStr">
        <is>
          <t>Adyen</t>
        </is>
      </c>
      <c r="D285" t="inlineStr">
        <is>
          <t>EUR</t>
        </is>
      </c>
      <c r="E285" s="9" t="n">
        <v>9523.27</v>
      </c>
      <c r="F285" s="9" t="n">
        <v>0</v>
      </c>
      <c r="G285" s="9" t="n">
        <v>0</v>
      </c>
      <c r="H285" s="9">
        <f>IF(D285="USD",E285*$N$1,E285)</f>
        <v/>
      </c>
      <c r="I285" s="9">
        <f>IF(D285="USD",F285*$N$1,F285)</f>
        <v/>
      </c>
      <c r="J285" s="9">
        <f>IF(D285="USD",G285*$N$1,G285)</f>
        <v/>
      </c>
      <c r="K285" s="9">
        <f>H285+I285</f>
        <v/>
      </c>
    </row>
    <row r="286">
      <c r="A286" s="8" t="n">
        <v>46023</v>
      </c>
      <c r="B286" t="inlineStr">
        <is>
          <t>2026-W01</t>
        </is>
      </c>
      <c r="C286" t="inlineStr">
        <is>
          <t>Nuvei</t>
        </is>
      </c>
      <c r="D286" t="inlineStr">
        <is>
          <t>EUR</t>
        </is>
      </c>
      <c r="E286" s="9" t="n">
        <v>464659.65</v>
      </c>
      <c r="F286" s="9" t="n">
        <v>-5731.88</v>
      </c>
      <c r="G286" s="9" t="n">
        <v>0</v>
      </c>
      <c r="H286" s="9">
        <f>IF(D286="USD",E286*$N$1,E286)</f>
        <v/>
      </c>
      <c r="I286" s="9">
        <f>IF(D286="USD",F286*$N$1,F286)</f>
        <v/>
      </c>
      <c r="J286" s="9">
        <f>IF(D286="USD",G286*$N$1,G286)</f>
        <v/>
      </c>
      <c r="K286" s="9">
        <f>H286+I286</f>
        <v/>
      </c>
    </row>
    <row r="287">
      <c r="A287" s="8" t="n">
        <v>46023</v>
      </c>
      <c r="B287" t="inlineStr">
        <is>
          <t>2026-W01</t>
        </is>
      </c>
      <c r="C287" t="inlineStr">
        <is>
          <t>Nuvei</t>
        </is>
      </c>
      <c r="D287" t="inlineStr">
        <is>
          <t>EUR</t>
        </is>
      </c>
      <c r="E287" s="9" t="n">
        <v>55919.24</v>
      </c>
      <c r="F287" s="9" t="n">
        <v>-1469.55</v>
      </c>
      <c r="G287" s="9" t="n">
        <v>0</v>
      </c>
      <c r="H287" s="9">
        <f>IF(D287="USD",E287*$N$1,E287)</f>
        <v/>
      </c>
      <c r="I287" s="9">
        <f>IF(D287="USD",F287*$N$1,F287)</f>
        <v/>
      </c>
      <c r="J287" s="9">
        <f>IF(D287="USD",G287*$N$1,G287)</f>
        <v/>
      </c>
      <c r="K287" s="9">
        <f>H287+I287</f>
        <v/>
      </c>
    </row>
    <row r="288">
      <c r="A288" s="8" t="n">
        <v>46024</v>
      </c>
      <c r="B288" t="inlineStr">
        <is>
          <t>2026-W01</t>
        </is>
      </c>
      <c r="C288" t="inlineStr">
        <is>
          <t>Adyen</t>
        </is>
      </c>
      <c r="D288" t="inlineStr">
        <is>
          <t>EUR</t>
        </is>
      </c>
      <c r="E288" s="9" t="n">
        <v>0</v>
      </c>
      <c r="F288" s="9" t="n">
        <v>0</v>
      </c>
      <c r="G288" s="9" t="n">
        <v>-201242.23</v>
      </c>
      <c r="H288" s="9">
        <f>IF(D288="USD",E288*$N$1,E288)</f>
        <v/>
      </c>
      <c r="I288" s="9">
        <f>IF(D288="USD",F288*$N$1,F288)</f>
        <v/>
      </c>
      <c r="J288" s="9">
        <f>IF(D288="USD",G288*$N$1,G288)</f>
        <v/>
      </c>
      <c r="K288" s="9">
        <f>H288+I288</f>
        <v/>
      </c>
    </row>
    <row r="289">
      <c r="A289" s="8" t="n">
        <v>46024</v>
      </c>
      <c r="B289" t="inlineStr">
        <is>
          <t>2026-W01</t>
        </is>
      </c>
      <c r="C289" t="inlineStr">
        <is>
          <t>Adyen</t>
        </is>
      </c>
      <c r="D289" t="inlineStr">
        <is>
          <t>EUR</t>
        </is>
      </c>
      <c r="E289" s="9" t="n">
        <v>218111.24</v>
      </c>
      <c r="F289" s="9" t="n">
        <v>-13264.44000000006</v>
      </c>
      <c r="G289" s="9" t="n">
        <v>0</v>
      </c>
      <c r="H289" s="9">
        <f>IF(D289="USD",E289*$N$1,E289)</f>
        <v/>
      </c>
      <c r="I289" s="9">
        <f>IF(D289="USD",F289*$N$1,F289)</f>
        <v/>
      </c>
      <c r="J289" s="9">
        <f>IF(D289="USD",G289*$N$1,G289)</f>
        <v/>
      </c>
      <c r="K289" s="9">
        <f>H289+I289</f>
        <v/>
      </c>
    </row>
    <row r="290">
      <c r="A290" s="8" t="n">
        <v>46024</v>
      </c>
      <c r="B290" t="inlineStr">
        <is>
          <t>2026-W01</t>
        </is>
      </c>
      <c r="C290" t="inlineStr">
        <is>
          <t>Adyen</t>
        </is>
      </c>
      <c r="D290" t="inlineStr">
        <is>
          <t>EUR</t>
        </is>
      </c>
      <c r="E290" s="9" t="n">
        <v>24492.36</v>
      </c>
      <c r="F290" s="9" t="n">
        <v>0</v>
      </c>
      <c r="G290" s="9" t="n">
        <v>0</v>
      </c>
      <c r="H290" s="9">
        <f>IF(D290="USD",E290*$N$1,E290)</f>
        <v/>
      </c>
      <c r="I290" s="9">
        <f>IF(D290="USD",F290*$N$1,F290)</f>
        <v/>
      </c>
      <c r="J290" s="9">
        <f>IF(D290="USD",G290*$N$1,G290)</f>
        <v/>
      </c>
      <c r="K290" s="9">
        <f>H290+I290</f>
        <v/>
      </c>
    </row>
    <row r="291">
      <c r="A291" s="8" t="n">
        <v>46024</v>
      </c>
      <c r="B291" t="inlineStr">
        <is>
          <t>2026-W01</t>
        </is>
      </c>
      <c r="C291" t="inlineStr">
        <is>
          <t>Nuvei</t>
        </is>
      </c>
      <c r="D291" t="inlineStr">
        <is>
          <t>EUR</t>
        </is>
      </c>
      <c r="E291" s="9" t="n">
        <v>608078.4300000001</v>
      </c>
      <c r="F291" s="9" t="n">
        <v>-7162.46</v>
      </c>
      <c r="G291" s="9" t="n">
        <v>0</v>
      </c>
      <c r="H291" s="9">
        <f>IF(D291="USD",E291*$N$1,E291)</f>
        <v/>
      </c>
      <c r="I291" s="9">
        <f>IF(D291="USD",F291*$N$1,F291)</f>
        <v/>
      </c>
      <c r="J291" s="9">
        <f>IF(D291="USD",G291*$N$1,G291)</f>
        <v/>
      </c>
      <c r="K291" s="9">
        <f>H291+I291</f>
        <v/>
      </c>
    </row>
    <row r="292">
      <c r="A292" s="8" t="n">
        <v>46024</v>
      </c>
      <c r="B292" t="inlineStr">
        <is>
          <t>2026-W01</t>
        </is>
      </c>
      <c r="C292" t="inlineStr">
        <is>
          <t>Nuvei</t>
        </is>
      </c>
      <c r="D292" t="inlineStr">
        <is>
          <t>EUR</t>
        </is>
      </c>
      <c r="E292" s="9" t="n">
        <v>75227.21000000001</v>
      </c>
      <c r="F292" s="9" t="n">
        <v>-1951.44</v>
      </c>
      <c r="G292" s="9" t="n">
        <v>0</v>
      </c>
      <c r="H292" s="9">
        <f>IF(D292="USD",E292*$N$1,E292)</f>
        <v/>
      </c>
      <c r="I292" s="9">
        <f>IF(D292="USD",F292*$N$1,F292)</f>
        <v/>
      </c>
      <c r="J292" s="9">
        <f>IF(D292="USD",G292*$N$1,G292)</f>
        <v/>
      </c>
      <c r="K292" s="9">
        <f>H292+I292</f>
        <v/>
      </c>
    </row>
    <row r="293">
      <c r="A293" s="8" t="n">
        <v>46025</v>
      </c>
      <c r="B293" t="inlineStr">
        <is>
          <t>2026-W01</t>
        </is>
      </c>
      <c r="C293" t="inlineStr">
        <is>
          <t>Adyen</t>
        </is>
      </c>
      <c r="D293" t="inlineStr">
        <is>
          <t>EUR</t>
        </is>
      </c>
      <c r="E293" s="9" t="n">
        <v>144905.52</v>
      </c>
      <c r="F293" s="9" t="n">
        <v>0</v>
      </c>
      <c r="G293" s="9" t="n">
        <v>0</v>
      </c>
      <c r="H293" s="9">
        <f>IF(D293="USD",E293*$N$1,E293)</f>
        <v/>
      </c>
      <c r="I293" s="9">
        <f>IF(D293="USD",F293*$N$1,F293)</f>
        <v/>
      </c>
      <c r="J293" s="9">
        <f>IF(D293="USD",G293*$N$1,G293)</f>
        <v/>
      </c>
      <c r="K293" s="9">
        <f>H293+I293</f>
        <v/>
      </c>
    </row>
    <row r="294">
      <c r="A294" s="8" t="n">
        <v>46025</v>
      </c>
      <c r="B294" t="inlineStr">
        <is>
          <t>2026-W01</t>
        </is>
      </c>
      <c r="C294" t="inlineStr">
        <is>
          <t>Adyen</t>
        </is>
      </c>
      <c r="D294" t="inlineStr">
        <is>
          <t>EUR</t>
        </is>
      </c>
      <c r="E294" s="9" t="n">
        <v>20852.72</v>
      </c>
      <c r="F294" s="9" t="n">
        <v>0</v>
      </c>
      <c r="G294" s="9" t="n">
        <v>0</v>
      </c>
      <c r="H294" s="9">
        <f>IF(D294="USD",E294*$N$1,E294)</f>
        <v/>
      </c>
      <c r="I294" s="9">
        <f>IF(D294="USD",F294*$N$1,F294)</f>
        <v/>
      </c>
      <c r="J294" s="9">
        <f>IF(D294="USD",G294*$N$1,G294)</f>
        <v/>
      </c>
      <c r="K294" s="9">
        <f>H294+I294</f>
        <v/>
      </c>
    </row>
    <row r="295">
      <c r="A295" s="8" t="n">
        <v>46025</v>
      </c>
      <c r="B295" t="inlineStr">
        <is>
          <t>2026-W01</t>
        </is>
      </c>
      <c r="C295" t="inlineStr">
        <is>
          <t>Nuvei</t>
        </is>
      </c>
      <c r="D295" t="inlineStr">
        <is>
          <t>EUR</t>
        </is>
      </c>
      <c r="E295" s="9" t="n">
        <v>0</v>
      </c>
      <c r="F295" s="9" t="n">
        <v>0</v>
      </c>
      <c r="G295" s="9" t="n">
        <v>-1835980.93</v>
      </c>
      <c r="H295" s="9">
        <f>IF(D295="USD",E295*$N$1,E295)</f>
        <v/>
      </c>
      <c r="I295" s="9">
        <f>IF(D295="USD",F295*$N$1,F295)</f>
        <v/>
      </c>
      <c r="J295" s="9">
        <f>IF(D295="USD",G295*$N$1,G295)</f>
        <v/>
      </c>
      <c r="K295" s="9">
        <f>H295+I295</f>
        <v/>
      </c>
    </row>
    <row r="296">
      <c r="A296" s="8" t="n">
        <v>46025</v>
      </c>
      <c r="B296" t="inlineStr">
        <is>
          <t>2026-W01</t>
        </is>
      </c>
      <c r="C296" t="inlineStr">
        <is>
          <t>Nuvei</t>
        </is>
      </c>
      <c r="D296" t="inlineStr">
        <is>
          <t>EUR</t>
        </is>
      </c>
      <c r="E296" s="9" t="n">
        <v>0</v>
      </c>
      <c r="F296" s="9" t="n">
        <v>0</v>
      </c>
      <c r="G296" s="9" t="n">
        <v>-144456.9</v>
      </c>
      <c r="H296" s="9">
        <f>IF(D296="USD",E296*$N$1,E296)</f>
        <v/>
      </c>
      <c r="I296" s="9">
        <f>IF(D296="USD",F296*$N$1,F296)</f>
        <v/>
      </c>
      <c r="J296" s="9">
        <f>IF(D296="USD",G296*$N$1,G296)</f>
        <v/>
      </c>
      <c r="K296" s="9">
        <f>H296+I296</f>
        <v/>
      </c>
    </row>
    <row r="297">
      <c r="A297" s="8" t="n">
        <v>46025</v>
      </c>
      <c r="B297" t="inlineStr">
        <is>
          <t>2026-W01</t>
        </is>
      </c>
      <c r="C297" t="inlineStr">
        <is>
          <t>Nuvei</t>
        </is>
      </c>
      <c r="D297" t="inlineStr">
        <is>
          <t>EUR</t>
        </is>
      </c>
      <c r="E297" s="9" t="n">
        <v>557600.04</v>
      </c>
      <c r="F297" s="9" t="n">
        <v>-5268.32</v>
      </c>
      <c r="G297" s="9" t="n">
        <v>0</v>
      </c>
      <c r="H297" s="9">
        <f>IF(D297="USD",E297*$N$1,E297)</f>
        <v/>
      </c>
      <c r="I297" s="9">
        <f>IF(D297="USD",F297*$N$1,F297)</f>
        <v/>
      </c>
      <c r="J297" s="9">
        <f>IF(D297="USD",G297*$N$1,G297)</f>
        <v/>
      </c>
      <c r="K297" s="9">
        <f>H297+I297</f>
        <v/>
      </c>
    </row>
    <row r="298">
      <c r="A298" s="8" t="n">
        <v>46025</v>
      </c>
      <c r="B298" t="inlineStr">
        <is>
          <t>2026-W01</t>
        </is>
      </c>
      <c r="C298" t="inlineStr">
        <is>
          <t>Nuvei</t>
        </is>
      </c>
      <c r="D298" t="inlineStr">
        <is>
          <t>EUR</t>
        </is>
      </c>
      <c r="E298" s="9" t="n">
        <v>52702.91</v>
      </c>
      <c r="F298" s="9" t="n">
        <v>-1401.1</v>
      </c>
      <c r="G298" s="9" t="n">
        <v>0</v>
      </c>
      <c r="H298" s="9">
        <f>IF(D298="USD",E298*$N$1,E298)</f>
        <v/>
      </c>
      <c r="I298" s="9">
        <f>IF(D298="USD",F298*$N$1,F298)</f>
        <v/>
      </c>
      <c r="J298" s="9">
        <f>IF(D298="USD",G298*$N$1,G298)</f>
        <v/>
      </c>
      <c r="K298" s="9">
        <f>H298+I298</f>
        <v/>
      </c>
    </row>
    <row r="299">
      <c r="A299" s="8" t="n">
        <v>46026</v>
      </c>
      <c r="B299" t="inlineStr">
        <is>
          <t>2026-W01</t>
        </is>
      </c>
      <c r="C299" t="inlineStr">
        <is>
          <t>Adyen</t>
        </is>
      </c>
      <c r="D299" t="inlineStr">
        <is>
          <t>EUR</t>
        </is>
      </c>
      <c r="E299" s="9" t="n">
        <v>154800.18</v>
      </c>
      <c r="F299" s="9" t="n">
        <v>0</v>
      </c>
      <c r="G299" s="9" t="n">
        <v>0</v>
      </c>
      <c r="H299" s="9">
        <f>IF(D299="USD",E299*$N$1,E299)</f>
        <v/>
      </c>
      <c r="I299" s="9">
        <f>IF(D299="USD",F299*$N$1,F299)</f>
        <v/>
      </c>
      <c r="J299" s="9">
        <f>IF(D299="USD",G299*$N$1,G299)</f>
        <v/>
      </c>
      <c r="K299" s="9">
        <f>H299+I299</f>
        <v/>
      </c>
    </row>
    <row r="300">
      <c r="A300" s="8" t="n">
        <v>46026</v>
      </c>
      <c r="B300" t="inlineStr">
        <is>
          <t>2026-W01</t>
        </is>
      </c>
      <c r="C300" t="inlineStr">
        <is>
          <t>Adyen</t>
        </is>
      </c>
      <c r="D300" t="inlineStr">
        <is>
          <t>EUR</t>
        </is>
      </c>
      <c r="E300" s="9" t="n">
        <v>16051.23</v>
      </c>
      <c r="F300" s="9" t="n">
        <v>0</v>
      </c>
      <c r="G300" s="9" t="n">
        <v>0</v>
      </c>
      <c r="H300" s="9">
        <f>IF(D300="USD",E300*$N$1,E300)</f>
        <v/>
      </c>
      <c r="I300" s="9">
        <f>IF(D300="USD",F300*$N$1,F300)</f>
        <v/>
      </c>
      <c r="J300" s="9">
        <f>IF(D300="USD",G300*$N$1,G300)</f>
        <v/>
      </c>
      <c r="K300" s="9">
        <f>H300+I300</f>
        <v/>
      </c>
    </row>
    <row r="301">
      <c r="A301" s="8" t="n">
        <v>46026</v>
      </c>
      <c r="B301" t="inlineStr">
        <is>
          <t>2026-W01</t>
        </is>
      </c>
      <c r="C301" t="inlineStr">
        <is>
          <t>Nuvei</t>
        </is>
      </c>
      <c r="D301" t="inlineStr">
        <is>
          <t>EUR</t>
        </is>
      </c>
      <c r="E301" s="9" t="n">
        <v>0</v>
      </c>
      <c r="F301" s="9" t="n">
        <v>0</v>
      </c>
      <c r="G301" s="9" t="n">
        <v>-561320.89</v>
      </c>
      <c r="H301" s="9">
        <f>IF(D301="USD",E301*$N$1,E301)</f>
        <v/>
      </c>
      <c r="I301" s="9">
        <f>IF(D301="USD",F301*$N$1,F301)</f>
        <v/>
      </c>
      <c r="J301" s="9">
        <f>IF(D301="USD",G301*$N$1,G301)</f>
        <v/>
      </c>
      <c r="K301" s="9">
        <f>H301+I301</f>
        <v/>
      </c>
    </row>
    <row r="302">
      <c r="A302" s="8" t="n">
        <v>46026</v>
      </c>
      <c r="B302" t="inlineStr">
        <is>
          <t>2026-W01</t>
        </is>
      </c>
      <c r="C302" t="inlineStr">
        <is>
          <t>Nuvei</t>
        </is>
      </c>
      <c r="D302" t="inlineStr">
        <is>
          <t>EUR</t>
        </is>
      </c>
      <c r="E302" s="9" t="n">
        <v>0</v>
      </c>
      <c r="F302" s="9" t="n">
        <v>0</v>
      </c>
      <c r="G302" s="9" t="n">
        <v>-19424.85</v>
      </c>
      <c r="H302" s="9">
        <f>IF(D302="USD",E302*$N$1,E302)</f>
        <v/>
      </c>
      <c r="I302" s="9">
        <f>IF(D302="USD",F302*$N$1,F302)</f>
        <v/>
      </c>
      <c r="J302" s="9">
        <f>IF(D302="USD",G302*$N$1,G302)</f>
        <v/>
      </c>
      <c r="K302" s="9">
        <f>H302+I302</f>
        <v/>
      </c>
    </row>
    <row r="303">
      <c r="A303" s="8" t="n">
        <v>46026</v>
      </c>
      <c r="B303" t="inlineStr">
        <is>
          <t>2026-W01</t>
        </is>
      </c>
      <c r="C303" t="inlineStr">
        <is>
          <t>Nuvei</t>
        </is>
      </c>
      <c r="D303" t="inlineStr">
        <is>
          <t>EUR</t>
        </is>
      </c>
      <c r="E303" s="9" t="n">
        <v>704387.6</v>
      </c>
      <c r="F303" s="9" t="n">
        <v>-6412.3</v>
      </c>
      <c r="G303" s="9" t="n">
        <v>0</v>
      </c>
      <c r="H303" s="9">
        <f>IF(D303="USD",E303*$N$1,E303)</f>
        <v/>
      </c>
      <c r="I303" s="9">
        <f>IF(D303="USD",F303*$N$1,F303)</f>
        <v/>
      </c>
      <c r="J303" s="9">
        <f>IF(D303="USD",G303*$N$1,G303)</f>
        <v/>
      </c>
      <c r="K303" s="9">
        <f>H303+I303</f>
        <v/>
      </c>
    </row>
    <row r="304">
      <c r="A304" s="8" t="n">
        <v>46026</v>
      </c>
      <c r="B304" t="inlineStr">
        <is>
          <t>2026-W01</t>
        </is>
      </c>
      <c r="C304" t="inlineStr">
        <is>
          <t>Nuvei</t>
        </is>
      </c>
      <c r="D304" t="inlineStr">
        <is>
          <t>EUR</t>
        </is>
      </c>
      <c r="E304" s="9" t="n">
        <v>75649.14999999999</v>
      </c>
      <c r="F304" s="9" t="n">
        <v>-2016.57</v>
      </c>
      <c r="G304" s="9" t="n">
        <v>0</v>
      </c>
      <c r="H304" s="9">
        <f>IF(D304="USD",E304*$N$1,E304)</f>
        <v/>
      </c>
      <c r="I304" s="9">
        <f>IF(D304="USD",F304*$N$1,F304)</f>
        <v/>
      </c>
      <c r="J304" s="9">
        <f>IF(D304="USD",G304*$N$1,G304)</f>
        <v/>
      </c>
      <c r="K304" s="9">
        <f>H304+I304</f>
        <v/>
      </c>
    </row>
    <row r="305">
      <c r="A305" s="8" t="n">
        <v>46027</v>
      </c>
      <c r="B305" t="inlineStr">
        <is>
          <t>2026-W02</t>
        </is>
      </c>
      <c r="C305" t="inlineStr">
        <is>
          <t>Adyen</t>
        </is>
      </c>
      <c r="D305" t="inlineStr">
        <is>
          <t>EUR</t>
        </is>
      </c>
      <c r="E305" s="9" t="n">
        <v>0</v>
      </c>
      <c r="F305" s="9" t="n">
        <v>0</v>
      </c>
      <c r="G305" s="9" t="n">
        <v>-262775.07</v>
      </c>
      <c r="H305" s="9">
        <f>IF(D305="USD",E305*$N$1,E305)</f>
        <v/>
      </c>
      <c r="I305" s="9">
        <f>IF(D305="USD",F305*$N$1,F305)</f>
        <v/>
      </c>
      <c r="J305" s="9">
        <f>IF(D305="USD",G305*$N$1,G305)</f>
        <v/>
      </c>
      <c r="K305" s="9">
        <f>H305+I305</f>
        <v/>
      </c>
    </row>
    <row r="306">
      <c r="A306" s="8" t="n">
        <v>46027</v>
      </c>
      <c r="B306" t="inlineStr">
        <is>
          <t>2026-W02</t>
        </is>
      </c>
      <c r="C306" t="inlineStr">
        <is>
          <t>Adyen</t>
        </is>
      </c>
      <c r="D306" t="inlineStr">
        <is>
          <t>EUR</t>
        </is>
      </c>
      <c r="E306" s="9" t="n">
        <v>252608.78</v>
      </c>
      <c r="F306" s="9" t="n">
        <v>0</v>
      </c>
      <c r="G306" s="9" t="n">
        <v>0</v>
      </c>
      <c r="H306" s="9">
        <f>IF(D306="USD",E306*$N$1,E306)</f>
        <v/>
      </c>
      <c r="I306" s="9">
        <f>IF(D306="USD",F306*$N$1,F306)</f>
        <v/>
      </c>
      <c r="J306" s="9">
        <f>IF(D306="USD",G306*$N$1,G306)</f>
        <v/>
      </c>
      <c r="K306" s="9">
        <f>H306+I306</f>
        <v/>
      </c>
    </row>
    <row r="307">
      <c r="A307" s="8" t="n">
        <v>46027</v>
      </c>
      <c r="B307" t="inlineStr">
        <is>
          <t>2026-W02</t>
        </is>
      </c>
      <c r="C307" t="inlineStr">
        <is>
          <t>Adyen</t>
        </is>
      </c>
      <c r="D307" t="inlineStr">
        <is>
          <t>EUR</t>
        </is>
      </c>
      <c r="E307" s="9" t="n">
        <v>32741.03</v>
      </c>
      <c r="F307" s="9" t="n">
        <v>0</v>
      </c>
      <c r="G307" s="9" t="n">
        <v>0</v>
      </c>
      <c r="H307" s="9">
        <f>IF(D307="USD",E307*$N$1,E307)</f>
        <v/>
      </c>
      <c r="I307" s="9">
        <f>IF(D307="USD",F307*$N$1,F307)</f>
        <v/>
      </c>
      <c r="J307" s="9">
        <f>IF(D307="USD",G307*$N$1,G307)</f>
        <v/>
      </c>
      <c r="K307" s="9">
        <f>H307+I307</f>
        <v/>
      </c>
    </row>
    <row r="308">
      <c r="A308" s="8" t="n">
        <v>46027</v>
      </c>
      <c r="B308" t="inlineStr">
        <is>
          <t>2026-W02</t>
        </is>
      </c>
      <c r="C308" t="inlineStr">
        <is>
          <t>Nuvei</t>
        </is>
      </c>
      <c r="D308" t="inlineStr">
        <is>
          <t>EUR</t>
        </is>
      </c>
      <c r="E308" s="9" t="n">
        <v>604781.74</v>
      </c>
      <c r="F308" s="9" t="n">
        <v>-7040.83</v>
      </c>
      <c r="G308" s="9" t="n">
        <v>0</v>
      </c>
      <c r="H308" s="9">
        <f>IF(D308="USD",E308*$N$1,E308)</f>
        <v/>
      </c>
      <c r="I308" s="9">
        <f>IF(D308="USD",F308*$N$1,F308)</f>
        <v/>
      </c>
      <c r="J308" s="9">
        <f>IF(D308="USD",G308*$N$1,G308)</f>
        <v/>
      </c>
      <c r="K308" s="9">
        <f>H308+I308</f>
        <v/>
      </c>
    </row>
    <row r="309">
      <c r="A309" s="8" t="n">
        <v>46027</v>
      </c>
      <c r="B309" t="inlineStr">
        <is>
          <t>2026-W02</t>
        </is>
      </c>
      <c r="C309" t="inlineStr">
        <is>
          <t>Nuvei</t>
        </is>
      </c>
      <c r="D309" t="inlineStr">
        <is>
          <t>EUR</t>
        </is>
      </c>
      <c r="E309" s="9" t="n">
        <v>70755.57000000001</v>
      </c>
      <c r="F309" s="9" t="n">
        <v>-1860.19</v>
      </c>
      <c r="G309" s="9" t="n">
        <v>0</v>
      </c>
      <c r="H309" s="9">
        <f>IF(D309="USD",E309*$N$1,E309)</f>
        <v/>
      </c>
      <c r="I309" s="9">
        <f>IF(D309="USD",F309*$N$1,F309)</f>
        <v/>
      </c>
      <c r="J309" s="9">
        <f>IF(D309="USD",G309*$N$1,G309)</f>
        <v/>
      </c>
      <c r="K309" s="9">
        <f>H309+I309</f>
        <v/>
      </c>
    </row>
    <row r="310">
      <c r="A310" s="8" t="n">
        <v>46028</v>
      </c>
      <c r="B310" t="inlineStr">
        <is>
          <t>2026-W02</t>
        </is>
      </c>
      <c r="C310" t="inlineStr">
        <is>
          <t>Adyen</t>
        </is>
      </c>
      <c r="D310" t="inlineStr">
        <is>
          <t>EUR</t>
        </is>
      </c>
      <c r="E310" s="9" t="n">
        <v>213188.86</v>
      </c>
      <c r="F310" s="9" t="n">
        <v>-12345</v>
      </c>
      <c r="G310" s="9" t="n">
        <v>0</v>
      </c>
      <c r="H310" s="9">
        <f>IF(D310="USD",E310*$N$1,E310)</f>
        <v/>
      </c>
      <c r="I310" s="9">
        <f>IF(D310="USD",F310*$N$1,F310)</f>
        <v/>
      </c>
      <c r="J310" s="9">
        <f>IF(D310="USD",G310*$N$1,G310)</f>
        <v/>
      </c>
      <c r="K310" s="9">
        <f>H310+I310</f>
        <v/>
      </c>
    </row>
    <row r="311">
      <c r="A311" s="8" t="n">
        <v>46028</v>
      </c>
      <c r="B311" t="inlineStr">
        <is>
          <t>2026-W02</t>
        </is>
      </c>
      <c r="C311" t="inlineStr">
        <is>
          <t>Adyen</t>
        </is>
      </c>
      <c r="D311" t="inlineStr">
        <is>
          <t>EUR</t>
        </is>
      </c>
      <c r="E311" s="9" t="n">
        <v>39315.81</v>
      </c>
      <c r="F311" s="9" t="n">
        <v>0</v>
      </c>
      <c r="G311" s="9" t="n">
        <v>0</v>
      </c>
      <c r="H311" s="9">
        <f>IF(D311="USD",E311*$N$1,E311)</f>
        <v/>
      </c>
      <c r="I311" s="9">
        <f>IF(D311="USD",F311*$N$1,F311)</f>
        <v/>
      </c>
      <c r="J311" s="9">
        <f>IF(D311="USD",G311*$N$1,G311)</f>
        <v/>
      </c>
      <c r="K311" s="9">
        <f>H311+I311</f>
        <v/>
      </c>
    </row>
    <row r="312">
      <c r="A312" s="8" t="n">
        <v>46028</v>
      </c>
      <c r="B312" t="inlineStr">
        <is>
          <t>2026-W02</t>
        </is>
      </c>
      <c r="C312" t="inlineStr">
        <is>
          <t>Nuvei</t>
        </is>
      </c>
      <c r="D312" t="inlineStr">
        <is>
          <t>EUR</t>
        </is>
      </c>
      <c r="E312" s="9" t="n">
        <v>668878.79</v>
      </c>
      <c r="F312" s="9" t="n">
        <v>-8016.48</v>
      </c>
      <c r="G312" s="9" t="n">
        <v>0</v>
      </c>
      <c r="H312" s="9">
        <f>IF(D312="USD",E312*$N$1,E312)</f>
        <v/>
      </c>
      <c r="I312" s="9">
        <f>IF(D312="USD",F312*$N$1,F312)</f>
        <v/>
      </c>
      <c r="J312" s="9">
        <f>IF(D312="USD",G312*$N$1,G312)</f>
        <v/>
      </c>
      <c r="K312" s="9">
        <f>H312+I312</f>
        <v/>
      </c>
    </row>
    <row r="313">
      <c r="A313" s="8" t="n">
        <v>46028</v>
      </c>
      <c r="B313" t="inlineStr">
        <is>
          <t>2026-W02</t>
        </is>
      </c>
      <c r="C313" t="inlineStr">
        <is>
          <t>Nuvei</t>
        </is>
      </c>
      <c r="D313" t="inlineStr">
        <is>
          <t>EUR</t>
        </is>
      </c>
      <c r="E313" s="9" t="n">
        <v>74837.58</v>
      </c>
      <c r="F313" s="9" t="n">
        <v>-1931.83</v>
      </c>
      <c r="G313" s="9" t="n">
        <v>0</v>
      </c>
      <c r="H313" s="9">
        <f>IF(D313="USD",E313*$N$1,E313)</f>
        <v/>
      </c>
      <c r="I313" s="9">
        <f>IF(D313="USD",F313*$N$1,F313)</f>
        <v/>
      </c>
      <c r="J313" s="9">
        <f>IF(D313="USD",G313*$N$1,G313)</f>
        <v/>
      </c>
      <c r="K313" s="9">
        <f>H313+I313</f>
        <v/>
      </c>
    </row>
    <row r="314">
      <c r="A314" s="8" t="n">
        <v>46029</v>
      </c>
      <c r="B314" t="inlineStr">
        <is>
          <t>2026-W02</t>
        </is>
      </c>
      <c r="C314" t="inlineStr">
        <is>
          <t>Adyen</t>
        </is>
      </c>
      <c r="D314" t="inlineStr">
        <is>
          <t>EUR</t>
        </is>
      </c>
      <c r="E314" s="9" t="n">
        <v>0</v>
      </c>
      <c r="F314" s="9" t="n">
        <v>0</v>
      </c>
      <c r="G314" s="9" t="n">
        <v>-851298.62</v>
      </c>
      <c r="H314" s="9">
        <f>IF(D314="USD",E314*$N$1,E314)</f>
        <v/>
      </c>
      <c r="I314" s="9">
        <f>IF(D314="USD",F314*$N$1,F314)</f>
        <v/>
      </c>
      <c r="J314" s="9">
        <f>IF(D314="USD",G314*$N$1,G314)</f>
        <v/>
      </c>
      <c r="K314" s="9">
        <f>H314+I314</f>
        <v/>
      </c>
    </row>
    <row r="315">
      <c r="A315" s="8" t="n">
        <v>46029</v>
      </c>
      <c r="B315" t="inlineStr">
        <is>
          <t>2026-W02</t>
        </is>
      </c>
      <c r="C315" t="inlineStr">
        <is>
          <t>Adyen</t>
        </is>
      </c>
      <c r="D315" t="inlineStr">
        <is>
          <t>EUR</t>
        </is>
      </c>
      <c r="E315" s="9" t="n">
        <v>296281.12</v>
      </c>
      <c r="F315" s="9" t="n">
        <v>-9803.049999999988</v>
      </c>
      <c r="G315" s="9" t="n">
        <v>0</v>
      </c>
      <c r="H315" s="9">
        <f>IF(D315="USD",E315*$N$1,E315)</f>
        <v/>
      </c>
      <c r="I315" s="9">
        <f>IF(D315="USD",F315*$N$1,F315)</f>
        <v/>
      </c>
      <c r="J315" s="9">
        <f>IF(D315="USD",G315*$N$1,G315)</f>
        <v/>
      </c>
      <c r="K315" s="9">
        <f>H315+I315</f>
        <v/>
      </c>
    </row>
    <row r="316">
      <c r="A316" s="8" t="n">
        <v>46029</v>
      </c>
      <c r="B316" t="inlineStr">
        <is>
          <t>2026-W02</t>
        </is>
      </c>
      <c r="C316" t="inlineStr">
        <is>
          <t>Adyen</t>
        </is>
      </c>
      <c r="D316" t="inlineStr">
        <is>
          <t>EUR</t>
        </is>
      </c>
      <c r="E316" s="9" t="n">
        <v>51136.79</v>
      </c>
      <c r="F316" s="9" t="n">
        <v>0</v>
      </c>
      <c r="G316" s="9" t="n">
        <v>0</v>
      </c>
      <c r="H316" s="9">
        <f>IF(D316="USD",E316*$N$1,E316)</f>
        <v/>
      </c>
      <c r="I316" s="9">
        <f>IF(D316="USD",F316*$N$1,F316)</f>
        <v/>
      </c>
      <c r="J316" s="9">
        <f>IF(D316="USD",G316*$N$1,G316)</f>
        <v/>
      </c>
      <c r="K316" s="9">
        <f>H316+I316</f>
        <v/>
      </c>
    </row>
    <row r="317">
      <c r="A317" s="8" t="n">
        <v>46029</v>
      </c>
      <c r="B317" t="inlineStr">
        <is>
          <t>2026-W02</t>
        </is>
      </c>
      <c r="C317" t="inlineStr">
        <is>
          <t>Nuvei</t>
        </is>
      </c>
      <c r="D317" t="inlineStr">
        <is>
          <t>EUR</t>
        </is>
      </c>
      <c r="E317" s="9" t="n">
        <v>0</v>
      </c>
      <c r="F317" s="9" t="n">
        <v>0</v>
      </c>
      <c r="G317" s="9" t="n">
        <v>-417177.41</v>
      </c>
      <c r="H317" s="9">
        <f>IF(D317="USD",E317*$N$1,E317)</f>
        <v/>
      </c>
      <c r="I317" s="9">
        <f>IF(D317="USD",F317*$N$1,F317)</f>
        <v/>
      </c>
      <c r="J317" s="9">
        <f>IF(D317="USD",G317*$N$1,G317)</f>
        <v/>
      </c>
      <c r="K317" s="9">
        <f>H317+I317</f>
        <v/>
      </c>
    </row>
    <row r="318">
      <c r="A318" s="8" t="n">
        <v>46029</v>
      </c>
      <c r="B318" t="inlineStr">
        <is>
          <t>2026-W02</t>
        </is>
      </c>
      <c r="C318" t="inlineStr">
        <is>
          <t>Nuvei</t>
        </is>
      </c>
      <c r="D318" t="inlineStr">
        <is>
          <t>EUR</t>
        </is>
      </c>
      <c r="E318" s="9" t="n">
        <v>0</v>
      </c>
      <c r="F318" s="9" t="n">
        <v>0</v>
      </c>
      <c r="G318" s="9" t="n">
        <v>-42252.45</v>
      </c>
      <c r="H318" s="9">
        <f>IF(D318="USD",E318*$N$1,E318)</f>
        <v/>
      </c>
      <c r="I318" s="9">
        <f>IF(D318="USD",F318*$N$1,F318)</f>
        <v/>
      </c>
      <c r="J318" s="9">
        <f>IF(D318="USD",G318*$N$1,G318)</f>
        <v/>
      </c>
      <c r="K318" s="9">
        <f>H318+I318</f>
        <v/>
      </c>
    </row>
    <row r="319">
      <c r="A319" s="8" t="n">
        <v>46029</v>
      </c>
      <c r="B319" t="inlineStr">
        <is>
          <t>2026-W02</t>
        </is>
      </c>
      <c r="C319" t="inlineStr">
        <is>
          <t>Nuvei</t>
        </is>
      </c>
      <c r="D319" t="inlineStr">
        <is>
          <t>EUR</t>
        </is>
      </c>
      <c r="E319" s="9" t="n">
        <v>0</v>
      </c>
      <c r="F319" s="9" t="n">
        <v>0</v>
      </c>
      <c r="G319" s="9" t="n">
        <v>-458927.77</v>
      </c>
      <c r="H319" s="9">
        <f>IF(D319="USD",E319*$N$1,E319)</f>
        <v/>
      </c>
      <c r="I319" s="9">
        <f>IF(D319="USD",F319*$N$1,F319)</f>
        <v/>
      </c>
      <c r="J319" s="9">
        <f>IF(D319="USD",G319*$N$1,G319)</f>
        <v/>
      </c>
      <c r="K319" s="9">
        <f>H319+I319</f>
        <v/>
      </c>
    </row>
    <row r="320">
      <c r="A320" s="8" t="n">
        <v>46029</v>
      </c>
      <c r="B320" t="inlineStr">
        <is>
          <t>2026-W02</t>
        </is>
      </c>
      <c r="C320" t="inlineStr">
        <is>
          <t>Nuvei</t>
        </is>
      </c>
      <c r="D320" t="inlineStr">
        <is>
          <t>EUR</t>
        </is>
      </c>
      <c r="E320" s="9" t="n">
        <v>0</v>
      </c>
      <c r="F320" s="9" t="n">
        <v>0</v>
      </c>
      <c r="G320" s="9" t="n">
        <v>-54449.69</v>
      </c>
      <c r="H320" s="9">
        <f>IF(D320="USD",E320*$N$1,E320)</f>
        <v/>
      </c>
      <c r="I320" s="9">
        <f>IF(D320="USD",F320*$N$1,F320)</f>
        <v/>
      </c>
      <c r="J320" s="9">
        <f>IF(D320="USD",G320*$N$1,G320)</f>
        <v/>
      </c>
      <c r="K320" s="9">
        <f>H320+I320</f>
        <v/>
      </c>
    </row>
    <row r="321">
      <c r="A321" s="8" t="n">
        <v>46029</v>
      </c>
      <c r="B321" t="inlineStr">
        <is>
          <t>2026-W02</t>
        </is>
      </c>
      <c r="C321" t="inlineStr">
        <is>
          <t>Nuvei</t>
        </is>
      </c>
      <c r="D321" t="inlineStr">
        <is>
          <t>EUR</t>
        </is>
      </c>
      <c r="E321" s="9" t="n">
        <v>694296.91</v>
      </c>
      <c r="F321" s="9" t="n">
        <v>-8878.940000000001</v>
      </c>
      <c r="G321" s="9" t="n">
        <v>0</v>
      </c>
      <c r="H321" s="9">
        <f>IF(D321="USD",E321*$N$1,E321)</f>
        <v/>
      </c>
      <c r="I321" s="9">
        <f>IF(D321="USD",F321*$N$1,F321)</f>
        <v/>
      </c>
      <c r="J321" s="9">
        <f>IF(D321="USD",G321*$N$1,G321)</f>
        <v/>
      </c>
      <c r="K321" s="9">
        <f>H321+I321</f>
        <v/>
      </c>
    </row>
    <row r="322">
      <c r="A322" s="8" t="n">
        <v>46029</v>
      </c>
      <c r="B322" t="inlineStr">
        <is>
          <t>2026-W02</t>
        </is>
      </c>
      <c r="C322" t="inlineStr">
        <is>
          <t>Nuvei</t>
        </is>
      </c>
      <c r="D322" t="inlineStr">
        <is>
          <t>EUR</t>
        </is>
      </c>
      <c r="E322" s="9" t="n">
        <v>68997.74000000001</v>
      </c>
      <c r="F322" s="9" t="n">
        <v>-1858.26</v>
      </c>
      <c r="G322" s="9" t="n">
        <v>0</v>
      </c>
      <c r="H322" s="9">
        <f>IF(D322="USD",E322*$N$1,E322)</f>
        <v/>
      </c>
      <c r="I322" s="9">
        <f>IF(D322="USD",F322*$N$1,F322)</f>
        <v/>
      </c>
      <c r="J322" s="9">
        <f>IF(D322="USD",G322*$N$1,G322)</f>
        <v/>
      </c>
      <c r="K322" s="9">
        <f>H322+I322</f>
        <v/>
      </c>
    </row>
    <row r="323">
      <c r="A323" s="8" t="n">
        <v>46030</v>
      </c>
      <c r="B323" t="inlineStr">
        <is>
          <t>2026-W02</t>
        </is>
      </c>
      <c r="C323" t="inlineStr">
        <is>
          <t>Adyen</t>
        </is>
      </c>
      <c r="D323" t="inlineStr">
        <is>
          <t>EUR</t>
        </is>
      </c>
      <c r="E323" s="9" t="n">
        <v>0</v>
      </c>
      <c r="F323" s="9" t="n">
        <v>0</v>
      </c>
      <c r="G323" s="9" t="n">
        <v>-240159.67</v>
      </c>
      <c r="H323" s="9">
        <f>IF(D323="USD",E323*$N$1,E323)</f>
        <v/>
      </c>
      <c r="I323" s="9">
        <f>IF(D323="USD",F323*$N$1,F323)</f>
        <v/>
      </c>
      <c r="J323" s="9">
        <f>IF(D323="USD",G323*$N$1,G323)</f>
        <v/>
      </c>
      <c r="K323" s="9">
        <f>H323+I323</f>
        <v/>
      </c>
    </row>
    <row r="324">
      <c r="A324" s="8" t="n">
        <v>46030</v>
      </c>
      <c r="B324" t="inlineStr">
        <is>
          <t>2026-W02</t>
        </is>
      </c>
      <c r="C324" t="inlineStr">
        <is>
          <t>Adyen</t>
        </is>
      </c>
      <c r="D324" t="inlineStr">
        <is>
          <t>EUR</t>
        </is>
      </c>
      <c r="E324" s="9" t="n">
        <v>259627.74</v>
      </c>
      <c r="F324" s="9" t="n">
        <v>-5592.969999999972</v>
      </c>
      <c r="G324" s="9" t="n">
        <v>0</v>
      </c>
      <c r="H324" s="9">
        <f>IF(D324="USD",E324*$N$1,E324)</f>
        <v/>
      </c>
      <c r="I324" s="9">
        <f>IF(D324="USD",F324*$N$1,F324)</f>
        <v/>
      </c>
      <c r="J324" s="9">
        <f>IF(D324="USD",G324*$N$1,G324)</f>
        <v/>
      </c>
      <c r="K324" s="9">
        <f>H324+I324</f>
        <v/>
      </c>
    </row>
    <row r="325">
      <c r="A325" s="8" t="n">
        <v>46030</v>
      </c>
      <c r="B325" t="inlineStr">
        <is>
          <t>2026-W02</t>
        </is>
      </c>
      <c r="C325" t="inlineStr">
        <is>
          <t>Adyen</t>
        </is>
      </c>
      <c r="D325" t="inlineStr">
        <is>
          <t>EUR</t>
        </is>
      </c>
      <c r="E325" s="9" t="n">
        <v>33916.6</v>
      </c>
      <c r="F325" s="9" t="n">
        <v>0</v>
      </c>
      <c r="G325" s="9" t="n">
        <v>0</v>
      </c>
      <c r="H325" s="9">
        <f>IF(D325="USD",E325*$N$1,E325)</f>
        <v/>
      </c>
      <c r="I325" s="9">
        <f>IF(D325="USD",F325*$N$1,F325)</f>
        <v/>
      </c>
      <c r="J325" s="9">
        <f>IF(D325="USD",G325*$N$1,G325)</f>
        <v/>
      </c>
      <c r="K325" s="9">
        <f>H325+I325</f>
        <v/>
      </c>
    </row>
    <row r="326">
      <c r="A326" s="8" t="n">
        <v>46030</v>
      </c>
      <c r="B326" t="inlineStr">
        <is>
          <t>2026-W02</t>
        </is>
      </c>
      <c r="C326" t="inlineStr">
        <is>
          <t>Nuvei</t>
        </is>
      </c>
      <c r="D326" t="inlineStr">
        <is>
          <t>EUR</t>
        </is>
      </c>
      <c r="E326" s="9" t="n">
        <v>0</v>
      </c>
      <c r="F326" s="9" t="n">
        <v>0</v>
      </c>
      <c r="G326" s="9" t="n">
        <v>-600912.48</v>
      </c>
      <c r="H326" s="9">
        <f>IF(D326="USD",E326*$N$1,E326)</f>
        <v/>
      </c>
      <c r="I326" s="9">
        <f>IF(D326="USD",F326*$N$1,F326)</f>
        <v/>
      </c>
      <c r="J326" s="9">
        <f>IF(D326="USD",G326*$N$1,G326)</f>
        <v/>
      </c>
      <c r="K326" s="9">
        <f>H326+I326</f>
        <v/>
      </c>
    </row>
    <row r="327">
      <c r="A327" s="8" t="n">
        <v>46030</v>
      </c>
      <c r="B327" t="inlineStr">
        <is>
          <t>2026-W02</t>
        </is>
      </c>
      <c r="C327" t="inlineStr">
        <is>
          <t>Nuvei</t>
        </is>
      </c>
      <c r="D327" t="inlineStr">
        <is>
          <t>EUR</t>
        </is>
      </c>
      <c r="E327" s="9" t="n">
        <v>0</v>
      </c>
      <c r="F327" s="9" t="n">
        <v>0</v>
      </c>
      <c r="G327" s="9" t="n">
        <v>-73272.27</v>
      </c>
      <c r="H327" s="9">
        <f>IF(D327="USD",E327*$N$1,E327)</f>
        <v/>
      </c>
      <c r="I327" s="9">
        <f>IF(D327="USD",F327*$N$1,F327)</f>
        <v/>
      </c>
      <c r="J327" s="9">
        <f>IF(D327="USD",G327*$N$1,G327)</f>
        <v/>
      </c>
      <c r="K327" s="9">
        <f>H327+I327</f>
        <v/>
      </c>
    </row>
    <row r="328">
      <c r="A328" s="8" t="n">
        <v>46030</v>
      </c>
      <c r="B328" t="inlineStr">
        <is>
          <t>2026-W02</t>
        </is>
      </c>
      <c r="C328" t="inlineStr">
        <is>
          <t>Nuvei</t>
        </is>
      </c>
      <c r="D328" t="inlineStr">
        <is>
          <t>EUR</t>
        </is>
      </c>
      <c r="E328" s="9" t="n">
        <v>771994.0699999999</v>
      </c>
      <c r="F328" s="9" t="n">
        <v>-9640.719999999999</v>
      </c>
      <c r="G328" s="9" t="n">
        <v>0</v>
      </c>
      <c r="H328" s="9">
        <f>IF(D328="USD",E328*$N$1,E328)</f>
        <v/>
      </c>
      <c r="I328" s="9">
        <f>IF(D328="USD",F328*$N$1,F328)</f>
        <v/>
      </c>
      <c r="J328" s="9">
        <f>IF(D328="USD",G328*$N$1,G328)</f>
        <v/>
      </c>
      <c r="K328" s="9">
        <f>H328+I328</f>
        <v/>
      </c>
    </row>
    <row r="329">
      <c r="A329" s="8" t="n">
        <v>46030</v>
      </c>
      <c r="B329" t="inlineStr">
        <is>
          <t>2026-W02</t>
        </is>
      </c>
      <c r="C329" t="inlineStr">
        <is>
          <t>Nuvei</t>
        </is>
      </c>
      <c r="D329" t="inlineStr">
        <is>
          <t>EUR</t>
        </is>
      </c>
      <c r="E329" s="9" t="n">
        <v>66283.12</v>
      </c>
      <c r="F329" s="9" t="n">
        <v>-1756.13</v>
      </c>
      <c r="G329" s="9" t="n">
        <v>0</v>
      </c>
      <c r="H329" s="9">
        <f>IF(D329="USD",E329*$N$1,E329)</f>
        <v/>
      </c>
      <c r="I329" s="9">
        <f>IF(D329="USD",F329*$N$1,F329)</f>
        <v/>
      </c>
      <c r="J329" s="9">
        <f>IF(D329="USD",G329*$N$1,G329)</f>
        <v/>
      </c>
      <c r="K329" s="9">
        <f>H329+I329</f>
        <v/>
      </c>
    </row>
    <row r="330">
      <c r="A330" s="8" t="n">
        <v>46031</v>
      </c>
      <c r="B330" t="inlineStr">
        <is>
          <t>2026-W02</t>
        </is>
      </c>
      <c r="C330" t="inlineStr">
        <is>
          <t>Adyen</t>
        </is>
      </c>
      <c r="D330" t="inlineStr">
        <is>
          <t>EUR</t>
        </is>
      </c>
      <c r="E330" s="9" t="n">
        <v>0</v>
      </c>
      <c r="F330" s="9" t="n">
        <v>0</v>
      </c>
      <c r="G330" s="9" t="n">
        <v>-337614.86</v>
      </c>
      <c r="H330" s="9">
        <f>IF(D330="USD",E330*$N$1,E330)</f>
        <v/>
      </c>
      <c r="I330" s="9">
        <f>IF(D330="USD",F330*$N$1,F330)</f>
        <v/>
      </c>
      <c r="J330" s="9">
        <f>IF(D330="USD",G330*$N$1,G330)</f>
        <v/>
      </c>
      <c r="K330" s="9">
        <f>H330+I330</f>
        <v/>
      </c>
    </row>
    <row r="331">
      <c r="A331" s="8" t="n">
        <v>46031</v>
      </c>
      <c r="B331" t="inlineStr">
        <is>
          <t>2026-W02</t>
        </is>
      </c>
      <c r="C331" t="inlineStr">
        <is>
          <t>Adyen</t>
        </is>
      </c>
      <c r="D331" t="inlineStr">
        <is>
          <t>EUR</t>
        </is>
      </c>
      <c r="E331" s="9" t="n">
        <v>286860.16</v>
      </c>
      <c r="F331" s="9" t="n">
        <v>-8164.670000000042</v>
      </c>
      <c r="G331" s="9" t="n">
        <v>0</v>
      </c>
      <c r="H331" s="9">
        <f>IF(D331="USD",E331*$N$1,E331)</f>
        <v/>
      </c>
      <c r="I331" s="9">
        <f>IF(D331="USD",F331*$N$1,F331)</f>
        <v/>
      </c>
      <c r="J331" s="9">
        <f>IF(D331="USD",G331*$N$1,G331)</f>
        <v/>
      </c>
      <c r="K331" s="9">
        <f>H331+I331</f>
        <v/>
      </c>
    </row>
    <row r="332">
      <c r="A332" s="8" t="n">
        <v>46031</v>
      </c>
      <c r="B332" t="inlineStr">
        <is>
          <t>2026-W02</t>
        </is>
      </c>
      <c r="C332" t="inlineStr">
        <is>
          <t>Adyen</t>
        </is>
      </c>
      <c r="D332" t="inlineStr">
        <is>
          <t>EUR</t>
        </is>
      </c>
      <c r="E332" s="9" t="n">
        <v>37627.62</v>
      </c>
      <c r="F332" s="9" t="n">
        <v>0</v>
      </c>
      <c r="G332" s="9" t="n">
        <v>0</v>
      </c>
      <c r="H332" s="9">
        <f>IF(D332="USD",E332*$N$1,E332)</f>
        <v/>
      </c>
      <c r="I332" s="9">
        <f>IF(D332="USD",F332*$N$1,F332)</f>
        <v/>
      </c>
      <c r="J332" s="9">
        <f>IF(D332="USD",G332*$N$1,G332)</f>
        <v/>
      </c>
      <c r="K332" s="9">
        <f>H332+I332</f>
        <v/>
      </c>
    </row>
    <row r="333">
      <c r="A333" s="8" t="n">
        <v>46031</v>
      </c>
      <c r="B333" t="inlineStr">
        <is>
          <t>2026-W02</t>
        </is>
      </c>
      <c r="C333" t="inlineStr">
        <is>
          <t>Nuvei</t>
        </is>
      </c>
      <c r="D333" t="inlineStr">
        <is>
          <t>EUR</t>
        </is>
      </c>
      <c r="E333" s="9" t="n">
        <v>0</v>
      </c>
      <c r="F333" s="9" t="n">
        <v>0</v>
      </c>
      <c r="G333" s="9" t="n">
        <v>-1848044.44</v>
      </c>
      <c r="H333" s="9">
        <f>IF(D333="USD",E333*$N$1,E333)</f>
        <v/>
      </c>
      <c r="I333" s="9">
        <f>IF(D333="USD",F333*$N$1,F333)</f>
        <v/>
      </c>
      <c r="J333" s="9">
        <f>IF(D333="USD",G333*$N$1,G333)</f>
        <v/>
      </c>
      <c r="K333" s="9">
        <f>H333+I333</f>
        <v/>
      </c>
    </row>
    <row r="334">
      <c r="A334" s="8" t="n">
        <v>46031</v>
      </c>
      <c r="B334" t="inlineStr">
        <is>
          <t>2026-W02</t>
        </is>
      </c>
      <c r="C334" t="inlineStr">
        <is>
          <t>Nuvei</t>
        </is>
      </c>
      <c r="D334" t="inlineStr">
        <is>
          <t>EUR</t>
        </is>
      </c>
      <c r="E334" s="9" t="n">
        <v>0</v>
      </c>
      <c r="F334" s="9" t="n">
        <v>0</v>
      </c>
      <c r="G334" s="9" t="n">
        <v>-193826.27</v>
      </c>
      <c r="H334" s="9">
        <f>IF(D334="USD",E334*$N$1,E334)</f>
        <v/>
      </c>
      <c r="I334" s="9">
        <f>IF(D334="USD",F334*$N$1,F334)</f>
        <v/>
      </c>
      <c r="J334" s="9">
        <f>IF(D334="USD",G334*$N$1,G334)</f>
        <v/>
      </c>
      <c r="K334" s="9">
        <f>H334+I334</f>
        <v/>
      </c>
    </row>
    <row r="335">
      <c r="A335" s="8" t="n">
        <v>46031</v>
      </c>
      <c r="B335" t="inlineStr">
        <is>
          <t>2026-W02</t>
        </is>
      </c>
      <c r="C335" t="inlineStr">
        <is>
          <t>Nuvei</t>
        </is>
      </c>
      <c r="D335" t="inlineStr">
        <is>
          <t>EUR</t>
        </is>
      </c>
      <c r="E335" s="9" t="n">
        <v>689589.58</v>
      </c>
      <c r="F335" s="9" t="n">
        <v>-8665.77</v>
      </c>
      <c r="G335" s="9" t="n">
        <v>0</v>
      </c>
      <c r="H335" s="9">
        <f>IF(D335="USD",E335*$N$1,E335)</f>
        <v/>
      </c>
      <c r="I335" s="9">
        <f>IF(D335="USD",F335*$N$1,F335)</f>
        <v/>
      </c>
      <c r="J335" s="9">
        <f>IF(D335="USD",G335*$N$1,G335)</f>
        <v/>
      </c>
      <c r="K335" s="9">
        <f>H335+I335</f>
        <v/>
      </c>
    </row>
    <row r="336">
      <c r="A336" s="8" t="n">
        <v>46031</v>
      </c>
      <c r="B336" t="inlineStr">
        <is>
          <t>2026-W02</t>
        </is>
      </c>
      <c r="C336" t="inlineStr">
        <is>
          <t>Nuvei</t>
        </is>
      </c>
      <c r="D336" t="inlineStr">
        <is>
          <t>EUR</t>
        </is>
      </c>
      <c r="E336" s="9" t="n">
        <v>45681.73</v>
      </c>
      <c r="F336" s="9" t="n">
        <v>-1232.95</v>
      </c>
      <c r="G336" s="9" t="n">
        <v>0</v>
      </c>
      <c r="H336" s="9">
        <f>IF(D336="USD",E336*$N$1,E336)</f>
        <v/>
      </c>
      <c r="I336" s="9">
        <f>IF(D336="USD",F336*$N$1,F336)</f>
        <v/>
      </c>
      <c r="J336" s="9">
        <f>IF(D336="USD",G336*$N$1,G336)</f>
        <v/>
      </c>
      <c r="K336" s="9">
        <f>H336+I336</f>
        <v/>
      </c>
    </row>
    <row r="337">
      <c r="A337" s="8" t="n">
        <v>46032</v>
      </c>
      <c r="B337" t="inlineStr">
        <is>
          <t>2026-W02</t>
        </is>
      </c>
      <c r="C337" t="inlineStr">
        <is>
          <t>Adyen</t>
        </is>
      </c>
      <c r="D337" t="inlineStr">
        <is>
          <t>EUR</t>
        </is>
      </c>
      <c r="E337" s="9" t="n">
        <v>171355.06</v>
      </c>
      <c r="F337" s="9" t="n">
        <v>0</v>
      </c>
      <c r="G337" s="9" t="n">
        <v>0</v>
      </c>
      <c r="H337" s="9">
        <f>IF(D337="USD",E337*$N$1,E337)</f>
        <v/>
      </c>
      <c r="I337" s="9">
        <f>IF(D337="USD",F337*$N$1,F337)</f>
        <v/>
      </c>
      <c r="J337" s="9">
        <f>IF(D337="USD",G337*$N$1,G337)</f>
        <v/>
      </c>
      <c r="K337" s="9">
        <f>H337+I337</f>
        <v/>
      </c>
    </row>
    <row r="338">
      <c r="A338" s="8" t="n">
        <v>46032</v>
      </c>
      <c r="B338" t="inlineStr">
        <is>
          <t>2026-W02</t>
        </is>
      </c>
      <c r="C338" t="inlineStr">
        <is>
          <t>Adyen</t>
        </is>
      </c>
      <c r="D338" t="inlineStr">
        <is>
          <t>EUR</t>
        </is>
      </c>
      <c r="E338" s="9" t="n">
        <v>23314.92</v>
      </c>
      <c r="F338" s="9" t="n">
        <v>0</v>
      </c>
      <c r="G338" s="9" t="n">
        <v>0</v>
      </c>
      <c r="H338" s="9">
        <f>IF(D338="USD",E338*$N$1,E338)</f>
        <v/>
      </c>
      <c r="I338" s="9">
        <f>IF(D338="USD",F338*$N$1,F338)</f>
        <v/>
      </c>
      <c r="J338" s="9">
        <f>IF(D338="USD",G338*$N$1,G338)</f>
        <v/>
      </c>
      <c r="K338" s="9">
        <f>H338+I338</f>
        <v/>
      </c>
    </row>
    <row r="339">
      <c r="A339" s="8" t="n">
        <v>46032</v>
      </c>
      <c r="B339" t="inlineStr">
        <is>
          <t>2026-W02</t>
        </is>
      </c>
      <c r="C339" t="inlineStr">
        <is>
          <t>Nuvei</t>
        </is>
      </c>
      <c r="D339" t="inlineStr">
        <is>
          <t>EUR</t>
        </is>
      </c>
      <c r="E339" s="9" t="n">
        <v>678118.33</v>
      </c>
      <c r="F339" s="9" t="n">
        <v>-8460.290000000001</v>
      </c>
      <c r="G339" s="9" t="n">
        <v>0</v>
      </c>
      <c r="H339" s="9">
        <f>IF(D339="USD",E339*$N$1,E339)</f>
        <v/>
      </c>
      <c r="I339" s="9">
        <f>IF(D339="USD",F339*$N$1,F339)</f>
        <v/>
      </c>
      <c r="J339" s="9">
        <f>IF(D339="USD",G339*$N$1,G339)</f>
        <v/>
      </c>
      <c r="K339" s="9">
        <f>H339+I339</f>
        <v/>
      </c>
    </row>
    <row r="340">
      <c r="A340" s="8" t="n">
        <v>46032</v>
      </c>
      <c r="B340" t="inlineStr">
        <is>
          <t>2026-W02</t>
        </is>
      </c>
      <c r="C340" t="inlineStr">
        <is>
          <t>Nuvei</t>
        </is>
      </c>
      <c r="D340" t="inlineStr">
        <is>
          <t>EUR</t>
        </is>
      </c>
      <c r="E340" s="9" t="n">
        <v>59058.68</v>
      </c>
      <c r="F340" s="9" t="n">
        <v>-1482.45</v>
      </c>
      <c r="G340" s="9" t="n">
        <v>0</v>
      </c>
      <c r="H340" s="9">
        <f>IF(D340="USD",E340*$N$1,E340)</f>
        <v/>
      </c>
      <c r="I340" s="9">
        <f>IF(D340="USD",F340*$N$1,F340)</f>
        <v/>
      </c>
      <c r="J340" s="9">
        <f>IF(D340="USD",G340*$N$1,G340)</f>
        <v/>
      </c>
      <c r="K340" s="9">
        <f>H340+I340</f>
        <v/>
      </c>
    </row>
    <row r="341">
      <c r="A341" s="8" t="n">
        <v>46033</v>
      </c>
      <c r="B341" t="inlineStr">
        <is>
          <t>2026-W02</t>
        </is>
      </c>
      <c r="C341" t="inlineStr">
        <is>
          <t>Adyen</t>
        </is>
      </c>
      <c r="D341" t="inlineStr">
        <is>
          <t>EUR</t>
        </is>
      </c>
      <c r="E341" s="9" t="n">
        <v>172835.23</v>
      </c>
      <c r="F341" s="9" t="n">
        <v>0</v>
      </c>
      <c r="G341" s="9" t="n">
        <v>0</v>
      </c>
      <c r="H341" s="9">
        <f>IF(D341="USD",E341*$N$1,E341)</f>
        <v/>
      </c>
      <c r="I341" s="9">
        <f>IF(D341="USD",F341*$N$1,F341)</f>
        <v/>
      </c>
      <c r="J341" s="9">
        <f>IF(D341="USD",G341*$N$1,G341)</f>
        <v/>
      </c>
      <c r="K341" s="9">
        <f>H341+I341</f>
        <v/>
      </c>
    </row>
    <row r="342">
      <c r="A342" s="8" t="n">
        <v>46033</v>
      </c>
      <c r="B342" t="inlineStr">
        <is>
          <t>2026-W02</t>
        </is>
      </c>
      <c r="C342" t="inlineStr">
        <is>
          <t>Adyen</t>
        </is>
      </c>
      <c r="D342" t="inlineStr">
        <is>
          <t>EUR</t>
        </is>
      </c>
      <c r="E342" s="9" t="n">
        <v>17611.74</v>
      </c>
      <c r="F342" s="9" t="n">
        <v>0</v>
      </c>
      <c r="G342" s="9" t="n">
        <v>0</v>
      </c>
      <c r="H342" s="9">
        <f>IF(D342="USD",E342*$N$1,E342)</f>
        <v/>
      </c>
      <c r="I342" s="9">
        <f>IF(D342="USD",F342*$N$1,F342)</f>
        <v/>
      </c>
      <c r="J342" s="9">
        <f>IF(D342="USD",G342*$N$1,G342)</f>
        <v/>
      </c>
      <c r="K342" s="9">
        <f>H342+I342</f>
        <v/>
      </c>
    </row>
    <row r="343">
      <c r="A343" s="8" t="n">
        <v>46033</v>
      </c>
      <c r="B343" t="inlineStr">
        <is>
          <t>2026-W02</t>
        </is>
      </c>
      <c r="C343" t="inlineStr">
        <is>
          <t>Nuvei</t>
        </is>
      </c>
      <c r="D343" t="inlineStr">
        <is>
          <t>EUR</t>
        </is>
      </c>
      <c r="E343" s="9" t="n">
        <v>798576.12</v>
      </c>
      <c r="F343" s="9" t="n">
        <v>-9797.780000000001</v>
      </c>
      <c r="G343" s="9" t="n">
        <v>0</v>
      </c>
      <c r="H343" s="9">
        <f>IF(D343="USD",E343*$N$1,E343)</f>
        <v/>
      </c>
      <c r="I343" s="9">
        <f>IF(D343="USD",F343*$N$1,F343)</f>
        <v/>
      </c>
      <c r="J343" s="9">
        <f>IF(D343="USD",G343*$N$1,G343)</f>
        <v/>
      </c>
      <c r="K343" s="9">
        <f>H343+I343</f>
        <v/>
      </c>
    </row>
    <row r="344">
      <c r="A344" s="8" t="n">
        <v>46033</v>
      </c>
      <c r="B344" t="inlineStr">
        <is>
          <t>2026-W02</t>
        </is>
      </c>
      <c r="C344" t="inlineStr">
        <is>
          <t>Nuvei</t>
        </is>
      </c>
      <c r="D344" t="inlineStr">
        <is>
          <t>EUR</t>
        </is>
      </c>
      <c r="E344" s="9" t="n">
        <v>64604.6</v>
      </c>
      <c r="F344" s="9" t="n">
        <v>-1662.09</v>
      </c>
      <c r="G344" s="9" t="n">
        <v>0</v>
      </c>
      <c r="H344" s="9">
        <f>IF(D344="USD",E344*$N$1,E344)</f>
        <v/>
      </c>
      <c r="I344" s="9">
        <f>IF(D344="USD",F344*$N$1,F344)</f>
        <v/>
      </c>
      <c r="J344" s="9">
        <f>IF(D344="USD",G344*$N$1,G344)</f>
        <v/>
      </c>
      <c r="K344" s="9">
        <f>H344+I344</f>
        <v/>
      </c>
    </row>
    <row r="345">
      <c r="A345" s="8" t="n">
        <v>46034</v>
      </c>
      <c r="B345" t="inlineStr">
        <is>
          <t>2026-W03</t>
        </is>
      </c>
      <c r="C345" t="inlineStr">
        <is>
          <t>Adyen</t>
        </is>
      </c>
      <c r="D345" t="inlineStr">
        <is>
          <t>EUR</t>
        </is>
      </c>
      <c r="E345" s="9" t="n">
        <v>0</v>
      </c>
      <c r="F345" s="9" t="n">
        <v>0</v>
      </c>
      <c r="G345" s="9" t="n">
        <v>-287951.37</v>
      </c>
      <c r="H345" s="9">
        <f>IF(D345="USD",E345*$N$1,E345)</f>
        <v/>
      </c>
      <c r="I345" s="9">
        <f>IF(D345="USD",F345*$N$1,F345)</f>
        <v/>
      </c>
      <c r="J345" s="9">
        <f>IF(D345="USD",G345*$N$1,G345)</f>
        <v/>
      </c>
      <c r="K345" s="9">
        <f>H345+I345</f>
        <v/>
      </c>
    </row>
    <row r="346">
      <c r="A346" s="8" t="n">
        <v>46034</v>
      </c>
      <c r="B346" t="inlineStr">
        <is>
          <t>2026-W03</t>
        </is>
      </c>
      <c r="C346" t="inlineStr">
        <is>
          <t>Adyen</t>
        </is>
      </c>
      <c r="D346" t="inlineStr">
        <is>
          <t>EUR</t>
        </is>
      </c>
      <c r="E346" s="9" t="n">
        <v>298512.32</v>
      </c>
      <c r="F346" s="9" t="n">
        <v>-3895.460000000021</v>
      </c>
      <c r="G346" s="9" t="n">
        <v>0</v>
      </c>
      <c r="H346" s="9">
        <f>IF(D346="USD",E346*$N$1,E346)</f>
        <v/>
      </c>
      <c r="I346" s="9">
        <f>IF(D346="USD",F346*$N$1,F346)</f>
        <v/>
      </c>
      <c r="J346" s="9">
        <f>IF(D346="USD",G346*$N$1,G346)</f>
        <v/>
      </c>
      <c r="K346" s="9">
        <f>H346+I346</f>
        <v/>
      </c>
    </row>
    <row r="347">
      <c r="A347" s="8" t="n">
        <v>46034</v>
      </c>
      <c r="B347" t="inlineStr">
        <is>
          <t>2026-W03</t>
        </is>
      </c>
      <c r="C347" t="inlineStr">
        <is>
          <t>Adyen</t>
        </is>
      </c>
      <c r="D347" t="inlineStr">
        <is>
          <t>EUR</t>
        </is>
      </c>
      <c r="E347" s="9" t="n">
        <v>45850.3</v>
      </c>
      <c r="F347" s="9" t="n">
        <v>0</v>
      </c>
      <c r="G347" s="9" t="n">
        <v>0</v>
      </c>
      <c r="H347" s="9">
        <f>IF(D347="USD",E347*$N$1,E347)</f>
        <v/>
      </c>
      <c r="I347" s="9">
        <f>IF(D347="USD",F347*$N$1,F347)</f>
        <v/>
      </c>
      <c r="J347" s="9">
        <f>IF(D347="USD",G347*$N$1,G347)</f>
        <v/>
      </c>
      <c r="K347" s="9">
        <f>H347+I347</f>
        <v/>
      </c>
    </row>
    <row r="348">
      <c r="A348" s="8" t="n">
        <v>46034</v>
      </c>
      <c r="B348" t="inlineStr">
        <is>
          <t>2026-W03</t>
        </is>
      </c>
      <c r="C348" t="inlineStr">
        <is>
          <t>Nuvei</t>
        </is>
      </c>
      <c r="D348" t="inlineStr">
        <is>
          <t>EUR</t>
        </is>
      </c>
      <c r="E348" s="9" t="n">
        <v>0</v>
      </c>
      <c r="F348" s="9" t="n">
        <v>0</v>
      </c>
      <c r="G348" s="9" t="n">
        <v>-660858.8199999999</v>
      </c>
      <c r="H348" s="9">
        <f>IF(D348="USD",E348*$N$1,E348)</f>
        <v/>
      </c>
      <c r="I348" s="9">
        <f>IF(D348="USD",F348*$N$1,F348)</f>
        <v/>
      </c>
      <c r="J348" s="9">
        <f>IF(D348="USD",G348*$N$1,G348)</f>
        <v/>
      </c>
      <c r="K348" s="9">
        <f>H348+I348</f>
        <v/>
      </c>
    </row>
    <row r="349">
      <c r="A349" s="8" t="n">
        <v>46034</v>
      </c>
      <c r="B349" t="inlineStr">
        <is>
          <t>2026-W03</t>
        </is>
      </c>
      <c r="C349" t="inlineStr">
        <is>
          <t>Nuvei</t>
        </is>
      </c>
      <c r="D349" t="inlineStr">
        <is>
          <t>EUR</t>
        </is>
      </c>
      <c r="E349" s="9" t="n">
        <v>0</v>
      </c>
      <c r="F349" s="9" t="n">
        <v>0</v>
      </c>
      <c r="G349" s="9" t="n">
        <v>-72902.25999999999</v>
      </c>
      <c r="H349" s="9">
        <f>IF(D349="USD",E349*$N$1,E349)</f>
        <v/>
      </c>
      <c r="I349" s="9">
        <f>IF(D349="USD",F349*$N$1,F349)</f>
        <v/>
      </c>
      <c r="J349" s="9">
        <f>IF(D349="USD",G349*$N$1,G349)</f>
        <v/>
      </c>
      <c r="K349" s="9">
        <f>H349+I349</f>
        <v/>
      </c>
    </row>
    <row r="350">
      <c r="A350" s="8" t="n">
        <v>46034</v>
      </c>
      <c r="B350" t="inlineStr">
        <is>
          <t>2026-W03</t>
        </is>
      </c>
      <c r="C350" t="inlineStr">
        <is>
          <t>Nuvei</t>
        </is>
      </c>
      <c r="D350" t="inlineStr">
        <is>
          <t>EUR</t>
        </is>
      </c>
      <c r="E350" s="9" t="n">
        <v>901272.27</v>
      </c>
      <c r="F350" s="9" t="n">
        <v>-11180.89</v>
      </c>
      <c r="G350" s="9" t="n">
        <v>0</v>
      </c>
      <c r="H350" s="9">
        <f>IF(D350="USD",E350*$N$1,E350)</f>
        <v/>
      </c>
      <c r="I350" s="9">
        <f>IF(D350="USD",F350*$N$1,F350)</f>
        <v/>
      </c>
      <c r="J350" s="9">
        <f>IF(D350="USD",G350*$N$1,G350)</f>
        <v/>
      </c>
      <c r="K350" s="9">
        <f>H350+I350</f>
        <v/>
      </c>
    </row>
    <row r="351">
      <c r="A351" s="8" t="n">
        <v>46034</v>
      </c>
      <c r="B351" t="inlineStr">
        <is>
          <t>2026-W03</t>
        </is>
      </c>
      <c r="C351" t="inlineStr">
        <is>
          <t>Nuvei</t>
        </is>
      </c>
      <c r="D351" t="inlineStr">
        <is>
          <t>EUR</t>
        </is>
      </c>
      <c r="E351" s="9" t="n">
        <v>91086.13</v>
      </c>
      <c r="F351" s="9" t="n">
        <v>-2364.82</v>
      </c>
      <c r="G351" s="9" t="n">
        <v>0</v>
      </c>
      <c r="H351" s="9">
        <f>IF(D351="USD",E351*$N$1,E351)</f>
        <v/>
      </c>
      <c r="I351" s="9">
        <f>IF(D351="USD",F351*$N$1,F351)</f>
        <v/>
      </c>
      <c r="J351" s="9">
        <f>IF(D351="USD",G351*$N$1,G351)</f>
        <v/>
      </c>
      <c r="K351" s="9">
        <f>H351+I351</f>
        <v/>
      </c>
    </row>
    <row r="352">
      <c r="A352" s="8" t="n">
        <v>46035</v>
      </c>
      <c r="B352" t="inlineStr">
        <is>
          <t>2026-W03</t>
        </is>
      </c>
      <c r="C352" t="inlineStr">
        <is>
          <t>Adyen</t>
        </is>
      </c>
      <c r="D352" t="inlineStr">
        <is>
          <t>EUR</t>
        </is>
      </c>
      <c r="E352" s="9" t="n">
        <v>0</v>
      </c>
      <c r="F352" s="9" t="n">
        <v>0</v>
      </c>
      <c r="G352" s="9" t="n">
        <v>-701440.0599999999</v>
      </c>
      <c r="H352" s="9">
        <f>IF(D352="USD",E352*$N$1,E352)</f>
        <v/>
      </c>
      <c r="I352" s="9">
        <f>IF(D352="USD",F352*$N$1,F352)</f>
        <v/>
      </c>
      <c r="J352" s="9">
        <f>IF(D352="USD",G352*$N$1,G352)</f>
        <v/>
      </c>
      <c r="K352" s="9">
        <f>H352+I352</f>
        <v/>
      </c>
    </row>
    <row r="353">
      <c r="A353" s="8" t="n">
        <v>46035</v>
      </c>
      <c r="B353" t="inlineStr">
        <is>
          <t>2026-W03</t>
        </is>
      </c>
      <c r="C353" t="inlineStr">
        <is>
          <t>Adyen</t>
        </is>
      </c>
      <c r="D353" t="inlineStr">
        <is>
          <t>EUR</t>
        </is>
      </c>
      <c r="E353" s="9" t="n">
        <v>349189.98</v>
      </c>
      <c r="F353" s="9" t="n">
        <v>-3877.979999999981</v>
      </c>
      <c r="G353" s="9" t="n">
        <v>0</v>
      </c>
      <c r="H353" s="9">
        <f>IF(D353="USD",E353*$N$1,E353)</f>
        <v/>
      </c>
      <c r="I353" s="9">
        <f>IF(D353="USD",F353*$N$1,F353)</f>
        <v/>
      </c>
      <c r="J353" s="9">
        <f>IF(D353="USD",G353*$N$1,G353)</f>
        <v/>
      </c>
      <c r="K353" s="9">
        <f>H353+I353</f>
        <v/>
      </c>
    </row>
    <row r="354">
      <c r="A354" s="8" t="n">
        <v>46035</v>
      </c>
      <c r="B354" t="inlineStr">
        <is>
          <t>2026-W03</t>
        </is>
      </c>
      <c r="C354" t="inlineStr">
        <is>
          <t>Adyen</t>
        </is>
      </c>
      <c r="D354" t="inlineStr">
        <is>
          <t>EUR</t>
        </is>
      </c>
      <c r="E354" s="9" t="n">
        <v>48986.78</v>
      </c>
      <c r="F354" s="9" t="n">
        <v>0</v>
      </c>
      <c r="G354" s="9" t="n">
        <v>0</v>
      </c>
      <c r="H354" s="9">
        <f>IF(D354="USD",E354*$N$1,E354)</f>
        <v/>
      </c>
      <c r="I354" s="9">
        <f>IF(D354="USD",F354*$N$1,F354)</f>
        <v/>
      </c>
      <c r="J354" s="9">
        <f>IF(D354="USD",G354*$N$1,G354)</f>
        <v/>
      </c>
      <c r="K354" s="9">
        <f>H354+I354</f>
        <v/>
      </c>
    </row>
    <row r="355">
      <c r="A355" s="8" t="n">
        <v>46035</v>
      </c>
      <c r="B355" t="inlineStr">
        <is>
          <t>2026-W03</t>
        </is>
      </c>
      <c r="C355" t="inlineStr">
        <is>
          <t>Nuvei</t>
        </is>
      </c>
      <c r="D355" t="inlineStr">
        <is>
          <t>EUR</t>
        </is>
      </c>
      <c r="E355" s="9" t="n">
        <v>0</v>
      </c>
      <c r="F355" s="9" t="n">
        <v>0</v>
      </c>
      <c r="G355" s="9" t="n">
        <v>-685414.47</v>
      </c>
      <c r="H355" s="9">
        <f>IF(D355="USD",E355*$N$1,E355)</f>
        <v/>
      </c>
      <c r="I355" s="9">
        <f>IF(D355="USD",F355*$N$1,F355)</f>
        <v/>
      </c>
      <c r="J355" s="9">
        <f>IF(D355="USD",G355*$N$1,G355)</f>
        <v/>
      </c>
      <c r="K355" s="9">
        <f>H355+I355</f>
        <v/>
      </c>
    </row>
    <row r="356">
      <c r="A356" s="8" t="n">
        <v>46035</v>
      </c>
      <c r="B356" t="inlineStr">
        <is>
          <t>2026-W03</t>
        </is>
      </c>
      <c r="C356" t="inlineStr">
        <is>
          <t>Nuvei</t>
        </is>
      </c>
      <c r="D356" t="inlineStr">
        <is>
          <t>EUR</t>
        </is>
      </c>
      <c r="E356" s="9" t="n">
        <v>0</v>
      </c>
      <c r="F356" s="9" t="n">
        <v>0</v>
      </c>
      <c r="G356" s="9" t="n">
        <v>-67135.98</v>
      </c>
      <c r="H356" s="9">
        <f>IF(D356="USD",E356*$N$1,E356)</f>
        <v/>
      </c>
      <c r="I356" s="9">
        <f>IF(D356="USD",F356*$N$1,F356)</f>
        <v/>
      </c>
      <c r="J356" s="9">
        <f>IF(D356="USD",G356*$N$1,G356)</f>
        <v/>
      </c>
      <c r="K356" s="9">
        <f>H356+I356</f>
        <v/>
      </c>
    </row>
    <row r="357">
      <c r="A357" s="8" t="n">
        <v>46035</v>
      </c>
      <c r="B357" t="inlineStr">
        <is>
          <t>2026-W03</t>
        </is>
      </c>
      <c r="C357" t="inlineStr">
        <is>
          <t>Nuvei</t>
        </is>
      </c>
      <c r="D357" t="inlineStr">
        <is>
          <t>EUR</t>
        </is>
      </c>
      <c r="E357" s="9" t="n">
        <v>837502.75</v>
      </c>
      <c r="F357" s="9" t="n">
        <v>-10316.25</v>
      </c>
      <c r="G357" s="9" t="n">
        <v>0</v>
      </c>
      <c r="H357" s="9">
        <f>IF(D357="USD",E357*$N$1,E357)</f>
        <v/>
      </c>
      <c r="I357" s="9">
        <f>IF(D357="USD",F357*$N$1,F357)</f>
        <v/>
      </c>
      <c r="J357" s="9">
        <f>IF(D357="USD",G357*$N$1,G357)</f>
        <v/>
      </c>
      <c r="K357" s="9">
        <f>H357+I357</f>
        <v/>
      </c>
    </row>
    <row r="358">
      <c r="A358" s="8" t="n">
        <v>46035</v>
      </c>
      <c r="B358" t="inlineStr">
        <is>
          <t>2026-W03</t>
        </is>
      </c>
      <c r="C358" t="inlineStr">
        <is>
          <t>Nuvei</t>
        </is>
      </c>
      <c r="D358" t="inlineStr">
        <is>
          <t>EUR</t>
        </is>
      </c>
      <c r="E358" s="9" t="n">
        <v>76246.12</v>
      </c>
      <c r="F358" s="9" t="n">
        <v>-1961.57</v>
      </c>
      <c r="G358" s="9" t="n">
        <v>0</v>
      </c>
      <c r="H358" s="9">
        <f>IF(D358="USD",E358*$N$1,E358)</f>
        <v/>
      </c>
      <c r="I358" s="9">
        <f>IF(D358="USD",F358*$N$1,F358)</f>
        <v/>
      </c>
      <c r="J358" s="9">
        <f>IF(D358="USD",G358*$N$1,G358)</f>
        <v/>
      </c>
      <c r="K358" s="9">
        <f>H358+I358</f>
        <v/>
      </c>
    </row>
    <row r="359">
      <c r="A359" s="8" t="n">
        <v>46036</v>
      </c>
      <c r="B359" t="inlineStr">
        <is>
          <t>2026-W03</t>
        </is>
      </c>
      <c r="C359" t="inlineStr">
        <is>
          <t>Adyen</t>
        </is>
      </c>
      <c r="D359" t="inlineStr">
        <is>
          <t>EUR</t>
        </is>
      </c>
      <c r="E359" s="9" t="n">
        <v>0</v>
      </c>
      <c r="F359" s="9" t="n">
        <v>0</v>
      </c>
      <c r="G359" s="9" t="n">
        <v>-340467.16</v>
      </c>
      <c r="H359" s="9">
        <f>IF(D359="USD",E359*$N$1,E359)</f>
        <v/>
      </c>
      <c r="I359" s="9">
        <f>IF(D359="USD",F359*$N$1,F359)</f>
        <v/>
      </c>
      <c r="J359" s="9">
        <f>IF(D359="USD",G359*$N$1,G359)</f>
        <v/>
      </c>
      <c r="K359" s="9">
        <f>H359+I359</f>
        <v/>
      </c>
    </row>
    <row r="360">
      <c r="A360" s="8" t="n">
        <v>46036</v>
      </c>
      <c r="B360" t="inlineStr">
        <is>
          <t>2026-W03</t>
        </is>
      </c>
      <c r="C360" t="inlineStr">
        <is>
          <t>Adyen</t>
        </is>
      </c>
      <c r="D360" t="inlineStr">
        <is>
          <t>EUR</t>
        </is>
      </c>
      <c r="E360" s="9" t="n">
        <v>332588.33</v>
      </c>
      <c r="F360" s="9" t="n">
        <v>-3029.010000000009</v>
      </c>
      <c r="G360" s="9" t="n">
        <v>0</v>
      </c>
      <c r="H360" s="9">
        <f>IF(D360="USD",E360*$N$1,E360)</f>
        <v/>
      </c>
      <c r="I360" s="9">
        <f>IF(D360="USD",F360*$N$1,F360)</f>
        <v/>
      </c>
      <c r="J360" s="9">
        <f>IF(D360="USD",G360*$N$1,G360)</f>
        <v/>
      </c>
      <c r="K360" s="9">
        <f>H360+I360</f>
        <v/>
      </c>
    </row>
    <row r="361">
      <c r="A361" s="8" t="n">
        <v>46036</v>
      </c>
      <c r="B361" t="inlineStr">
        <is>
          <t>2026-W03</t>
        </is>
      </c>
      <c r="C361" t="inlineStr">
        <is>
          <t>Adyen</t>
        </is>
      </c>
      <c r="D361" t="inlineStr">
        <is>
          <t>EUR</t>
        </is>
      </c>
      <c r="E361" s="9" t="n">
        <v>50103.93</v>
      </c>
      <c r="F361" s="9" t="n">
        <v>0</v>
      </c>
      <c r="G361" s="9" t="n">
        <v>0</v>
      </c>
      <c r="H361" s="9">
        <f>IF(D361="USD",E361*$N$1,E361)</f>
        <v/>
      </c>
      <c r="I361" s="9">
        <f>IF(D361="USD",F361*$N$1,F361)</f>
        <v/>
      </c>
      <c r="J361" s="9">
        <f>IF(D361="USD",G361*$N$1,G361)</f>
        <v/>
      </c>
      <c r="K361" s="9">
        <f>H361+I361</f>
        <v/>
      </c>
    </row>
    <row r="362">
      <c r="A362" s="8" t="n">
        <v>46036</v>
      </c>
      <c r="B362" t="inlineStr">
        <is>
          <t>2026-W03</t>
        </is>
      </c>
      <c r="C362" t="inlineStr">
        <is>
          <t>Nuvei</t>
        </is>
      </c>
      <c r="D362" t="inlineStr">
        <is>
          <t>EUR</t>
        </is>
      </c>
      <c r="E362" s="9" t="n">
        <v>0</v>
      </c>
      <c r="F362" s="9" t="n">
        <v>0</v>
      </c>
      <c r="G362" s="9" t="n">
        <v>-762349.86</v>
      </c>
      <c r="H362" s="9">
        <f>IF(D362="USD",E362*$N$1,E362)</f>
        <v/>
      </c>
      <c r="I362" s="9">
        <f>IF(D362="USD",F362*$N$1,F362)</f>
        <v/>
      </c>
      <c r="J362" s="9">
        <f>IF(D362="USD",G362*$N$1,G362)</f>
        <v/>
      </c>
      <c r="K362" s="9">
        <f>H362+I362</f>
        <v/>
      </c>
    </row>
    <row r="363">
      <c r="A363" s="8" t="n">
        <v>46036</v>
      </c>
      <c r="B363" t="inlineStr">
        <is>
          <t>2026-W03</t>
        </is>
      </c>
      <c r="C363" t="inlineStr">
        <is>
          <t>Nuvei</t>
        </is>
      </c>
      <c r="D363" t="inlineStr">
        <is>
          <t>EUR</t>
        </is>
      </c>
      <c r="E363" s="9" t="n">
        <v>0</v>
      </c>
      <c r="F363" s="9" t="n">
        <v>0</v>
      </c>
      <c r="G363" s="9" t="n">
        <v>-64523.49</v>
      </c>
      <c r="H363" s="9">
        <f>IF(D363="USD",E363*$N$1,E363)</f>
        <v/>
      </c>
      <c r="I363" s="9">
        <f>IF(D363="USD",F363*$N$1,F363)</f>
        <v/>
      </c>
      <c r="J363" s="9">
        <f>IF(D363="USD",G363*$N$1,G363)</f>
        <v/>
      </c>
      <c r="K363" s="9">
        <f>H363+I363</f>
        <v/>
      </c>
    </row>
    <row r="364">
      <c r="A364" s="8" t="n">
        <v>46036</v>
      </c>
      <c r="B364" t="inlineStr">
        <is>
          <t>2026-W03</t>
        </is>
      </c>
      <c r="C364" t="inlineStr">
        <is>
          <t>Nuvei</t>
        </is>
      </c>
      <c r="D364" t="inlineStr">
        <is>
          <t>EUR</t>
        </is>
      </c>
      <c r="E364" s="9" t="n">
        <v>811259.86</v>
      </c>
      <c r="F364" s="9" t="n">
        <v>-10080.29</v>
      </c>
      <c r="G364" s="9" t="n">
        <v>0</v>
      </c>
      <c r="H364" s="9">
        <f>IF(D364="USD",E364*$N$1,E364)</f>
        <v/>
      </c>
      <c r="I364" s="9">
        <f>IF(D364="USD",F364*$N$1,F364)</f>
        <v/>
      </c>
      <c r="J364" s="9">
        <f>IF(D364="USD",G364*$N$1,G364)</f>
        <v/>
      </c>
      <c r="K364" s="9">
        <f>H364+I364</f>
        <v/>
      </c>
    </row>
    <row r="365">
      <c r="A365" s="8" t="n">
        <v>46036</v>
      </c>
      <c r="B365" t="inlineStr">
        <is>
          <t>2026-W03</t>
        </is>
      </c>
      <c r="C365" t="inlineStr">
        <is>
          <t>Nuvei</t>
        </is>
      </c>
      <c r="D365" t="inlineStr">
        <is>
          <t>EUR</t>
        </is>
      </c>
      <c r="E365" s="9" t="n">
        <v>90640.38</v>
      </c>
      <c r="F365" s="9" t="n">
        <v>-2370.38</v>
      </c>
      <c r="G365" s="9" t="n">
        <v>0</v>
      </c>
      <c r="H365" s="9">
        <f>IF(D365="USD",E365*$N$1,E365)</f>
        <v/>
      </c>
      <c r="I365" s="9">
        <f>IF(D365="USD",F365*$N$1,F365)</f>
        <v/>
      </c>
      <c r="J365" s="9">
        <f>IF(D365="USD",G365*$N$1,G365)</f>
        <v/>
      </c>
      <c r="K365" s="9">
        <f>H365+I365</f>
        <v/>
      </c>
    </row>
    <row r="366">
      <c r="A366" s="8" t="n">
        <v>46037</v>
      </c>
      <c r="B366" t="inlineStr">
        <is>
          <t>2026-W03</t>
        </is>
      </c>
      <c r="C366" t="inlineStr">
        <is>
          <t>Adyen</t>
        </is>
      </c>
      <c r="D366" t="inlineStr">
        <is>
          <t>EUR</t>
        </is>
      </c>
      <c r="E366" s="9" t="n">
        <v>0</v>
      </c>
      <c r="F366" s="9" t="n">
        <v>0</v>
      </c>
      <c r="G366" s="9" t="n">
        <v>-394298.78</v>
      </c>
      <c r="H366" s="9">
        <f>IF(D366="USD",E366*$N$1,E366)</f>
        <v/>
      </c>
      <c r="I366" s="9">
        <f>IF(D366="USD",F366*$N$1,F366)</f>
        <v/>
      </c>
      <c r="J366" s="9">
        <f>IF(D366="USD",G366*$N$1,G366)</f>
        <v/>
      </c>
      <c r="K366" s="9">
        <f>H366+I366</f>
        <v/>
      </c>
    </row>
    <row r="367">
      <c r="A367" s="8" t="n">
        <v>46037</v>
      </c>
      <c r="B367" t="inlineStr">
        <is>
          <t>2026-W03</t>
        </is>
      </c>
      <c r="C367" t="inlineStr">
        <is>
          <t>Adyen</t>
        </is>
      </c>
      <c r="D367" t="inlineStr">
        <is>
          <t>EUR</t>
        </is>
      </c>
      <c r="E367" s="9" t="n">
        <v>353477.34</v>
      </c>
      <c r="F367" s="9" t="n">
        <v>-2485.309999999998</v>
      </c>
      <c r="G367" s="9" t="n">
        <v>0</v>
      </c>
      <c r="H367" s="9">
        <f>IF(D367="USD",E367*$N$1,E367)</f>
        <v/>
      </c>
      <c r="I367" s="9">
        <f>IF(D367="USD",F367*$N$1,F367)</f>
        <v/>
      </c>
      <c r="J367" s="9">
        <f>IF(D367="USD",G367*$N$1,G367)</f>
        <v/>
      </c>
      <c r="K367" s="9">
        <f>H367+I367</f>
        <v/>
      </c>
    </row>
    <row r="368">
      <c r="A368" s="8" t="n">
        <v>46037</v>
      </c>
      <c r="B368" t="inlineStr">
        <is>
          <t>2026-W03</t>
        </is>
      </c>
      <c r="C368" t="inlineStr">
        <is>
          <t>Adyen</t>
        </is>
      </c>
      <c r="D368" t="inlineStr">
        <is>
          <t>EUR</t>
        </is>
      </c>
      <c r="E368" s="9" t="n">
        <v>38507.87</v>
      </c>
      <c r="F368" s="9" t="n">
        <v>0</v>
      </c>
      <c r="G368" s="9" t="n">
        <v>0</v>
      </c>
      <c r="H368" s="9">
        <f>IF(D368="USD",E368*$N$1,E368)</f>
        <v/>
      </c>
      <c r="I368" s="9">
        <f>IF(D368="USD",F368*$N$1,F368)</f>
        <v/>
      </c>
      <c r="J368" s="9">
        <f>IF(D368="USD",G368*$N$1,G368)</f>
        <v/>
      </c>
      <c r="K368" s="9">
        <f>H368+I368</f>
        <v/>
      </c>
    </row>
    <row r="369">
      <c r="A369" s="8" t="n">
        <v>46037</v>
      </c>
      <c r="B369" t="inlineStr">
        <is>
          <t>2026-W03</t>
        </is>
      </c>
      <c r="C369" t="inlineStr">
        <is>
          <t>Nuvei</t>
        </is>
      </c>
      <c r="D369" t="inlineStr">
        <is>
          <t>EUR</t>
        </is>
      </c>
      <c r="E369" s="9" t="n">
        <v>0</v>
      </c>
      <c r="F369" s="9" t="n">
        <v>0</v>
      </c>
      <c r="G369" s="9" t="n">
        <v>-680910.3100000001</v>
      </c>
      <c r="H369" s="9">
        <f>IF(D369="USD",E369*$N$1,E369)</f>
        <v/>
      </c>
      <c r="I369" s="9">
        <f>IF(D369="USD",F369*$N$1,F369)</f>
        <v/>
      </c>
      <c r="J369" s="9">
        <f>IF(D369="USD",G369*$N$1,G369)</f>
        <v/>
      </c>
      <c r="K369" s="9">
        <f>H369+I369</f>
        <v/>
      </c>
    </row>
    <row r="370">
      <c r="A370" s="8" t="n">
        <v>46037</v>
      </c>
      <c r="B370" t="inlineStr">
        <is>
          <t>2026-W03</t>
        </is>
      </c>
      <c r="C370" t="inlineStr">
        <is>
          <t>Nuvei</t>
        </is>
      </c>
      <c r="D370" t="inlineStr">
        <is>
          <t>EUR</t>
        </is>
      </c>
      <c r="E370" s="9" t="n">
        <v>0</v>
      </c>
      <c r="F370" s="9" t="n">
        <v>0</v>
      </c>
      <c r="G370" s="9" t="n">
        <v>-44435.27</v>
      </c>
      <c r="H370" s="9">
        <f>IF(D370="USD",E370*$N$1,E370)</f>
        <v/>
      </c>
      <c r="I370" s="9">
        <f>IF(D370="USD",F370*$N$1,F370)</f>
        <v/>
      </c>
      <c r="J370" s="9">
        <f>IF(D370="USD",G370*$N$1,G370)</f>
        <v/>
      </c>
      <c r="K370" s="9">
        <f>H370+I370</f>
        <v/>
      </c>
    </row>
    <row r="371">
      <c r="A371" s="8" t="n">
        <v>46037</v>
      </c>
      <c r="B371" t="inlineStr">
        <is>
          <t>2026-W03</t>
        </is>
      </c>
      <c r="C371" t="inlineStr">
        <is>
          <t>Nuvei</t>
        </is>
      </c>
      <c r="D371" t="inlineStr">
        <is>
          <t>EUR</t>
        </is>
      </c>
      <c r="E371" s="9" t="n">
        <v>832100.29</v>
      </c>
      <c r="F371" s="9" t="n">
        <v>-10270.16</v>
      </c>
      <c r="G371" s="9" t="n">
        <v>0</v>
      </c>
      <c r="H371" s="9">
        <f>IF(D371="USD",E371*$N$1,E371)</f>
        <v/>
      </c>
      <c r="I371" s="9">
        <f>IF(D371="USD",F371*$N$1,F371)</f>
        <v/>
      </c>
      <c r="J371" s="9">
        <f>IF(D371="USD",G371*$N$1,G371)</f>
        <v/>
      </c>
      <c r="K371" s="9">
        <f>H371+I371</f>
        <v/>
      </c>
    </row>
    <row r="372">
      <c r="A372" s="8" t="n">
        <v>46037</v>
      </c>
      <c r="B372" t="inlineStr">
        <is>
          <t>2026-W03</t>
        </is>
      </c>
      <c r="C372" t="inlineStr">
        <is>
          <t>Nuvei</t>
        </is>
      </c>
      <c r="D372" t="inlineStr">
        <is>
          <t>EUR</t>
        </is>
      </c>
      <c r="E372" s="9" t="n">
        <v>84850.02</v>
      </c>
      <c r="F372" s="9" t="n">
        <v>-2321.16</v>
      </c>
      <c r="G372" s="9" t="n">
        <v>0</v>
      </c>
      <c r="H372" s="9">
        <f>IF(D372="USD",E372*$N$1,E372)</f>
        <v/>
      </c>
      <c r="I372" s="9">
        <f>IF(D372="USD",F372*$N$1,F372)</f>
        <v/>
      </c>
      <c r="J372" s="9">
        <f>IF(D372="USD",G372*$N$1,G372)</f>
        <v/>
      </c>
      <c r="K372" s="9">
        <f>H372+I372</f>
        <v/>
      </c>
    </row>
    <row r="373">
      <c r="A373" s="8" t="n">
        <v>46038</v>
      </c>
      <c r="B373" t="inlineStr">
        <is>
          <t>2026-W03</t>
        </is>
      </c>
      <c r="C373" t="inlineStr">
        <is>
          <t>Adyen</t>
        </is>
      </c>
      <c r="D373" t="inlineStr">
        <is>
          <t>EUR</t>
        </is>
      </c>
      <c r="E373" s="9" t="n">
        <v>0</v>
      </c>
      <c r="F373" s="9" t="n">
        <v>0</v>
      </c>
      <c r="G373" s="9" t="n">
        <v>-379663.25</v>
      </c>
      <c r="H373" s="9">
        <f>IF(D373="USD",E373*$N$1,E373)</f>
        <v/>
      </c>
      <c r="I373" s="9">
        <f>IF(D373="USD",F373*$N$1,F373)</f>
        <v/>
      </c>
      <c r="J373" s="9">
        <f>IF(D373="USD",G373*$N$1,G373)</f>
        <v/>
      </c>
      <c r="K373" s="9">
        <f>H373+I373</f>
        <v/>
      </c>
    </row>
    <row r="374">
      <c r="A374" s="8" t="n">
        <v>46038</v>
      </c>
      <c r="B374" t="inlineStr">
        <is>
          <t>2026-W03</t>
        </is>
      </c>
      <c r="C374" t="inlineStr">
        <is>
          <t>Adyen</t>
        </is>
      </c>
      <c r="D374" t="inlineStr">
        <is>
          <t>EUR</t>
        </is>
      </c>
      <c r="E374" s="9" t="n">
        <v>250553.7</v>
      </c>
      <c r="F374" s="9" t="n">
        <v>-7009.230000000098</v>
      </c>
      <c r="G374" s="9" t="n">
        <v>0</v>
      </c>
      <c r="H374" s="9">
        <f>IF(D374="USD",E374*$N$1,E374)</f>
        <v/>
      </c>
      <c r="I374" s="9">
        <f>IF(D374="USD",F374*$N$1,F374)</f>
        <v/>
      </c>
      <c r="J374" s="9">
        <f>IF(D374="USD",G374*$N$1,G374)</f>
        <v/>
      </c>
      <c r="K374" s="9">
        <f>H374+I374</f>
        <v/>
      </c>
    </row>
    <row r="375">
      <c r="A375" s="8" t="n">
        <v>46038</v>
      </c>
      <c r="B375" t="inlineStr">
        <is>
          <t>2026-W03</t>
        </is>
      </c>
      <c r="C375" t="inlineStr">
        <is>
          <t>Adyen</t>
        </is>
      </c>
      <c r="D375" t="inlineStr">
        <is>
          <t>EUR</t>
        </is>
      </c>
      <c r="E375" s="9" t="n">
        <v>42916.42</v>
      </c>
      <c r="F375" s="9" t="n">
        <v>0</v>
      </c>
      <c r="G375" s="9" t="n">
        <v>0</v>
      </c>
      <c r="H375" s="9">
        <f>IF(D375="USD",E375*$N$1,E375)</f>
        <v/>
      </c>
      <c r="I375" s="9">
        <f>IF(D375="USD",F375*$N$1,F375)</f>
        <v/>
      </c>
      <c r="J375" s="9">
        <f>IF(D375="USD",G375*$N$1,G375)</f>
        <v/>
      </c>
      <c r="K375" s="9">
        <f>H375+I375</f>
        <v/>
      </c>
    </row>
    <row r="376">
      <c r="A376" s="8" t="n">
        <v>46038</v>
      </c>
      <c r="B376" t="inlineStr">
        <is>
          <t>2026-W03</t>
        </is>
      </c>
      <c r="C376" t="inlineStr">
        <is>
          <t>Nuvei</t>
        </is>
      </c>
      <c r="D376" t="inlineStr">
        <is>
          <t>EUR</t>
        </is>
      </c>
      <c r="E376" s="9" t="n">
        <v>0</v>
      </c>
      <c r="F376" s="9" t="n">
        <v>0</v>
      </c>
      <c r="G376" s="9" t="n">
        <v>-2348509.25</v>
      </c>
      <c r="H376" s="9">
        <f>IF(D376="USD",E376*$N$1,E376)</f>
        <v/>
      </c>
      <c r="I376" s="9">
        <f>IF(D376="USD",F376*$N$1,F376)</f>
        <v/>
      </c>
      <c r="J376" s="9">
        <f>IF(D376="USD",G376*$N$1,G376)</f>
        <v/>
      </c>
      <c r="K376" s="9">
        <f>H376+I376</f>
        <v/>
      </c>
    </row>
    <row r="377">
      <c r="A377" s="8" t="n">
        <v>46038</v>
      </c>
      <c r="B377" t="inlineStr">
        <is>
          <t>2026-W03</t>
        </is>
      </c>
      <c r="C377" t="inlineStr">
        <is>
          <t>Nuvei</t>
        </is>
      </c>
      <c r="D377" t="inlineStr">
        <is>
          <t>EUR</t>
        </is>
      </c>
      <c r="E377" s="9" t="n">
        <v>0</v>
      </c>
      <c r="F377" s="9" t="n">
        <v>0</v>
      </c>
      <c r="G377" s="9" t="n">
        <v>-209236.54</v>
      </c>
      <c r="H377" s="9">
        <f>IF(D377="USD",E377*$N$1,E377)</f>
        <v/>
      </c>
      <c r="I377" s="9">
        <f>IF(D377="USD",F377*$N$1,F377)</f>
        <v/>
      </c>
      <c r="J377" s="9">
        <f>IF(D377="USD",G377*$N$1,G377)</f>
        <v/>
      </c>
      <c r="K377" s="9">
        <f>H377+I377</f>
        <v/>
      </c>
    </row>
    <row r="378">
      <c r="A378" s="8" t="n">
        <v>46038</v>
      </c>
      <c r="B378" t="inlineStr">
        <is>
          <t>2026-W03</t>
        </is>
      </c>
      <c r="C378" t="inlineStr">
        <is>
          <t>Nuvei</t>
        </is>
      </c>
      <c r="D378" t="inlineStr">
        <is>
          <t>EUR</t>
        </is>
      </c>
      <c r="E378" s="9" t="n">
        <v>691341.66</v>
      </c>
      <c r="F378" s="9" t="n">
        <v>-9490.200000000001</v>
      </c>
      <c r="G378" s="9" t="n">
        <v>0</v>
      </c>
      <c r="H378" s="9">
        <f>IF(D378="USD",E378*$N$1,E378)</f>
        <v/>
      </c>
      <c r="I378" s="9">
        <f>IF(D378="USD",F378*$N$1,F378)</f>
        <v/>
      </c>
      <c r="J378" s="9">
        <f>IF(D378="USD",G378*$N$1,G378)</f>
        <v/>
      </c>
      <c r="K378" s="9">
        <f>H378+I378</f>
        <v/>
      </c>
    </row>
    <row r="379">
      <c r="A379" s="8" t="n">
        <v>46038</v>
      </c>
      <c r="B379" t="inlineStr">
        <is>
          <t>2026-W03</t>
        </is>
      </c>
      <c r="C379" t="inlineStr">
        <is>
          <t>Nuvei</t>
        </is>
      </c>
      <c r="D379" t="inlineStr">
        <is>
          <t>EUR</t>
        </is>
      </c>
      <c r="E379" s="9" t="n">
        <v>93945.31</v>
      </c>
      <c r="F379" s="9" t="n">
        <v>-2401.87</v>
      </c>
      <c r="G379" s="9" t="n">
        <v>0</v>
      </c>
      <c r="H379" s="9">
        <f>IF(D379="USD",E379*$N$1,E379)</f>
        <v/>
      </c>
      <c r="I379" s="9">
        <f>IF(D379="USD",F379*$N$1,F379)</f>
        <v/>
      </c>
      <c r="J379" s="9">
        <f>IF(D379="USD",G379*$N$1,G379)</f>
        <v/>
      </c>
      <c r="K379" s="9">
        <f>H379+I379</f>
        <v/>
      </c>
    </row>
    <row r="380">
      <c r="A380" s="8" t="n">
        <v>46039</v>
      </c>
      <c r="B380" t="inlineStr">
        <is>
          <t>2026-W03</t>
        </is>
      </c>
      <c r="C380" t="inlineStr">
        <is>
          <t>Adyen</t>
        </is>
      </c>
      <c r="D380" t="inlineStr">
        <is>
          <t>EUR</t>
        </is>
      </c>
      <c r="E380" s="9" t="n">
        <v>190075.07</v>
      </c>
      <c r="F380" s="9" t="n">
        <v>0</v>
      </c>
      <c r="G380" s="9" t="n">
        <v>0</v>
      </c>
      <c r="H380" s="9">
        <f>IF(D380="USD",E380*$N$1,E380)</f>
        <v/>
      </c>
      <c r="I380" s="9">
        <f>IF(D380="USD",F380*$N$1,F380)</f>
        <v/>
      </c>
      <c r="J380" s="9">
        <f>IF(D380="USD",G380*$N$1,G380)</f>
        <v/>
      </c>
      <c r="K380" s="9">
        <f>H380+I380</f>
        <v/>
      </c>
    </row>
    <row r="381">
      <c r="A381" s="8" t="n">
        <v>46039</v>
      </c>
      <c r="B381" t="inlineStr">
        <is>
          <t>2026-W03</t>
        </is>
      </c>
      <c r="C381" t="inlineStr">
        <is>
          <t>Adyen</t>
        </is>
      </c>
      <c r="D381" t="inlineStr">
        <is>
          <t>EUR</t>
        </is>
      </c>
      <c r="E381" s="9" t="n">
        <v>22279.1</v>
      </c>
      <c r="F381" s="9" t="n">
        <v>0</v>
      </c>
      <c r="G381" s="9" t="n">
        <v>0</v>
      </c>
      <c r="H381" s="9">
        <f>IF(D381="USD",E381*$N$1,E381)</f>
        <v/>
      </c>
      <c r="I381" s="9">
        <f>IF(D381="USD",F381*$N$1,F381)</f>
        <v/>
      </c>
      <c r="J381" s="9">
        <f>IF(D381="USD",G381*$N$1,G381)</f>
        <v/>
      </c>
      <c r="K381" s="9">
        <f>H381+I381</f>
        <v/>
      </c>
    </row>
    <row r="382">
      <c r="A382" s="8" t="n">
        <v>46039</v>
      </c>
      <c r="B382" t="inlineStr">
        <is>
          <t>2026-W03</t>
        </is>
      </c>
      <c r="C382" t="inlineStr">
        <is>
          <t>Nuvei</t>
        </is>
      </c>
      <c r="D382" t="inlineStr">
        <is>
          <t>EUR</t>
        </is>
      </c>
      <c r="E382" s="9" t="n">
        <v>726694.86</v>
      </c>
      <c r="F382" s="9" t="n">
        <v>-8732.33</v>
      </c>
      <c r="G382" s="9" t="n">
        <v>0</v>
      </c>
      <c r="H382" s="9">
        <f>IF(D382="USD",E382*$N$1,E382)</f>
        <v/>
      </c>
      <c r="I382" s="9">
        <f>IF(D382="USD",F382*$N$1,F382)</f>
        <v/>
      </c>
      <c r="J382" s="9">
        <f>IF(D382="USD",G382*$N$1,G382)</f>
        <v/>
      </c>
      <c r="K382" s="9">
        <f>H382+I382</f>
        <v/>
      </c>
    </row>
    <row r="383">
      <c r="A383" s="8" t="n">
        <v>46039</v>
      </c>
      <c r="B383" t="inlineStr">
        <is>
          <t>2026-W03</t>
        </is>
      </c>
      <c r="C383" t="inlineStr">
        <is>
          <t>Nuvei</t>
        </is>
      </c>
      <c r="D383" t="inlineStr">
        <is>
          <t>EUR</t>
        </is>
      </c>
      <c r="E383" s="9" t="n">
        <v>94801.85000000001</v>
      </c>
      <c r="F383" s="9" t="n">
        <v>-2399.28</v>
      </c>
      <c r="G383" s="9" t="n">
        <v>0</v>
      </c>
      <c r="H383" s="9">
        <f>IF(D383="USD",E383*$N$1,E383)</f>
        <v/>
      </c>
      <c r="I383" s="9">
        <f>IF(D383="USD",F383*$N$1,F383)</f>
        <v/>
      </c>
      <c r="J383" s="9">
        <f>IF(D383="USD",G383*$N$1,G383)</f>
        <v/>
      </c>
      <c r="K383" s="9">
        <f>H383+I383</f>
        <v/>
      </c>
    </row>
    <row r="384">
      <c r="A384" s="8" t="n">
        <v>46040</v>
      </c>
      <c r="B384" t="inlineStr">
        <is>
          <t>2026-W03</t>
        </is>
      </c>
      <c r="C384" t="inlineStr">
        <is>
          <t>Adyen</t>
        </is>
      </c>
      <c r="D384" t="inlineStr">
        <is>
          <t>EUR</t>
        </is>
      </c>
      <c r="E384" s="9" t="n">
        <v>211116.09</v>
      </c>
      <c r="F384" s="9" t="n">
        <v>0</v>
      </c>
      <c r="G384" s="9" t="n">
        <v>0</v>
      </c>
      <c r="H384" s="9">
        <f>IF(D384="USD",E384*$N$1,E384)</f>
        <v/>
      </c>
      <c r="I384" s="9">
        <f>IF(D384="USD",F384*$N$1,F384)</f>
        <v/>
      </c>
      <c r="J384" s="9">
        <f>IF(D384="USD",G384*$N$1,G384)</f>
        <v/>
      </c>
      <c r="K384" s="9">
        <f>H384+I384</f>
        <v/>
      </c>
    </row>
    <row r="385">
      <c r="A385" s="8" t="n">
        <v>46040</v>
      </c>
      <c r="B385" t="inlineStr">
        <is>
          <t>2026-W03</t>
        </is>
      </c>
      <c r="C385" t="inlineStr">
        <is>
          <t>Adyen</t>
        </is>
      </c>
      <c r="D385" t="inlineStr">
        <is>
          <t>EUR</t>
        </is>
      </c>
      <c r="E385" s="9" t="n">
        <v>23997.36</v>
      </c>
      <c r="F385" s="9" t="n">
        <v>0</v>
      </c>
      <c r="G385" s="9" t="n">
        <v>0</v>
      </c>
      <c r="H385" s="9">
        <f>IF(D385="USD",E385*$N$1,E385)</f>
        <v/>
      </c>
      <c r="I385" s="9">
        <f>IF(D385="USD",F385*$N$1,F385)</f>
        <v/>
      </c>
      <c r="J385" s="9">
        <f>IF(D385="USD",G385*$N$1,G385)</f>
        <v/>
      </c>
      <c r="K385" s="9">
        <f>H385+I385</f>
        <v/>
      </c>
    </row>
    <row r="386">
      <c r="A386" s="8" t="n">
        <v>46040</v>
      </c>
      <c r="B386" t="inlineStr">
        <is>
          <t>2026-W03</t>
        </is>
      </c>
      <c r="C386" t="inlineStr">
        <is>
          <t>Nuvei</t>
        </is>
      </c>
      <c r="D386" t="inlineStr">
        <is>
          <t>EUR</t>
        </is>
      </c>
      <c r="E386" s="9" t="n">
        <v>732413.71</v>
      </c>
      <c r="F386" s="9" t="n">
        <v>-8861.41</v>
      </c>
      <c r="G386" s="9" t="n">
        <v>0</v>
      </c>
      <c r="H386" s="9">
        <f>IF(D386="USD",E386*$N$1,E386)</f>
        <v/>
      </c>
      <c r="I386" s="9">
        <f>IF(D386="USD",F386*$N$1,F386)</f>
        <v/>
      </c>
      <c r="J386" s="9">
        <f>IF(D386="USD",G386*$N$1,G386)</f>
        <v/>
      </c>
      <c r="K386" s="9">
        <f>H386+I386</f>
        <v/>
      </c>
    </row>
    <row r="387">
      <c r="A387" s="8" t="n">
        <v>46040</v>
      </c>
      <c r="B387" t="inlineStr">
        <is>
          <t>2026-W03</t>
        </is>
      </c>
      <c r="C387" t="inlineStr">
        <is>
          <t>Nuvei</t>
        </is>
      </c>
      <c r="D387" t="inlineStr">
        <is>
          <t>EUR</t>
        </is>
      </c>
      <c r="E387" s="9" t="n">
        <v>89970.77</v>
      </c>
      <c r="F387" s="9" t="n">
        <v>-2332.51</v>
      </c>
      <c r="G387" s="9" t="n">
        <v>0</v>
      </c>
      <c r="H387" s="9">
        <f>IF(D387="USD",E387*$N$1,E387)</f>
        <v/>
      </c>
      <c r="I387" s="9">
        <f>IF(D387="USD",F387*$N$1,F387)</f>
        <v/>
      </c>
      <c r="J387" s="9">
        <f>IF(D387="USD",G387*$N$1,G387)</f>
        <v/>
      </c>
      <c r="K387" s="9">
        <f>H387+I387</f>
        <v/>
      </c>
    </row>
    <row r="388">
      <c r="A388" s="8" t="n">
        <v>46041</v>
      </c>
      <c r="B388" t="inlineStr">
        <is>
          <t>2026-W04</t>
        </is>
      </c>
      <c r="C388" t="inlineStr">
        <is>
          <t>Adyen</t>
        </is>
      </c>
      <c r="D388" t="inlineStr">
        <is>
          <t>EUR</t>
        </is>
      </c>
      <c r="E388" s="9" t="n">
        <v>0</v>
      </c>
      <c r="F388" s="9" t="n">
        <v>0</v>
      </c>
      <c r="G388" s="9" t="n">
        <v>-389499.9</v>
      </c>
      <c r="H388" s="9">
        <f>IF(D388="USD",E388*$N$1,E388)</f>
        <v/>
      </c>
      <c r="I388" s="9">
        <f>IF(D388="USD",F388*$N$1,F388)</f>
        <v/>
      </c>
      <c r="J388" s="9">
        <f>IF(D388="USD",G388*$N$1,G388)</f>
        <v/>
      </c>
      <c r="K388" s="9">
        <f>H388+I388</f>
        <v/>
      </c>
    </row>
    <row r="389">
      <c r="A389" s="8" t="n">
        <v>46041</v>
      </c>
      <c r="B389" t="inlineStr">
        <is>
          <t>2026-W04</t>
        </is>
      </c>
      <c r="C389" t="inlineStr">
        <is>
          <t>Adyen</t>
        </is>
      </c>
      <c r="D389" t="inlineStr">
        <is>
          <t>EUR</t>
        </is>
      </c>
      <c r="E389" s="9" t="n">
        <v>305385.22</v>
      </c>
      <c r="F389" s="9" t="n">
        <v>-1998</v>
      </c>
      <c r="G389" s="9" t="n">
        <v>0</v>
      </c>
      <c r="H389" s="9">
        <f>IF(D389="USD",E389*$N$1,E389)</f>
        <v/>
      </c>
      <c r="I389" s="9">
        <f>IF(D389="USD",F389*$N$1,F389)</f>
        <v/>
      </c>
      <c r="J389" s="9">
        <f>IF(D389="USD",G389*$N$1,G389)</f>
        <v/>
      </c>
      <c r="K389" s="9">
        <f>H389+I389</f>
        <v/>
      </c>
    </row>
    <row r="390">
      <c r="A390" s="8" t="n">
        <v>46041</v>
      </c>
      <c r="B390" t="inlineStr">
        <is>
          <t>2026-W04</t>
        </is>
      </c>
      <c r="C390" t="inlineStr">
        <is>
          <t>Adyen</t>
        </is>
      </c>
      <c r="D390" t="inlineStr">
        <is>
          <t>EUR</t>
        </is>
      </c>
      <c r="E390" s="9" t="n">
        <v>36384.78</v>
      </c>
      <c r="F390" s="9" t="n">
        <v>0</v>
      </c>
      <c r="G390" s="9" t="n">
        <v>0</v>
      </c>
      <c r="H390" s="9">
        <f>IF(D390="USD",E390*$N$1,E390)</f>
        <v/>
      </c>
      <c r="I390" s="9">
        <f>IF(D390="USD",F390*$N$1,F390)</f>
        <v/>
      </c>
      <c r="J390" s="9">
        <f>IF(D390="USD",G390*$N$1,G390)</f>
        <v/>
      </c>
      <c r="K390" s="9">
        <f>H390+I390</f>
        <v/>
      </c>
    </row>
    <row r="391">
      <c r="A391" s="8" t="n">
        <v>46041</v>
      </c>
      <c r="B391" t="inlineStr">
        <is>
          <t>2026-W04</t>
        </is>
      </c>
      <c r="C391" t="inlineStr">
        <is>
          <t>Nuvei</t>
        </is>
      </c>
      <c r="D391" t="inlineStr">
        <is>
          <t>EUR</t>
        </is>
      </c>
      <c r="E391" s="9" t="n">
        <v>0</v>
      </c>
      <c r="F391" s="9" t="n">
        <v>0</v>
      </c>
      <c r="G391" s="9" t="n">
        <v>-827183.01</v>
      </c>
      <c r="H391" s="9">
        <f>IF(D391="USD",E391*$N$1,E391)</f>
        <v/>
      </c>
      <c r="I391" s="9">
        <f>IF(D391="USD",F391*$N$1,F391)</f>
        <v/>
      </c>
      <c r="J391" s="9">
        <f>IF(D391="USD",G391*$N$1,G391)</f>
        <v/>
      </c>
      <c r="K391" s="9">
        <f>H391+I391</f>
        <v/>
      </c>
    </row>
    <row r="392">
      <c r="A392" s="8" t="n">
        <v>46041</v>
      </c>
      <c r="B392" t="inlineStr">
        <is>
          <t>2026-W04</t>
        </is>
      </c>
      <c r="C392" t="inlineStr">
        <is>
          <t>Nuvei</t>
        </is>
      </c>
      <c r="D392" t="inlineStr">
        <is>
          <t>EUR</t>
        </is>
      </c>
      <c r="E392" s="9" t="n">
        <v>0</v>
      </c>
      <c r="F392" s="9" t="n">
        <v>0</v>
      </c>
      <c r="G392" s="9" t="n">
        <v>-74281.05</v>
      </c>
      <c r="H392" s="9">
        <f>IF(D392="USD",E392*$N$1,E392)</f>
        <v/>
      </c>
      <c r="I392" s="9">
        <f>IF(D392="USD",F392*$N$1,F392)</f>
        <v/>
      </c>
      <c r="J392" s="9">
        <f>IF(D392="USD",G392*$N$1,G392)</f>
        <v/>
      </c>
      <c r="K392" s="9">
        <f>H392+I392</f>
        <v/>
      </c>
    </row>
    <row r="393">
      <c r="A393" s="8" t="n">
        <v>46041</v>
      </c>
      <c r="B393" t="inlineStr">
        <is>
          <t>2026-W04</t>
        </is>
      </c>
      <c r="C393" t="inlineStr">
        <is>
          <t>Nuvei</t>
        </is>
      </c>
      <c r="D393" t="inlineStr">
        <is>
          <t>EUR</t>
        </is>
      </c>
      <c r="E393" s="9" t="n">
        <v>852297.67</v>
      </c>
      <c r="F393" s="9" t="n">
        <v>-11186.04</v>
      </c>
      <c r="G393" s="9" t="n">
        <v>0</v>
      </c>
      <c r="H393" s="9">
        <f>IF(D393="USD",E393*$N$1,E393)</f>
        <v/>
      </c>
      <c r="I393" s="9">
        <f>IF(D393="USD",F393*$N$1,F393)</f>
        <v/>
      </c>
      <c r="J393" s="9">
        <f>IF(D393="USD",G393*$N$1,G393)</f>
        <v/>
      </c>
      <c r="K393" s="9">
        <f>H393+I393</f>
        <v/>
      </c>
    </row>
    <row r="394">
      <c r="A394" s="8" t="n">
        <v>46041</v>
      </c>
      <c r="B394" t="inlineStr">
        <is>
          <t>2026-W04</t>
        </is>
      </c>
      <c r="C394" t="inlineStr">
        <is>
          <t>Nuvei</t>
        </is>
      </c>
      <c r="D394" t="inlineStr">
        <is>
          <t>EUR</t>
        </is>
      </c>
      <c r="E394" s="9" t="n">
        <v>93483.45</v>
      </c>
      <c r="F394" s="9" t="n">
        <v>-2410.49</v>
      </c>
      <c r="G394" s="9" t="n">
        <v>0</v>
      </c>
      <c r="H394" s="9">
        <f>IF(D394="USD",E394*$N$1,E394)</f>
        <v/>
      </c>
      <c r="I394" s="9">
        <f>IF(D394="USD",F394*$N$1,F394)</f>
        <v/>
      </c>
      <c r="J394" s="9">
        <f>IF(D394="USD",G394*$N$1,G394)</f>
        <v/>
      </c>
      <c r="K394" s="9">
        <f>H394+I394</f>
        <v/>
      </c>
    </row>
    <row r="395">
      <c r="A395" s="8" t="n">
        <v>46042</v>
      </c>
      <c r="B395" t="inlineStr">
        <is>
          <t>2026-W04</t>
        </is>
      </c>
      <c r="C395" t="inlineStr">
        <is>
          <t>Adyen</t>
        </is>
      </c>
      <c r="D395" t="inlineStr">
        <is>
          <t>EUR</t>
        </is>
      </c>
      <c r="E395" s="9" t="n">
        <v>0</v>
      </c>
      <c r="F395" s="9" t="n">
        <v>0</v>
      </c>
      <c r="G395" s="9" t="n">
        <v>-733928.5099999999</v>
      </c>
      <c r="H395" s="9">
        <f>IF(D395="USD",E395*$N$1,E395)</f>
        <v/>
      </c>
      <c r="I395" s="9">
        <f>IF(D395="USD",F395*$N$1,F395)</f>
        <v/>
      </c>
      <c r="J395" s="9">
        <f>IF(D395="USD",G395*$N$1,G395)</f>
        <v/>
      </c>
      <c r="K395" s="9">
        <f>H395+I395</f>
        <v/>
      </c>
    </row>
    <row r="396">
      <c r="A396" s="8" t="n">
        <v>46042</v>
      </c>
      <c r="B396" t="inlineStr">
        <is>
          <t>2026-W04</t>
        </is>
      </c>
      <c r="C396" t="inlineStr">
        <is>
          <t>Adyen</t>
        </is>
      </c>
      <c r="D396" t="inlineStr">
        <is>
          <t>EUR</t>
        </is>
      </c>
      <c r="E396" s="9" t="n">
        <v>333067.76</v>
      </c>
      <c r="F396" s="9" t="n">
        <v>-2399.099999999977</v>
      </c>
      <c r="G396" s="9" t="n">
        <v>0</v>
      </c>
      <c r="H396" s="9">
        <f>IF(D396="USD",E396*$N$1,E396)</f>
        <v/>
      </c>
      <c r="I396" s="9">
        <f>IF(D396="USD",F396*$N$1,F396)</f>
        <v/>
      </c>
      <c r="J396" s="9">
        <f>IF(D396="USD",G396*$N$1,G396)</f>
        <v/>
      </c>
      <c r="K396" s="9">
        <f>H396+I396</f>
        <v/>
      </c>
    </row>
    <row r="397">
      <c r="A397" s="8" t="n">
        <v>46042</v>
      </c>
      <c r="B397" t="inlineStr">
        <is>
          <t>2026-W04</t>
        </is>
      </c>
      <c r="C397" t="inlineStr">
        <is>
          <t>Adyen</t>
        </is>
      </c>
      <c r="D397" t="inlineStr">
        <is>
          <t>EUR</t>
        </is>
      </c>
      <c r="E397" s="9" t="n">
        <v>48794.76</v>
      </c>
      <c r="F397" s="9" t="n">
        <v>0</v>
      </c>
      <c r="G397" s="9" t="n">
        <v>0</v>
      </c>
      <c r="H397" s="9">
        <f>IF(D397="USD",E397*$N$1,E397)</f>
        <v/>
      </c>
      <c r="I397" s="9">
        <f>IF(D397="USD",F397*$N$1,F397)</f>
        <v/>
      </c>
      <c r="J397" s="9">
        <f>IF(D397="USD",G397*$N$1,G397)</f>
        <v/>
      </c>
      <c r="K397" s="9">
        <f>H397+I397</f>
        <v/>
      </c>
    </row>
    <row r="398">
      <c r="A398" s="8" t="n">
        <v>46042</v>
      </c>
      <c r="B398" t="inlineStr">
        <is>
          <t>2026-W04</t>
        </is>
      </c>
      <c r="C398" t="inlineStr">
        <is>
          <t>Nuvei</t>
        </is>
      </c>
      <c r="D398" t="inlineStr">
        <is>
          <t>EUR</t>
        </is>
      </c>
      <c r="E398" s="9" t="n">
        <v>0</v>
      </c>
      <c r="F398" s="9" t="n">
        <v>0</v>
      </c>
      <c r="G398" s="9" t="n">
        <v>-801176.0699999999</v>
      </c>
      <c r="H398" s="9">
        <f>IF(D398="USD",E398*$N$1,E398)</f>
        <v/>
      </c>
      <c r="I398" s="9">
        <f>IF(D398="USD",F398*$N$1,F398)</f>
        <v/>
      </c>
      <c r="J398" s="9">
        <f>IF(D398="USD",G398*$N$1,G398)</f>
        <v/>
      </c>
      <c r="K398" s="9">
        <f>H398+I398</f>
        <v/>
      </c>
    </row>
    <row r="399">
      <c r="A399" s="8" t="n">
        <v>46042</v>
      </c>
      <c r="B399" t="inlineStr">
        <is>
          <t>2026-W04</t>
        </is>
      </c>
      <c r="C399" t="inlineStr">
        <is>
          <t>Nuvei</t>
        </is>
      </c>
      <c r="D399" t="inlineStr">
        <is>
          <t>EUR</t>
        </is>
      </c>
      <c r="E399" s="9" t="n">
        <v>0</v>
      </c>
      <c r="F399" s="9" t="n">
        <v>0</v>
      </c>
      <c r="G399" s="9" t="n">
        <v>-88266.5</v>
      </c>
      <c r="H399" s="9">
        <f>IF(D399="USD",E399*$N$1,E399)</f>
        <v/>
      </c>
      <c r="I399" s="9">
        <f>IF(D399="USD",F399*$N$1,F399)</f>
        <v/>
      </c>
      <c r="J399" s="9">
        <f>IF(D399="USD",G399*$N$1,G399)</f>
        <v/>
      </c>
      <c r="K399" s="9">
        <f>H399+I399</f>
        <v/>
      </c>
    </row>
    <row r="400">
      <c r="A400" s="8" t="n">
        <v>46042</v>
      </c>
      <c r="B400" t="inlineStr">
        <is>
          <t>2026-W04</t>
        </is>
      </c>
      <c r="C400" t="inlineStr">
        <is>
          <t>Nuvei</t>
        </is>
      </c>
      <c r="D400" t="inlineStr">
        <is>
          <t>EUR</t>
        </is>
      </c>
      <c r="E400" s="9" t="n">
        <v>731945.01</v>
      </c>
      <c r="F400" s="9" t="n">
        <v>-9343.83</v>
      </c>
      <c r="G400" s="9" t="n">
        <v>0</v>
      </c>
      <c r="H400" s="9">
        <f>IF(D400="USD",E400*$N$1,E400)</f>
        <v/>
      </c>
      <c r="I400" s="9">
        <f>IF(D400="USD",F400*$N$1,F400)</f>
        <v/>
      </c>
      <c r="J400" s="9">
        <f>IF(D400="USD",G400*$N$1,G400)</f>
        <v/>
      </c>
      <c r="K400" s="9">
        <f>H400+I400</f>
        <v/>
      </c>
    </row>
    <row r="401">
      <c r="A401" s="8" t="n">
        <v>46042</v>
      </c>
      <c r="B401" t="inlineStr">
        <is>
          <t>2026-W04</t>
        </is>
      </c>
      <c r="C401" t="inlineStr">
        <is>
          <t>Nuvei</t>
        </is>
      </c>
      <c r="D401" t="inlineStr">
        <is>
          <t>EUR</t>
        </is>
      </c>
      <c r="E401" s="9" t="n">
        <v>106691.59</v>
      </c>
      <c r="F401" s="9" t="n">
        <v>-2755.02</v>
      </c>
      <c r="G401" s="9" t="n">
        <v>0</v>
      </c>
      <c r="H401" s="9">
        <f>IF(D401="USD",E401*$N$1,E401)</f>
        <v/>
      </c>
      <c r="I401" s="9">
        <f>IF(D401="USD",F401*$N$1,F401)</f>
        <v/>
      </c>
      <c r="J401" s="9">
        <f>IF(D401="USD",G401*$N$1,G401)</f>
        <v/>
      </c>
      <c r="K401" s="9">
        <f>H401+I401</f>
        <v/>
      </c>
    </row>
    <row r="402">
      <c r="A402" s="8" t="n">
        <v>46043</v>
      </c>
      <c r="B402" t="inlineStr">
        <is>
          <t>2026-W04</t>
        </is>
      </c>
      <c r="C402" t="inlineStr">
        <is>
          <t>Adyen</t>
        </is>
      </c>
      <c r="D402" t="inlineStr">
        <is>
          <t>EUR</t>
        </is>
      </c>
      <c r="E402" s="9" t="n">
        <v>0</v>
      </c>
      <c r="F402" s="9" t="n">
        <v>0</v>
      </c>
      <c r="G402" s="9" t="n">
        <v>-339772</v>
      </c>
      <c r="H402" s="9">
        <f>IF(D402="USD",E402*$N$1,E402)</f>
        <v/>
      </c>
      <c r="I402" s="9">
        <f>IF(D402="USD",F402*$N$1,F402)</f>
        <v/>
      </c>
      <c r="J402" s="9">
        <f>IF(D402="USD",G402*$N$1,G402)</f>
        <v/>
      </c>
      <c r="K402" s="9">
        <f>H402+I402</f>
        <v/>
      </c>
    </row>
    <row r="403">
      <c r="A403" s="8" t="n">
        <v>46043</v>
      </c>
      <c r="B403" t="inlineStr">
        <is>
          <t>2026-W04</t>
        </is>
      </c>
      <c r="C403" t="inlineStr">
        <is>
          <t>Adyen</t>
        </is>
      </c>
      <c r="D403" t="inlineStr">
        <is>
          <t>EUR</t>
        </is>
      </c>
      <c r="E403" s="9" t="n">
        <v>359820.71</v>
      </c>
      <c r="F403" s="9" t="n">
        <v>-3446.859999999986</v>
      </c>
      <c r="G403" s="9" t="n">
        <v>0</v>
      </c>
      <c r="H403" s="9">
        <f>IF(D403="USD",E403*$N$1,E403)</f>
        <v/>
      </c>
      <c r="I403" s="9">
        <f>IF(D403="USD",F403*$N$1,F403)</f>
        <v/>
      </c>
      <c r="J403" s="9">
        <f>IF(D403="USD",G403*$N$1,G403)</f>
        <v/>
      </c>
      <c r="K403" s="9">
        <f>H403+I403</f>
        <v/>
      </c>
    </row>
    <row r="404">
      <c r="A404" s="8" t="n">
        <v>46043</v>
      </c>
      <c r="B404" t="inlineStr">
        <is>
          <t>2026-W04</t>
        </is>
      </c>
      <c r="C404" t="inlineStr">
        <is>
          <t>Adyen</t>
        </is>
      </c>
      <c r="D404" t="inlineStr">
        <is>
          <t>EUR</t>
        </is>
      </c>
      <c r="E404" s="9" t="n">
        <v>43324.98</v>
      </c>
      <c r="F404" s="9" t="n">
        <v>0</v>
      </c>
      <c r="G404" s="9" t="n">
        <v>0</v>
      </c>
      <c r="H404" s="9">
        <f>IF(D404="USD",E404*$N$1,E404)</f>
        <v/>
      </c>
      <c r="I404" s="9">
        <f>IF(D404="USD",F404*$N$1,F404)</f>
        <v/>
      </c>
      <c r="J404" s="9">
        <f>IF(D404="USD",G404*$N$1,G404)</f>
        <v/>
      </c>
      <c r="K404" s="9">
        <f>H404+I404</f>
        <v/>
      </c>
    </row>
    <row r="405">
      <c r="A405" s="8" t="n">
        <v>46043</v>
      </c>
      <c r="B405" t="inlineStr">
        <is>
          <t>2026-W04</t>
        </is>
      </c>
      <c r="C405" t="inlineStr">
        <is>
          <t>Nuvei</t>
        </is>
      </c>
      <c r="D405" t="inlineStr">
        <is>
          <t>EUR</t>
        </is>
      </c>
      <c r="E405" s="9" t="n">
        <v>0</v>
      </c>
      <c r="F405" s="9" t="n">
        <v>0</v>
      </c>
      <c r="G405" s="9" t="n">
        <v>-821816.63</v>
      </c>
      <c r="H405" s="9">
        <f>IF(D405="USD",E405*$N$1,E405)</f>
        <v/>
      </c>
      <c r="I405" s="9">
        <f>IF(D405="USD",F405*$N$1,F405)</f>
        <v/>
      </c>
      <c r="J405" s="9">
        <f>IF(D405="USD",G405*$N$1,G405)</f>
        <v/>
      </c>
      <c r="K405" s="9">
        <f>H405+I405</f>
        <v/>
      </c>
    </row>
    <row r="406">
      <c r="A406" s="8" t="n">
        <v>46043</v>
      </c>
      <c r="B406" t="inlineStr">
        <is>
          <t>2026-W04</t>
        </is>
      </c>
      <c r="C406" t="inlineStr">
        <is>
          <t>Nuvei</t>
        </is>
      </c>
      <c r="D406" t="inlineStr">
        <is>
          <t>EUR</t>
        </is>
      </c>
      <c r="E406" s="9" t="n">
        <v>0</v>
      </c>
      <c r="F406" s="9" t="n">
        <v>0</v>
      </c>
      <c r="G406" s="9" t="n">
        <v>-82515.36</v>
      </c>
      <c r="H406" s="9">
        <f>IF(D406="USD",E406*$N$1,E406)</f>
        <v/>
      </c>
      <c r="I406" s="9">
        <f>IF(D406="USD",F406*$N$1,F406)</f>
        <v/>
      </c>
      <c r="J406" s="9">
        <f>IF(D406="USD",G406*$N$1,G406)</f>
        <v/>
      </c>
      <c r="K406" s="9">
        <f>H406+I406</f>
        <v/>
      </c>
    </row>
    <row r="407">
      <c r="A407" s="8" t="n">
        <v>46043</v>
      </c>
      <c r="B407" t="inlineStr">
        <is>
          <t>2026-W04</t>
        </is>
      </c>
      <c r="C407" t="inlineStr">
        <is>
          <t>Nuvei</t>
        </is>
      </c>
      <c r="D407" t="inlineStr">
        <is>
          <t>EUR</t>
        </is>
      </c>
      <c r="E407" s="9" t="n">
        <v>819275.4300000001</v>
      </c>
      <c r="F407" s="9" t="n">
        <v>-10006.01</v>
      </c>
      <c r="G407" s="9" t="n">
        <v>0</v>
      </c>
      <c r="H407" s="9">
        <f>IF(D407="USD",E407*$N$1,E407)</f>
        <v/>
      </c>
      <c r="I407" s="9">
        <f>IF(D407="USD",F407*$N$1,F407)</f>
        <v/>
      </c>
      <c r="J407" s="9">
        <f>IF(D407="USD",G407*$N$1,G407)</f>
        <v/>
      </c>
      <c r="K407" s="9">
        <f>H407+I407</f>
        <v/>
      </c>
    </row>
    <row r="408">
      <c r="A408" s="8" t="n">
        <v>46043</v>
      </c>
      <c r="B408" t="inlineStr">
        <is>
          <t>2026-W04</t>
        </is>
      </c>
      <c r="C408" t="inlineStr">
        <is>
          <t>Nuvei</t>
        </is>
      </c>
      <c r="D408" t="inlineStr">
        <is>
          <t>EUR</t>
        </is>
      </c>
      <c r="E408" s="9" t="n">
        <v>107058.56</v>
      </c>
      <c r="F408" s="9" t="n">
        <v>-2736.85</v>
      </c>
      <c r="G408" s="9" t="n">
        <v>0</v>
      </c>
      <c r="H408" s="9">
        <f>IF(D408="USD",E408*$N$1,E408)</f>
        <v/>
      </c>
      <c r="I408" s="9">
        <f>IF(D408="USD",F408*$N$1,F408)</f>
        <v/>
      </c>
      <c r="J408" s="9">
        <f>IF(D408="USD",G408*$N$1,G408)</f>
        <v/>
      </c>
      <c r="K408" s="9">
        <f>H408+I408</f>
        <v/>
      </c>
    </row>
    <row r="409">
      <c r="A409" s="8" t="n">
        <v>46044</v>
      </c>
      <c r="B409" t="inlineStr">
        <is>
          <t>2026-W04</t>
        </is>
      </c>
      <c r="C409" t="inlineStr">
        <is>
          <t>Adyen</t>
        </is>
      </c>
      <c r="D409" t="inlineStr">
        <is>
          <t>EUR</t>
        </is>
      </c>
      <c r="E409" s="9" t="n">
        <v>0</v>
      </c>
      <c r="F409" s="9" t="n">
        <v>0</v>
      </c>
      <c r="G409" s="9" t="n">
        <v>-379463.42</v>
      </c>
      <c r="H409" s="9">
        <f>IF(D409="USD",E409*$N$1,E409)</f>
        <v/>
      </c>
      <c r="I409" s="9">
        <f>IF(D409="USD",F409*$N$1,F409)</f>
        <v/>
      </c>
      <c r="J409" s="9">
        <f>IF(D409="USD",G409*$N$1,G409)</f>
        <v/>
      </c>
      <c r="K409" s="9">
        <f>H409+I409</f>
        <v/>
      </c>
    </row>
    <row r="410">
      <c r="A410" s="8" t="n">
        <v>46044</v>
      </c>
      <c r="B410" t="inlineStr">
        <is>
          <t>2026-W04</t>
        </is>
      </c>
      <c r="C410" t="inlineStr">
        <is>
          <t>Adyen</t>
        </is>
      </c>
      <c r="D410" t="inlineStr">
        <is>
          <t>EUR</t>
        </is>
      </c>
      <c r="E410" s="9" t="n">
        <v>327945.1</v>
      </c>
      <c r="F410" s="9" t="n">
        <v>-4175.359999999986</v>
      </c>
      <c r="G410" s="9" t="n">
        <v>0</v>
      </c>
      <c r="H410" s="9">
        <f>IF(D410="USD",E410*$N$1,E410)</f>
        <v/>
      </c>
      <c r="I410" s="9">
        <f>IF(D410="USD",F410*$N$1,F410)</f>
        <v/>
      </c>
      <c r="J410" s="9">
        <f>IF(D410="USD",G410*$N$1,G410)</f>
        <v/>
      </c>
      <c r="K410" s="9">
        <f>H410+I410</f>
        <v/>
      </c>
    </row>
    <row r="411">
      <c r="A411" s="8" t="n">
        <v>46044</v>
      </c>
      <c r="B411" t="inlineStr">
        <is>
          <t>2026-W04</t>
        </is>
      </c>
      <c r="C411" t="inlineStr">
        <is>
          <t>Adyen</t>
        </is>
      </c>
      <c r="D411" t="inlineStr">
        <is>
          <t>EUR</t>
        </is>
      </c>
      <c r="E411" s="9" t="n">
        <v>45159.96</v>
      </c>
      <c r="F411" s="9" t="n">
        <v>0</v>
      </c>
      <c r="G411" s="9" t="n">
        <v>0</v>
      </c>
      <c r="H411" s="9">
        <f>IF(D411="USD",E411*$N$1,E411)</f>
        <v/>
      </c>
      <c r="I411" s="9">
        <f>IF(D411="USD",F411*$N$1,F411)</f>
        <v/>
      </c>
      <c r="J411" s="9">
        <f>IF(D411="USD",G411*$N$1,G411)</f>
        <v/>
      </c>
      <c r="K411" s="9">
        <f>H411+I411</f>
        <v/>
      </c>
    </row>
    <row r="412">
      <c r="A412" s="8" t="n">
        <v>46044</v>
      </c>
      <c r="B412" t="inlineStr">
        <is>
          <t>2026-W04</t>
        </is>
      </c>
      <c r="C412" t="inlineStr">
        <is>
          <t>Nuvei</t>
        </is>
      </c>
      <c r="D412" t="inlineStr">
        <is>
          <t>EUR</t>
        </is>
      </c>
      <c r="E412" s="9" t="n">
        <v>0</v>
      </c>
      <c r="F412" s="9" t="n">
        <v>0</v>
      </c>
      <c r="G412" s="9" t="n">
        <v>-681847.97</v>
      </c>
      <c r="H412" s="9">
        <f>IF(D412="USD",E412*$N$1,E412)</f>
        <v/>
      </c>
      <c r="I412" s="9">
        <f>IF(D412="USD",F412*$N$1,F412)</f>
        <v/>
      </c>
      <c r="J412" s="9">
        <f>IF(D412="USD",G412*$N$1,G412)</f>
        <v/>
      </c>
      <c r="K412" s="9">
        <f>H412+I412</f>
        <v/>
      </c>
    </row>
    <row r="413">
      <c r="A413" s="8" t="n">
        <v>46044</v>
      </c>
      <c r="B413" t="inlineStr">
        <is>
          <t>2026-W04</t>
        </is>
      </c>
      <c r="C413" t="inlineStr">
        <is>
          <t>Nuvei</t>
        </is>
      </c>
      <c r="D413" t="inlineStr">
        <is>
          <t>EUR</t>
        </is>
      </c>
      <c r="E413" s="9" t="n">
        <v>0</v>
      </c>
      <c r="F413" s="9" t="n">
        <v>0</v>
      </c>
      <c r="G413" s="9" t="n">
        <v>-91539.94</v>
      </c>
      <c r="H413" s="9">
        <f>IF(D413="USD",E413*$N$1,E413)</f>
        <v/>
      </c>
      <c r="I413" s="9">
        <f>IF(D413="USD",F413*$N$1,F413)</f>
        <v/>
      </c>
      <c r="J413" s="9">
        <f>IF(D413="USD",G413*$N$1,G413)</f>
        <v/>
      </c>
      <c r="K413" s="9">
        <f>H413+I413</f>
        <v/>
      </c>
    </row>
    <row r="414">
      <c r="A414" s="8" t="n">
        <v>46044</v>
      </c>
      <c r="B414" t="inlineStr">
        <is>
          <t>2026-W04</t>
        </is>
      </c>
      <c r="C414" t="inlineStr">
        <is>
          <t>Nuvei</t>
        </is>
      </c>
      <c r="D414" t="inlineStr">
        <is>
          <t>EUR</t>
        </is>
      </c>
      <c r="E414" s="9" t="n">
        <v>692029.58</v>
      </c>
      <c r="F414" s="9" t="n">
        <v>-8905.809999999999</v>
      </c>
      <c r="G414" s="9" t="n">
        <v>0</v>
      </c>
      <c r="H414" s="9">
        <f>IF(D414="USD",E414*$N$1,E414)</f>
        <v/>
      </c>
      <c r="I414" s="9">
        <f>IF(D414="USD",F414*$N$1,F414)</f>
        <v/>
      </c>
      <c r="J414" s="9">
        <f>IF(D414="USD",G414*$N$1,G414)</f>
        <v/>
      </c>
      <c r="K414" s="9">
        <f>H414+I414</f>
        <v/>
      </c>
    </row>
    <row r="415">
      <c r="A415" s="8" t="n">
        <v>46044</v>
      </c>
      <c r="B415" t="inlineStr">
        <is>
          <t>2026-W04</t>
        </is>
      </c>
      <c r="C415" t="inlineStr">
        <is>
          <t>Nuvei</t>
        </is>
      </c>
      <c r="D415" t="inlineStr">
        <is>
          <t>EUR</t>
        </is>
      </c>
      <c r="E415" s="9" t="n">
        <v>105897.2</v>
      </c>
      <c r="F415" s="9" t="n">
        <v>-2727.77</v>
      </c>
      <c r="G415" s="9" t="n">
        <v>0</v>
      </c>
      <c r="H415" s="9">
        <f>IF(D415="USD",E415*$N$1,E415)</f>
        <v/>
      </c>
      <c r="I415" s="9">
        <f>IF(D415="USD",F415*$N$1,F415)</f>
        <v/>
      </c>
      <c r="J415" s="9">
        <f>IF(D415="USD",G415*$N$1,G415)</f>
        <v/>
      </c>
      <c r="K415" s="9">
        <f>H415+I415</f>
        <v/>
      </c>
    </row>
    <row r="416">
      <c r="A416" s="8" t="n">
        <v>46045</v>
      </c>
      <c r="B416" t="inlineStr">
        <is>
          <t>2026-W04</t>
        </is>
      </c>
      <c r="C416" t="inlineStr">
        <is>
          <t>Adyen</t>
        </is>
      </c>
      <c r="D416" t="inlineStr">
        <is>
          <t>EUR</t>
        </is>
      </c>
      <c r="E416" s="9" t="n">
        <v>0</v>
      </c>
      <c r="F416" s="9" t="n">
        <v>0</v>
      </c>
      <c r="G416" s="9" t="n">
        <v>-399698.83</v>
      </c>
      <c r="H416" s="9">
        <f>IF(D416="USD",E416*$N$1,E416)</f>
        <v/>
      </c>
      <c r="I416" s="9">
        <f>IF(D416="USD",F416*$N$1,F416)</f>
        <v/>
      </c>
      <c r="J416" s="9">
        <f>IF(D416="USD",G416*$N$1,G416)</f>
        <v/>
      </c>
      <c r="K416" s="9">
        <f>H416+I416</f>
        <v/>
      </c>
    </row>
    <row r="417">
      <c r="A417" s="8" t="n">
        <v>46045</v>
      </c>
      <c r="B417" t="inlineStr">
        <is>
          <t>2026-W04</t>
        </is>
      </c>
      <c r="C417" t="inlineStr">
        <is>
          <t>Adyen</t>
        </is>
      </c>
      <c r="D417" t="inlineStr">
        <is>
          <t>EUR</t>
        </is>
      </c>
      <c r="E417" s="9" t="n">
        <v>311603.64</v>
      </c>
      <c r="F417" s="9" t="n">
        <v>-7487.239999999991</v>
      </c>
      <c r="G417" s="9" t="n">
        <v>0</v>
      </c>
      <c r="H417" s="9">
        <f>IF(D417="USD",E417*$N$1,E417)</f>
        <v/>
      </c>
      <c r="I417" s="9">
        <f>IF(D417="USD",F417*$N$1,F417)</f>
        <v/>
      </c>
      <c r="J417" s="9">
        <f>IF(D417="USD",G417*$N$1,G417)</f>
        <v/>
      </c>
      <c r="K417" s="9">
        <f>H417+I417</f>
        <v/>
      </c>
    </row>
    <row r="418">
      <c r="A418" s="8" t="n">
        <v>46045</v>
      </c>
      <c r="B418" t="inlineStr">
        <is>
          <t>2026-W04</t>
        </is>
      </c>
      <c r="C418" t="inlineStr">
        <is>
          <t>Adyen</t>
        </is>
      </c>
      <c r="D418" t="inlineStr">
        <is>
          <t>EUR</t>
        </is>
      </c>
      <c r="E418" s="9" t="n">
        <v>36225.71</v>
      </c>
      <c r="F418" s="9" t="n">
        <v>0</v>
      </c>
      <c r="G418" s="9" t="n">
        <v>0</v>
      </c>
      <c r="H418" s="9">
        <f>IF(D418="USD",E418*$N$1,E418)</f>
        <v/>
      </c>
      <c r="I418" s="9">
        <f>IF(D418="USD",F418*$N$1,F418)</f>
        <v/>
      </c>
      <c r="J418" s="9">
        <f>IF(D418="USD",G418*$N$1,G418)</f>
        <v/>
      </c>
      <c r="K418" s="9">
        <f>H418+I418</f>
        <v/>
      </c>
    </row>
    <row r="419">
      <c r="A419" s="8" t="n">
        <v>46045</v>
      </c>
      <c r="B419" t="inlineStr">
        <is>
          <t>2026-W04</t>
        </is>
      </c>
      <c r="C419" t="inlineStr">
        <is>
          <t>Nuvei</t>
        </is>
      </c>
      <c r="D419" t="inlineStr">
        <is>
          <t>EUR</t>
        </is>
      </c>
      <c r="E419" s="9" t="n">
        <v>0</v>
      </c>
      <c r="F419" s="9" t="n">
        <v>0</v>
      </c>
      <c r="G419" s="9" t="n">
        <v>-2282622.96</v>
      </c>
      <c r="H419" s="9">
        <f>IF(D419="USD",E419*$N$1,E419)</f>
        <v/>
      </c>
      <c r="I419" s="9">
        <f>IF(D419="USD",F419*$N$1,F419)</f>
        <v/>
      </c>
      <c r="J419" s="9">
        <f>IF(D419="USD",G419*$N$1,G419)</f>
        <v/>
      </c>
      <c r="K419" s="9">
        <f>H419+I419</f>
        <v/>
      </c>
    </row>
    <row r="420">
      <c r="A420" s="8" t="n">
        <v>46045</v>
      </c>
      <c r="B420" t="inlineStr">
        <is>
          <t>2026-W04</t>
        </is>
      </c>
      <c r="C420" t="inlineStr">
        <is>
          <t>Nuvei</t>
        </is>
      </c>
      <c r="D420" t="inlineStr">
        <is>
          <t>EUR</t>
        </is>
      </c>
      <c r="E420" s="9" t="n">
        <v>0</v>
      </c>
      <c r="F420" s="9" t="n">
        <v>0</v>
      </c>
      <c r="G420" s="9" t="n">
        <v>-271110.29</v>
      </c>
      <c r="H420" s="9">
        <f>IF(D420="USD",E420*$N$1,E420)</f>
        <v/>
      </c>
      <c r="I420" s="9">
        <f>IF(D420="USD",F420*$N$1,F420)</f>
        <v/>
      </c>
      <c r="J420" s="9">
        <f>IF(D420="USD",G420*$N$1,G420)</f>
        <v/>
      </c>
      <c r="K420" s="9">
        <f>H420+I420</f>
        <v/>
      </c>
    </row>
    <row r="421">
      <c r="A421" s="8" t="n">
        <v>46045</v>
      </c>
      <c r="B421" t="inlineStr">
        <is>
          <t>2026-W04</t>
        </is>
      </c>
      <c r="C421" t="inlineStr">
        <is>
          <t>Nuvei</t>
        </is>
      </c>
      <c r="D421" t="inlineStr">
        <is>
          <t>EUR</t>
        </is>
      </c>
      <c r="E421" s="9" t="n">
        <v>620604.9300000001</v>
      </c>
      <c r="F421" s="9" t="n">
        <v>-8497.969999999999</v>
      </c>
      <c r="G421" s="9" t="n">
        <v>0</v>
      </c>
      <c r="H421" s="9">
        <f>IF(D421="USD",E421*$N$1,E421)</f>
        <v/>
      </c>
      <c r="I421" s="9">
        <f>IF(D421="USD",F421*$N$1,F421)</f>
        <v/>
      </c>
      <c r="J421" s="9">
        <f>IF(D421="USD",G421*$N$1,G421)</f>
        <v/>
      </c>
      <c r="K421" s="9">
        <f>H421+I421</f>
        <v/>
      </c>
    </row>
    <row r="422">
      <c r="A422" s="8" t="n">
        <v>46045</v>
      </c>
      <c r="B422" t="inlineStr">
        <is>
          <t>2026-W04</t>
        </is>
      </c>
      <c r="C422" t="inlineStr">
        <is>
          <t>Nuvei</t>
        </is>
      </c>
      <c r="D422" t="inlineStr">
        <is>
          <t>EUR</t>
        </is>
      </c>
      <c r="E422" s="9" t="n">
        <v>82019.84</v>
      </c>
      <c r="F422" s="9" t="n">
        <v>-2086.11</v>
      </c>
      <c r="G422" s="9" t="n">
        <v>0</v>
      </c>
      <c r="H422" s="9">
        <f>IF(D422="USD",E422*$N$1,E422)</f>
        <v/>
      </c>
      <c r="I422" s="9">
        <f>IF(D422="USD",F422*$N$1,F422)</f>
        <v/>
      </c>
      <c r="J422" s="9">
        <f>IF(D422="USD",G422*$N$1,G422)</f>
        <v/>
      </c>
      <c r="K422" s="9">
        <f>H422+I422</f>
        <v/>
      </c>
    </row>
    <row r="423">
      <c r="A423" s="8" t="n">
        <v>46046</v>
      </c>
      <c r="B423" t="inlineStr">
        <is>
          <t>2026-W04</t>
        </is>
      </c>
      <c r="C423" t="inlineStr">
        <is>
          <t>Adyen</t>
        </is>
      </c>
      <c r="D423" t="inlineStr">
        <is>
          <t>EUR</t>
        </is>
      </c>
      <c r="E423" s="9" t="n">
        <v>221900.81</v>
      </c>
      <c r="F423" s="9" t="n">
        <v>0</v>
      </c>
      <c r="G423" s="9" t="n">
        <v>0</v>
      </c>
      <c r="H423" s="9">
        <f>IF(D423="USD",E423*$N$1,E423)</f>
        <v/>
      </c>
      <c r="I423" s="9">
        <f>IF(D423="USD",F423*$N$1,F423)</f>
        <v/>
      </c>
      <c r="J423" s="9">
        <f>IF(D423="USD",G423*$N$1,G423)</f>
        <v/>
      </c>
      <c r="K423" s="9">
        <f>H423+I423</f>
        <v/>
      </c>
    </row>
    <row r="424">
      <c r="A424" s="8" t="n">
        <v>46046</v>
      </c>
      <c r="B424" t="inlineStr">
        <is>
          <t>2026-W04</t>
        </is>
      </c>
      <c r="C424" t="inlineStr">
        <is>
          <t>Adyen</t>
        </is>
      </c>
      <c r="D424" t="inlineStr">
        <is>
          <t>EUR</t>
        </is>
      </c>
      <c r="E424" s="9" t="n">
        <v>30064.16</v>
      </c>
      <c r="F424" s="9" t="n">
        <v>0</v>
      </c>
      <c r="G424" s="9" t="n">
        <v>0</v>
      </c>
      <c r="H424" s="9">
        <f>IF(D424="USD",E424*$N$1,E424)</f>
        <v/>
      </c>
      <c r="I424" s="9">
        <f>IF(D424="USD",F424*$N$1,F424)</f>
        <v/>
      </c>
      <c r="J424" s="9">
        <f>IF(D424="USD",G424*$N$1,G424)</f>
        <v/>
      </c>
      <c r="K424" s="9">
        <f>H424+I424</f>
        <v/>
      </c>
    </row>
    <row r="425">
      <c r="A425" s="8" t="n">
        <v>46046</v>
      </c>
      <c r="B425" t="inlineStr">
        <is>
          <t>2026-W04</t>
        </is>
      </c>
      <c r="C425" t="inlineStr">
        <is>
          <t>Nuvei</t>
        </is>
      </c>
      <c r="D425" t="inlineStr">
        <is>
          <t>EUR</t>
        </is>
      </c>
      <c r="E425" s="9" t="n">
        <v>614469.5600000001</v>
      </c>
      <c r="F425" s="9" t="n">
        <v>-7744.79</v>
      </c>
      <c r="G425" s="9" t="n">
        <v>0</v>
      </c>
      <c r="H425" s="9">
        <f>IF(D425="USD",E425*$N$1,E425)</f>
        <v/>
      </c>
      <c r="I425" s="9">
        <f>IF(D425="USD",F425*$N$1,F425)</f>
        <v/>
      </c>
      <c r="J425" s="9">
        <f>IF(D425="USD",G425*$N$1,G425)</f>
        <v/>
      </c>
      <c r="K425" s="9">
        <f>H425+I425</f>
        <v/>
      </c>
    </row>
    <row r="426">
      <c r="A426" s="8" t="n">
        <v>46046</v>
      </c>
      <c r="B426" t="inlineStr">
        <is>
          <t>2026-W04</t>
        </is>
      </c>
      <c r="C426" t="inlineStr">
        <is>
          <t>Nuvei</t>
        </is>
      </c>
      <c r="D426" t="inlineStr">
        <is>
          <t>EUR</t>
        </is>
      </c>
      <c r="E426" s="9" t="n">
        <v>84893.41</v>
      </c>
      <c r="F426" s="9" t="n">
        <v>-2213.14</v>
      </c>
      <c r="G426" s="9" t="n">
        <v>0</v>
      </c>
      <c r="H426" s="9">
        <f>IF(D426="USD",E426*$N$1,E426)</f>
        <v/>
      </c>
      <c r="I426" s="9">
        <f>IF(D426="USD",F426*$N$1,F426)</f>
        <v/>
      </c>
      <c r="J426" s="9">
        <f>IF(D426="USD",G426*$N$1,G426)</f>
        <v/>
      </c>
      <c r="K426" s="9">
        <f>H426+I426</f>
        <v/>
      </c>
    </row>
    <row r="427">
      <c r="A427" s="8" t="n">
        <v>46047</v>
      </c>
      <c r="B427" t="inlineStr">
        <is>
          <t>2026-W04</t>
        </is>
      </c>
      <c r="C427" t="inlineStr">
        <is>
          <t>Adyen</t>
        </is>
      </c>
      <c r="D427" t="inlineStr">
        <is>
          <t>EUR</t>
        </is>
      </c>
      <c r="E427" s="9" t="n">
        <v>230050.44</v>
      </c>
      <c r="F427" s="9" t="n">
        <v>0</v>
      </c>
      <c r="G427" s="9" t="n">
        <v>0</v>
      </c>
      <c r="H427" s="9">
        <f>IF(D427="USD",E427*$N$1,E427)</f>
        <v/>
      </c>
      <c r="I427" s="9">
        <f>IF(D427="USD",F427*$N$1,F427)</f>
        <v/>
      </c>
      <c r="J427" s="9">
        <f>IF(D427="USD",G427*$N$1,G427)</f>
        <v/>
      </c>
      <c r="K427" s="9">
        <f>H427+I427</f>
        <v/>
      </c>
    </row>
    <row r="428">
      <c r="A428" s="8" t="n">
        <v>46047</v>
      </c>
      <c r="B428" t="inlineStr">
        <is>
          <t>2026-W04</t>
        </is>
      </c>
      <c r="C428" t="inlineStr">
        <is>
          <t>Adyen</t>
        </is>
      </c>
      <c r="D428" t="inlineStr">
        <is>
          <t>EUR</t>
        </is>
      </c>
      <c r="E428" s="9" t="n">
        <v>28441.12</v>
      </c>
      <c r="F428" s="9" t="n">
        <v>0</v>
      </c>
      <c r="G428" s="9" t="n">
        <v>0</v>
      </c>
      <c r="H428" s="9">
        <f>IF(D428="USD",E428*$N$1,E428)</f>
        <v/>
      </c>
      <c r="I428" s="9">
        <f>IF(D428="USD",F428*$N$1,F428)</f>
        <v/>
      </c>
      <c r="J428" s="9">
        <f>IF(D428="USD",G428*$N$1,G428)</f>
        <v/>
      </c>
      <c r="K428" s="9">
        <f>H428+I428</f>
        <v/>
      </c>
    </row>
    <row r="429">
      <c r="A429" s="8" t="n">
        <v>46047</v>
      </c>
      <c r="B429" t="inlineStr">
        <is>
          <t>2026-W04</t>
        </is>
      </c>
      <c r="C429" t="inlineStr">
        <is>
          <t>Nuvei</t>
        </is>
      </c>
      <c r="D429" t="inlineStr">
        <is>
          <t>EUR</t>
        </is>
      </c>
      <c r="E429" s="9" t="n">
        <v>752657.46</v>
      </c>
      <c r="F429" s="9" t="n">
        <v>-9003.43</v>
      </c>
      <c r="G429" s="9" t="n">
        <v>0</v>
      </c>
      <c r="H429" s="9">
        <f>IF(D429="USD",E429*$N$1,E429)</f>
        <v/>
      </c>
      <c r="I429" s="9">
        <f>IF(D429="USD",F429*$N$1,F429)</f>
        <v/>
      </c>
      <c r="J429" s="9">
        <f>IF(D429="USD",G429*$N$1,G429)</f>
        <v/>
      </c>
      <c r="K429" s="9">
        <f>H429+I429</f>
        <v/>
      </c>
    </row>
    <row r="430">
      <c r="A430" s="8" t="n">
        <v>46047</v>
      </c>
      <c r="B430" t="inlineStr">
        <is>
          <t>2026-W04</t>
        </is>
      </c>
      <c r="C430" t="inlineStr">
        <is>
          <t>Nuvei</t>
        </is>
      </c>
      <c r="D430" t="inlineStr">
        <is>
          <t>EUR</t>
        </is>
      </c>
      <c r="E430" s="9" t="n">
        <v>101507.72</v>
      </c>
      <c r="F430" s="9" t="n">
        <v>-2659.73</v>
      </c>
      <c r="G430" s="9" t="n">
        <v>0</v>
      </c>
      <c r="H430" s="9">
        <f>IF(D430="USD",E430*$N$1,E430)</f>
        <v/>
      </c>
      <c r="I430" s="9">
        <f>IF(D430="USD",F430*$N$1,F430)</f>
        <v/>
      </c>
      <c r="J430" s="9">
        <f>IF(D430="USD",G430*$N$1,G430)</f>
        <v/>
      </c>
      <c r="K430" s="9">
        <f>H430+I430</f>
        <v/>
      </c>
    </row>
    <row r="431">
      <c r="A431" s="8" t="n">
        <v>46048</v>
      </c>
      <c r="B431" t="inlineStr">
        <is>
          <t>2026-W05</t>
        </is>
      </c>
      <c r="C431" t="inlineStr">
        <is>
          <t>Adyen</t>
        </is>
      </c>
      <c r="D431" t="inlineStr">
        <is>
          <t>EUR</t>
        </is>
      </c>
      <c r="E431" s="9" t="n">
        <v>0</v>
      </c>
      <c r="F431" s="9" t="n">
        <v>0</v>
      </c>
      <c r="G431" s="9" t="n">
        <v>-368929.7</v>
      </c>
      <c r="H431" s="9">
        <f>IF(D431="USD",E431*$N$1,E431)</f>
        <v/>
      </c>
      <c r="I431" s="9">
        <f>IF(D431="USD",F431*$N$1,F431)</f>
        <v/>
      </c>
      <c r="J431" s="9">
        <f>IF(D431="USD",G431*$N$1,G431)</f>
        <v/>
      </c>
      <c r="K431" s="9">
        <f>H431+I431</f>
        <v/>
      </c>
    </row>
    <row r="432">
      <c r="A432" s="8" t="n">
        <v>46048</v>
      </c>
      <c r="B432" t="inlineStr">
        <is>
          <t>2026-W05</t>
        </is>
      </c>
      <c r="C432" t="inlineStr">
        <is>
          <t>Adyen</t>
        </is>
      </c>
      <c r="D432" t="inlineStr">
        <is>
          <t>EUR</t>
        </is>
      </c>
      <c r="E432" s="9" t="n">
        <v>327206.25</v>
      </c>
      <c r="F432" s="9" t="n">
        <v>-3345.670000000042</v>
      </c>
      <c r="G432" s="9" t="n">
        <v>0</v>
      </c>
      <c r="H432" s="9">
        <f>IF(D432="USD",E432*$N$1,E432)</f>
        <v/>
      </c>
      <c r="I432" s="9">
        <f>IF(D432="USD",F432*$N$1,F432)</f>
        <v/>
      </c>
      <c r="J432" s="9">
        <f>IF(D432="USD",G432*$N$1,G432)</f>
        <v/>
      </c>
      <c r="K432" s="9">
        <f>H432+I432</f>
        <v/>
      </c>
    </row>
    <row r="433">
      <c r="A433" s="8" t="n">
        <v>46048</v>
      </c>
      <c r="B433" t="inlineStr">
        <is>
          <t>2026-W05</t>
        </is>
      </c>
      <c r="C433" t="inlineStr">
        <is>
          <t>Adyen</t>
        </is>
      </c>
      <c r="D433" t="inlineStr">
        <is>
          <t>EUR</t>
        </is>
      </c>
      <c r="E433" s="9" t="n">
        <v>59167.5</v>
      </c>
      <c r="F433" s="9" t="n">
        <v>0</v>
      </c>
      <c r="G433" s="9" t="n">
        <v>0</v>
      </c>
      <c r="H433" s="9">
        <f>IF(D433="USD",E433*$N$1,E433)</f>
        <v/>
      </c>
      <c r="I433" s="9">
        <f>IF(D433="USD",F433*$N$1,F433)</f>
        <v/>
      </c>
      <c r="J433" s="9">
        <f>IF(D433="USD",G433*$N$1,G433)</f>
        <v/>
      </c>
      <c r="K433" s="9">
        <f>H433+I433</f>
        <v/>
      </c>
    </row>
    <row r="434">
      <c r="A434" s="8" t="n">
        <v>46048</v>
      </c>
      <c r="B434" t="inlineStr">
        <is>
          <t>2026-W05</t>
        </is>
      </c>
      <c r="C434" t="inlineStr">
        <is>
          <t>Nuvei</t>
        </is>
      </c>
      <c r="D434" t="inlineStr">
        <is>
          <t>EUR</t>
        </is>
      </c>
      <c r="E434" s="9" t="n">
        <v>0</v>
      </c>
      <c r="F434" s="9" t="n">
        <v>0</v>
      </c>
      <c r="G434" s="9" t="n">
        <v>-722597.6800000001</v>
      </c>
      <c r="H434" s="9">
        <f>IF(D434="USD",E434*$N$1,E434)</f>
        <v/>
      </c>
      <c r="I434" s="9">
        <f>IF(D434="USD",F434*$N$1,F434)</f>
        <v/>
      </c>
      <c r="J434" s="9">
        <f>IF(D434="USD",G434*$N$1,G434)</f>
        <v/>
      </c>
      <c r="K434" s="9">
        <f>H434+I434</f>
        <v/>
      </c>
    </row>
    <row r="435">
      <c r="A435" s="8" t="n">
        <v>46048</v>
      </c>
      <c r="B435" t="inlineStr">
        <is>
          <t>2026-W05</t>
        </is>
      </c>
      <c r="C435" t="inlineStr">
        <is>
          <t>Nuvei</t>
        </is>
      </c>
      <c r="D435" t="inlineStr">
        <is>
          <t>EUR</t>
        </is>
      </c>
      <c r="E435" s="9" t="n">
        <v>0</v>
      </c>
      <c r="F435" s="9" t="n">
        <v>0</v>
      </c>
      <c r="G435" s="9" t="n">
        <v>-103933.07</v>
      </c>
      <c r="H435" s="9">
        <f>IF(D435="USD",E435*$N$1,E435)</f>
        <v/>
      </c>
      <c r="I435" s="9">
        <f>IF(D435="USD",F435*$N$1,F435)</f>
        <v/>
      </c>
      <c r="J435" s="9">
        <f>IF(D435="USD",G435*$N$1,G435)</f>
        <v/>
      </c>
      <c r="K435" s="9">
        <f>H435+I435</f>
        <v/>
      </c>
    </row>
    <row r="436">
      <c r="A436" s="8" t="n">
        <v>46048</v>
      </c>
      <c r="B436" t="inlineStr">
        <is>
          <t>2026-W05</t>
        </is>
      </c>
      <c r="C436" t="inlineStr">
        <is>
          <t>Nuvei</t>
        </is>
      </c>
      <c r="D436" t="inlineStr">
        <is>
          <t>EUR</t>
        </is>
      </c>
      <c r="E436" s="9" t="n">
        <v>814408.25</v>
      </c>
      <c r="F436" s="9" t="n">
        <v>-11040.48</v>
      </c>
      <c r="G436" s="9" t="n">
        <v>0</v>
      </c>
      <c r="H436" s="9">
        <f>IF(D436="USD",E436*$N$1,E436)</f>
        <v/>
      </c>
      <c r="I436" s="9">
        <f>IF(D436="USD",F436*$N$1,F436)</f>
        <v/>
      </c>
      <c r="J436" s="9">
        <f>IF(D436="USD",G436*$N$1,G436)</f>
        <v/>
      </c>
      <c r="K436" s="9">
        <f>H436+I436</f>
        <v/>
      </c>
    </row>
    <row r="437">
      <c r="A437" s="8" t="n">
        <v>46048</v>
      </c>
      <c r="B437" t="inlineStr">
        <is>
          <t>2026-W05</t>
        </is>
      </c>
      <c r="C437" t="inlineStr">
        <is>
          <t>Nuvei</t>
        </is>
      </c>
      <c r="D437" t="inlineStr">
        <is>
          <t>EUR</t>
        </is>
      </c>
      <c r="E437" s="9" t="n">
        <v>103649.73</v>
      </c>
      <c r="F437" s="9" t="n">
        <v>-2646.31</v>
      </c>
      <c r="G437" s="9" t="n">
        <v>0</v>
      </c>
      <c r="H437" s="9">
        <f>IF(D437="USD",E437*$N$1,E437)</f>
        <v/>
      </c>
      <c r="I437" s="9">
        <f>IF(D437="USD",F437*$N$1,F437)</f>
        <v/>
      </c>
      <c r="J437" s="9">
        <f>IF(D437="USD",G437*$N$1,G437)</f>
        <v/>
      </c>
      <c r="K437" s="9">
        <f>H437+I437</f>
        <v/>
      </c>
    </row>
    <row r="438">
      <c r="A438" s="8" t="n">
        <v>46049</v>
      </c>
      <c r="B438" t="inlineStr">
        <is>
          <t>2026-W05</t>
        </is>
      </c>
      <c r="C438" t="inlineStr">
        <is>
          <t>Adyen</t>
        </is>
      </c>
      <c r="D438" t="inlineStr">
        <is>
          <t>EUR</t>
        </is>
      </c>
      <c r="E438" s="9" t="n">
        <v>0</v>
      </c>
      <c r="F438" s="9" t="n">
        <v>0</v>
      </c>
      <c r="G438" s="9" t="n">
        <v>-850798.64</v>
      </c>
      <c r="H438" s="9">
        <f>IF(D438="USD",E438*$N$1,E438)</f>
        <v/>
      </c>
      <c r="I438" s="9">
        <f>IF(D438="USD",F438*$N$1,F438)</f>
        <v/>
      </c>
      <c r="J438" s="9">
        <f>IF(D438="USD",G438*$N$1,G438)</f>
        <v/>
      </c>
      <c r="K438" s="9">
        <f>H438+I438</f>
        <v/>
      </c>
    </row>
    <row r="439">
      <c r="A439" s="8" t="n">
        <v>46049</v>
      </c>
      <c r="B439" t="inlineStr">
        <is>
          <t>2026-W05</t>
        </is>
      </c>
      <c r="C439" t="inlineStr">
        <is>
          <t>Adyen</t>
        </is>
      </c>
      <c r="D439" t="inlineStr">
        <is>
          <t>EUR</t>
        </is>
      </c>
      <c r="E439" s="9" t="n">
        <v>397583.28</v>
      </c>
      <c r="F439" s="9" t="n">
        <v>-1530.599999999977</v>
      </c>
      <c r="G439" s="9" t="n">
        <v>0</v>
      </c>
      <c r="H439" s="9">
        <f>IF(D439="USD",E439*$N$1,E439)</f>
        <v/>
      </c>
      <c r="I439" s="9">
        <f>IF(D439="USD",F439*$N$1,F439)</f>
        <v/>
      </c>
      <c r="J439" s="9">
        <f>IF(D439="USD",G439*$N$1,G439)</f>
        <v/>
      </c>
      <c r="K439" s="9">
        <f>H439+I439</f>
        <v/>
      </c>
    </row>
    <row r="440">
      <c r="A440" s="8" t="n">
        <v>46049</v>
      </c>
      <c r="B440" t="inlineStr">
        <is>
          <t>2026-W05</t>
        </is>
      </c>
      <c r="C440" t="inlineStr">
        <is>
          <t>Adyen</t>
        </is>
      </c>
      <c r="D440" t="inlineStr">
        <is>
          <t>EUR</t>
        </is>
      </c>
      <c r="E440" s="9" t="n">
        <v>50148.44</v>
      </c>
      <c r="F440" s="9" t="n">
        <v>0</v>
      </c>
      <c r="G440" s="9" t="n">
        <v>0</v>
      </c>
      <c r="H440" s="9">
        <f>IF(D440="USD",E440*$N$1,E440)</f>
        <v/>
      </c>
      <c r="I440" s="9">
        <f>IF(D440="USD",F440*$N$1,F440)</f>
        <v/>
      </c>
      <c r="J440" s="9">
        <f>IF(D440="USD",G440*$N$1,G440)</f>
        <v/>
      </c>
      <c r="K440" s="9">
        <f>H440+I440</f>
        <v/>
      </c>
    </row>
    <row r="441">
      <c r="A441" s="8" t="n">
        <v>46049</v>
      </c>
      <c r="B441" t="inlineStr">
        <is>
          <t>2026-W05</t>
        </is>
      </c>
      <c r="C441" t="inlineStr">
        <is>
          <t>Nuvei</t>
        </is>
      </c>
      <c r="D441" t="inlineStr">
        <is>
          <t>EUR</t>
        </is>
      </c>
      <c r="E441" s="9" t="n">
        <v>0</v>
      </c>
      <c r="F441" s="9" t="n">
        <v>0</v>
      </c>
      <c r="G441" s="9" t="n">
        <v>-809265.92</v>
      </c>
      <c r="H441" s="9">
        <f>IF(D441="USD",E441*$N$1,E441)</f>
        <v/>
      </c>
      <c r="I441" s="9">
        <f>IF(D441="USD",F441*$N$1,F441)</f>
        <v/>
      </c>
      <c r="J441" s="9">
        <f>IF(D441="USD",G441*$N$1,G441)</f>
        <v/>
      </c>
      <c r="K441" s="9">
        <f>H441+I441</f>
        <v/>
      </c>
    </row>
    <row r="442">
      <c r="A442" s="8" t="n">
        <v>46049</v>
      </c>
      <c r="B442" t="inlineStr">
        <is>
          <t>2026-W05</t>
        </is>
      </c>
      <c r="C442" t="inlineStr">
        <is>
          <t>Nuvei</t>
        </is>
      </c>
      <c r="D442" t="inlineStr">
        <is>
          <t>EUR</t>
        </is>
      </c>
      <c r="E442" s="9" t="n">
        <v>0</v>
      </c>
      <c r="F442" s="9" t="n">
        <v>0</v>
      </c>
      <c r="G442" s="9" t="n">
        <v>-104318.21</v>
      </c>
      <c r="H442" s="9">
        <f>IF(D442="USD",E442*$N$1,E442)</f>
        <v/>
      </c>
      <c r="I442" s="9">
        <f>IF(D442="USD",F442*$N$1,F442)</f>
        <v/>
      </c>
      <c r="J442" s="9">
        <f>IF(D442="USD",G442*$N$1,G442)</f>
        <v/>
      </c>
      <c r="K442" s="9">
        <f>H442+I442</f>
        <v/>
      </c>
    </row>
    <row r="443">
      <c r="A443" s="8" t="n">
        <v>46049</v>
      </c>
      <c r="B443" t="inlineStr">
        <is>
          <t>2026-W05</t>
        </is>
      </c>
      <c r="C443" t="inlineStr">
        <is>
          <t>Nuvei</t>
        </is>
      </c>
      <c r="D443" t="inlineStr">
        <is>
          <t>EUR</t>
        </is>
      </c>
      <c r="E443" s="9" t="n">
        <v>721550.48</v>
      </c>
      <c r="F443" s="9" t="n">
        <v>-9151.85</v>
      </c>
      <c r="G443" s="9" t="n">
        <v>0</v>
      </c>
      <c r="H443" s="9">
        <f>IF(D443="USD",E443*$N$1,E443)</f>
        <v/>
      </c>
      <c r="I443" s="9">
        <f>IF(D443="USD",F443*$N$1,F443)</f>
        <v/>
      </c>
      <c r="J443" s="9">
        <f>IF(D443="USD",G443*$N$1,G443)</f>
        <v/>
      </c>
      <c r="K443" s="9">
        <f>H443+I443</f>
        <v/>
      </c>
    </row>
    <row r="444">
      <c r="A444" s="8" t="n">
        <v>46049</v>
      </c>
      <c r="B444" t="inlineStr">
        <is>
          <t>2026-W05</t>
        </is>
      </c>
      <c r="C444" t="inlineStr">
        <is>
          <t>Nuvei</t>
        </is>
      </c>
      <c r="D444" t="inlineStr">
        <is>
          <t>EUR</t>
        </is>
      </c>
      <c r="E444" s="9" t="n">
        <v>82871.12</v>
      </c>
      <c r="F444" s="9" t="n">
        <v>-2156.3</v>
      </c>
      <c r="G444" s="9" t="n">
        <v>0</v>
      </c>
      <c r="H444" s="9">
        <f>IF(D444="USD",E444*$N$1,E444)</f>
        <v/>
      </c>
      <c r="I444" s="9">
        <f>IF(D444="USD",F444*$N$1,F444)</f>
        <v/>
      </c>
      <c r="J444" s="9">
        <f>IF(D444="USD",G444*$N$1,G444)</f>
        <v/>
      </c>
      <c r="K444" s="9">
        <f>H444+I444</f>
        <v/>
      </c>
    </row>
    <row r="445">
      <c r="A445" s="8" t="n">
        <v>46050</v>
      </c>
      <c r="B445" t="inlineStr">
        <is>
          <t>2026-W05</t>
        </is>
      </c>
      <c r="C445" t="inlineStr">
        <is>
          <t>Adyen</t>
        </is>
      </c>
      <c r="D445" t="inlineStr">
        <is>
          <t>EUR</t>
        </is>
      </c>
      <c r="E445" s="9" t="n">
        <v>0</v>
      </c>
      <c r="F445" s="9" t="n">
        <v>0</v>
      </c>
      <c r="G445" s="9" t="n">
        <v>-383028.08</v>
      </c>
      <c r="H445" s="9">
        <f>IF(D445="USD",E445*$N$1,E445)</f>
        <v/>
      </c>
      <c r="I445" s="9">
        <f>IF(D445="USD",F445*$N$1,F445)</f>
        <v/>
      </c>
      <c r="J445" s="9">
        <f>IF(D445="USD",G445*$N$1,G445)</f>
        <v/>
      </c>
      <c r="K445" s="9">
        <f>H445+I445</f>
        <v/>
      </c>
    </row>
    <row r="446">
      <c r="A446" s="8" t="n">
        <v>46050</v>
      </c>
      <c r="B446" t="inlineStr">
        <is>
          <t>2026-W05</t>
        </is>
      </c>
      <c r="C446" t="inlineStr">
        <is>
          <t>Adyen</t>
        </is>
      </c>
      <c r="D446" t="inlineStr">
        <is>
          <t>EUR</t>
        </is>
      </c>
      <c r="E446" s="9" t="n">
        <v>366778.92</v>
      </c>
      <c r="F446" s="9" t="n">
        <v>-3947.780000000028</v>
      </c>
      <c r="G446" s="9" t="n">
        <v>0</v>
      </c>
      <c r="H446" s="9">
        <f>IF(D446="USD",E446*$N$1,E446)</f>
        <v/>
      </c>
      <c r="I446" s="9">
        <f>IF(D446="USD",F446*$N$1,F446)</f>
        <v/>
      </c>
      <c r="J446" s="9">
        <f>IF(D446="USD",G446*$N$1,G446)</f>
        <v/>
      </c>
      <c r="K446" s="9">
        <f>H446+I446</f>
        <v/>
      </c>
    </row>
    <row r="447">
      <c r="A447" s="8" t="n">
        <v>46050</v>
      </c>
      <c r="B447" t="inlineStr">
        <is>
          <t>2026-W05</t>
        </is>
      </c>
      <c r="C447" t="inlineStr">
        <is>
          <t>Adyen</t>
        </is>
      </c>
      <c r="D447" t="inlineStr">
        <is>
          <t>EUR</t>
        </is>
      </c>
      <c r="E447" s="9" t="n">
        <v>63038.74</v>
      </c>
      <c r="F447" s="9" t="n">
        <v>0</v>
      </c>
      <c r="G447" s="9" t="n">
        <v>0</v>
      </c>
      <c r="H447" s="9">
        <f>IF(D447="USD",E447*$N$1,E447)</f>
        <v/>
      </c>
      <c r="I447" s="9">
        <f>IF(D447="USD",F447*$N$1,F447)</f>
        <v/>
      </c>
      <c r="J447" s="9">
        <f>IF(D447="USD",G447*$N$1,G447)</f>
        <v/>
      </c>
      <c r="K447" s="9">
        <f>H447+I447</f>
        <v/>
      </c>
    </row>
    <row r="448">
      <c r="A448" s="8" t="n">
        <v>46050</v>
      </c>
      <c r="B448" t="inlineStr">
        <is>
          <t>2026-W05</t>
        </is>
      </c>
      <c r="C448" t="inlineStr">
        <is>
          <t>Nuvei</t>
        </is>
      </c>
      <c r="D448" t="inlineStr">
        <is>
          <t>EUR</t>
        </is>
      </c>
      <c r="E448" s="9" t="n">
        <v>0</v>
      </c>
      <c r="F448" s="9" t="n">
        <v>0</v>
      </c>
      <c r="G448" s="9" t="n">
        <v>-683120.28</v>
      </c>
      <c r="H448" s="9">
        <f>IF(D448="USD",E448*$N$1,E448)</f>
        <v/>
      </c>
      <c r="I448" s="9">
        <f>IF(D448="USD",F448*$N$1,F448)</f>
        <v/>
      </c>
      <c r="J448" s="9">
        <f>IF(D448="USD",G448*$N$1,G448)</f>
        <v/>
      </c>
      <c r="K448" s="9">
        <f>H448+I448</f>
        <v/>
      </c>
    </row>
    <row r="449">
      <c r="A449" s="8" t="n">
        <v>46050</v>
      </c>
      <c r="B449" t="inlineStr">
        <is>
          <t>2026-W05</t>
        </is>
      </c>
      <c r="C449" t="inlineStr">
        <is>
          <t>Nuvei</t>
        </is>
      </c>
      <c r="D449" t="inlineStr">
        <is>
          <t>EUR</t>
        </is>
      </c>
      <c r="E449" s="9" t="n">
        <v>0</v>
      </c>
      <c r="F449" s="9" t="n">
        <v>0</v>
      </c>
      <c r="G449" s="9" t="n">
        <v>-103165.92</v>
      </c>
      <c r="H449" s="9">
        <f>IF(D449="USD",E449*$N$1,E449)</f>
        <v/>
      </c>
      <c r="I449" s="9">
        <f>IF(D449="USD",F449*$N$1,F449)</f>
        <v/>
      </c>
      <c r="J449" s="9">
        <f>IF(D449="USD",G449*$N$1,G449)</f>
        <v/>
      </c>
      <c r="K449" s="9">
        <f>H449+I449</f>
        <v/>
      </c>
    </row>
    <row r="450">
      <c r="A450" s="8" t="n">
        <v>46050</v>
      </c>
      <c r="B450" t="inlineStr">
        <is>
          <t>2026-W05</t>
        </is>
      </c>
      <c r="C450" t="inlineStr">
        <is>
          <t>Nuvei</t>
        </is>
      </c>
      <c r="D450" t="inlineStr">
        <is>
          <t>EUR</t>
        </is>
      </c>
      <c r="E450" s="9" t="n">
        <v>761880.26</v>
      </c>
      <c r="F450" s="9" t="n">
        <v>-9801.24</v>
      </c>
      <c r="G450" s="9" t="n">
        <v>0</v>
      </c>
      <c r="H450" s="9">
        <f>IF(D450="USD",E450*$N$1,E450)</f>
        <v/>
      </c>
      <c r="I450" s="9">
        <f>IF(D450="USD",F450*$N$1,F450)</f>
        <v/>
      </c>
      <c r="J450" s="9">
        <f>IF(D450="USD",G450*$N$1,G450)</f>
        <v/>
      </c>
      <c r="K450" s="9">
        <f>H450+I450</f>
        <v/>
      </c>
    </row>
    <row r="451">
      <c r="A451" s="8" t="n">
        <v>46050</v>
      </c>
      <c r="B451" t="inlineStr">
        <is>
          <t>2026-W05</t>
        </is>
      </c>
      <c r="C451" t="inlineStr">
        <is>
          <t>Nuvei</t>
        </is>
      </c>
      <c r="D451" t="inlineStr">
        <is>
          <t>EUR</t>
        </is>
      </c>
      <c r="E451" s="9" t="n">
        <v>112961.48</v>
      </c>
      <c r="F451" s="9" t="n">
        <v>-2904.32</v>
      </c>
      <c r="G451" s="9" t="n">
        <v>0</v>
      </c>
      <c r="H451" s="9">
        <f>IF(D451="USD",E451*$N$1,E451)</f>
        <v/>
      </c>
      <c r="I451" s="9">
        <f>IF(D451="USD",F451*$N$1,F451)</f>
        <v/>
      </c>
      <c r="J451" s="9">
        <f>IF(D451="USD",G451*$N$1,G451)</f>
        <v/>
      </c>
      <c r="K451" s="9">
        <f>H451+I451</f>
        <v/>
      </c>
    </row>
    <row r="452">
      <c r="A452" s="8" t="n">
        <v>46051</v>
      </c>
      <c r="B452" t="inlineStr">
        <is>
          <t>2026-W05</t>
        </is>
      </c>
      <c r="C452" t="inlineStr">
        <is>
          <t>Adyen</t>
        </is>
      </c>
      <c r="D452" t="inlineStr">
        <is>
          <t>EUR</t>
        </is>
      </c>
      <c r="E452" s="9" t="n">
        <v>0</v>
      </c>
      <c r="F452" s="9" t="n">
        <v>0</v>
      </c>
      <c r="G452" s="9" t="n">
        <v>-446201.1200000001</v>
      </c>
      <c r="H452" s="9">
        <f>IF(D452="USD",E452*$N$1,E452)</f>
        <v/>
      </c>
      <c r="I452" s="9">
        <f>IF(D452="USD",F452*$N$1,F452)</f>
        <v/>
      </c>
      <c r="J452" s="9">
        <f>IF(D452="USD",G452*$N$1,G452)</f>
        <v/>
      </c>
      <c r="K452" s="9">
        <f>H452+I452</f>
        <v/>
      </c>
    </row>
    <row r="453">
      <c r="A453" s="8" t="n">
        <v>46051</v>
      </c>
      <c r="B453" t="inlineStr">
        <is>
          <t>2026-W05</t>
        </is>
      </c>
      <c r="C453" t="inlineStr">
        <is>
          <t>Adyen</t>
        </is>
      </c>
      <c r="D453" t="inlineStr">
        <is>
          <t>EUR</t>
        </is>
      </c>
      <c r="E453" s="9" t="n">
        <v>371782.36</v>
      </c>
      <c r="F453" s="9" t="n">
        <v>-3416.540000000037</v>
      </c>
      <c r="G453" s="9" t="n">
        <v>0</v>
      </c>
      <c r="H453" s="9">
        <f>IF(D453="USD",E453*$N$1,E453)</f>
        <v/>
      </c>
      <c r="I453" s="9">
        <f>IF(D453="USD",F453*$N$1,F453)</f>
        <v/>
      </c>
      <c r="J453" s="9">
        <f>IF(D453="USD",G453*$N$1,G453)</f>
        <v/>
      </c>
      <c r="K453" s="9">
        <f>H453+I453</f>
        <v/>
      </c>
    </row>
    <row r="454">
      <c r="A454" s="8" t="n">
        <v>46051</v>
      </c>
      <c r="B454" t="inlineStr">
        <is>
          <t>2026-W05</t>
        </is>
      </c>
      <c r="C454" t="inlineStr">
        <is>
          <t>Adyen</t>
        </is>
      </c>
      <c r="D454" t="inlineStr">
        <is>
          <t>EUR</t>
        </is>
      </c>
      <c r="E454" s="9" t="n">
        <v>53244.18</v>
      </c>
      <c r="F454" s="9" t="n">
        <v>0</v>
      </c>
      <c r="G454" s="9" t="n">
        <v>0</v>
      </c>
      <c r="H454" s="9">
        <f>IF(D454="USD",E454*$N$1,E454)</f>
        <v/>
      </c>
      <c r="I454" s="9">
        <f>IF(D454="USD",F454*$N$1,F454)</f>
        <v/>
      </c>
      <c r="J454" s="9">
        <f>IF(D454="USD",G454*$N$1,G454)</f>
        <v/>
      </c>
      <c r="K454" s="9">
        <f>H454+I454</f>
        <v/>
      </c>
    </row>
    <row r="455">
      <c r="A455" s="8" t="n">
        <v>46051</v>
      </c>
      <c r="B455" t="inlineStr">
        <is>
          <t>2026-W05</t>
        </is>
      </c>
      <c r="C455" t="inlineStr">
        <is>
          <t>Nuvei</t>
        </is>
      </c>
      <c r="D455" t="inlineStr">
        <is>
          <t>EUR</t>
        </is>
      </c>
      <c r="E455" s="9" t="n">
        <v>0</v>
      </c>
      <c r="F455" s="9" t="n">
        <v>0</v>
      </c>
      <c r="G455" s="9" t="n">
        <v>-612093.46</v>
      </c>
      <c r="H455" s="9">
        <f>IF(D455="USD",E455*$N$1,E455)</f>
        <v/>
      </c>
      <c r="I455" s="9">
        <f>IF(D455="USD",F455*$N$1,F455)</f>
        <v/>
      </c>
      <c r="J455" s="9">
        <f>IF(D455="USD",G455*$N$1,G455)</f>
        <v/>
      </c>
      <c r="K455" s="9">
        <f>H455+I455</f>
        <v/>
      </c>
    </row>
    <row r="456">
      <c r="A456" s="8" t="n">
        <v>46051</v>
      </c>
      <c r="B456" t="inlineStr">
        <is>
          <t>2026-W05</t>
        </is>
      </c>
      <c r="C456" t="inlineStr">
        <is>
          <t>Nuvei</t>
        </is>
      </c>
      <c r="D456" t="inlineStr">
        <is>
          <t>EUR</t>
        </is>
      </c>
      <c r="E456" s="9" t="n">
        <v>0</v>
      </c>
      <c r="F456" s="9" t="n">
        <v>0</v>
      </c>
      <c r="G456" s="9" t="n">
        <v>-79930.23</v>
      </c>
      <c r="H456" s="9">
        <f>IF(D456="USD",E456*$N$1,E456)</f>
        <v/>
      </c>
      <c r="I456" s="9">
        <f>IF(D456="USD",F456*$N$1,F456)</f>
        <v/>
      </c>
      <c r="J456" s="9">
        <f>IF(D456="USD",G456*$N$1,G456)</f>
        <v/>
      </c>
      <c r="K456" s="9">
        <f>H456+I456</f>
        <v/>
      </c>
    </row>
    <row r="457">
      <c r="A457" s="8" t="n">
        <v>46051</v>
      </c>
      <c r="B457" t="inlineStr">
        <is>
          <t>2026-W05</t>
        </is>
      </c>
      <c r="C457" t="inlineStr">
        <is>
          <t>Nuvei</t>
        </is>
      </c>
      <c r="D457" t="inlineStr">
        <is>
          <t>EUR</t>
        </is>
      </c>
      <c r="E457" s="9" t="n">
        <v>846540.96</v>
      </c>
      <c r="F457" s="9" t="n">
        <v>-11060.08</v>
      </c>
      <c r="G457" s="9" t="n">
        <v>0</v>
      </c>
      <c r="H457" s="9">
        <f>IF(D457="USD",E457*$N$1,E457)</f>
        <v/>
      </c>
      <c r="I457" s="9">
        <f>IF(D457="USD",F457*$N$1,F457)</f>
        <v/>
      </c>
      <c r="J457" s="9">
        <f>IF(D457="USD",G457*$N$1,G457)</f>
        <v/>
      </c>
      <c r="K457" s="9">
        <f>H457+I457</f>
        <v/>
      </c>
    </row>
    <row r="458">
      <c r="A458" s="8" t="n">
        <v>46051</v>
      </c>
      <c r="B458" t="inlineStr">
        <is>
          <t>2026-W05</t>
        </is>
      </c>
      <c r="C458" t="inlineStr">
        <is>
          <t>Nuvei</t>
        </is>
      </c>
      <c r="D458" t="inlineStr">
        <is>
          <t>EUR</t>
        </is>
      </c>
      <c r="E458" s="9" t="n">
        <v>96181.11</v>
      </c>
      <c r="F458" s="9" t="n">
        <v>-2501.43</v>
      </c>
      <c r="G458" s="9" t="n">
        <v>0</v>
      </c>
      <c r="H458" s="9">
        <f>IF(D458="USD",E458*$N$1,E458)</f>
        <v/>
      </c>
      <c r="I458" s="9">
        <f>IF(D458="USD",F458*$N$1,F458)</f>
        <v/>
      </c>
      <c r="J458" s="9">
        <f>IF(D458="USD",G458*$N$1,G458)</f>
        <v/>
      </c>
      <c r="K458" s="9">
        <f>H458+I458</f>
        <v/>
      </c>
    </row>
    <row r="459">
      <c r="A459" s="8" t="n">
        <v>46052</v>
      </c>
      <c r="B459" t="inlineStr">
        <is>
          <t>2026-W05</t>
        </is>
      </c>
      <c r="C459" t="inlineStr">
        <is>
          <t>Adyen</t>
        </is>
      </c>
      <c r="D459" t="inlineStr">
        <is>
          <t>EUR</t>
        </is>
      </c>
      <c r="E459" s="9" t="n">
        <v>0</v>
      </c>
      <c r="F459" s="9" t="n">
        <v>0</v>
      </c>
      <c r="G459" s="9" t="n">
        <v>-425869.8799999999</v>
      </c>
      <c r="H459" s="9">
        <f>IF(D459="USD",E459*$N$1,E459)</f>
        <v/>
      </c>
      <c r="I459" s="9">
        <f>IF(D459="USD",F459*$N$1,F459)</f>
        <v/>
      </c>
      <c r="J459" s="9">
        <f>IF(D459="USD",G459*$N$1,G459)</f>
        <v/>
      </c>
      <c r="K459" s="9">
        <f>H459+I459</f>
        <v/>
      </c>
    </row>
    <row r="460">
      <c r="A460" s="8" t="n">
        <v>46052</v>
      </c>
      <c r="B460" t="inlineStr">
        <is>
          <t>2026-W05</t>
        </is>
      </c>
      <c r="C460" t="inlineStr">
        <is>
          <t>Adyen</t>
        </is>
      </c>
      <c r="D460" t="inlineStr">
        <is>
          <t>EUR</t>
        </is>
      </c>
      <c r="E460" s="9" t="n">
        <v>334003.83</v>
      </c>
      <c r="F460" s="9" t="n">
        <v>-4839.659999999916</v>
      </c>
      <c r="G460" s="9" t="n">
        <v>0</v>
      </c>
      <c r="H460" s="9">
        <f>IF(D460="USD",E460*$N$1,E460)</f>
        <v/>
      </c>
      <c r="I460" s="9">
        <f>IF(D460="USD",F460*$N$1,F460)</f>
        <v/>
      </c>
      <c r="J460" s="9">
        <f>IF(D460="USD",G460*$N$1,G460)</f>
        <v/>
      </c>
      <c r="K460" s="9">
        <f>H460+I460</f>
        <v/>
      </c>
    </row>
    <row r="461">
      <c r="A461" s="8" t="n">
        <v>46052</v>
      </c>
      <c r="B461" t="inlineStr">
        <is>
          <t>2026-W05</t>
        </is>
      </c>
      <c r="C461" t="inlineStr">
        <is>
          <t>Adyen</t>
        </is>
      </c>
      <c r="D461" t="inlineStr">
        <is>
          <t>EUR</t>
        </is>
      </c>
      <c r="E461" s="9" t="n">
        <v>41836.68</v>
      </c>
      <c r="F461" s="9" t="n">
        <v>0</v>
      </c>
      <c r="G461" s="9" t="n">
        <v>0</v>
      </c>
      <c r="H461" s="9">
        <f>IF(D461="USD",E461*$N$1,E461)</f>
        <v/>
      </c>
      <c r="I461" s="9">
        <f>IF(D461="USD",F461*$N$1,F461)</f>
        <v/>
      </c>
      <c r="J461" s="9">
        <f>IF(D461="USD",G461*$N$1,G461)</f>
        <v/>
      </c>
      <c r="K461" s="9">
        <f>H461+I461</f>
        <v/>
      </c>
    </row>
    <row r="462">
      <c r="A462" s="8" t="n">
        <v>46052</v>
      </c>
      <c r="B462" t="inlineStr">
        <is>
          <t>2026-W05</t>
        </is>
      </c>
      <c r="C462" t="inlineStr">
        <is>
          <t>Nuvei</t>
        </is>
      </c>
      <c r="D462" t="inlineStr">
        <is>
          <t>EUR</t>
        </is>
      </c>
      <c r="E462" s="9" t="n">
        <v>0</v>
      </c>
      <c r="F462" s="9" t="n">
        <v>0</v>
      </c>
      <c r="G462" s="9" t="n">
        <v>-2153743.06</v>
      </c>
      <c r="H462" s="9">
        <f>IF(D462="USD",E462*$N$1,E462)</f>
        <v/>
      </c>
      <c r="I462" s="9">
        <f>IF(D462="USD",F462*$N$1,F462)</f>
        <v/>
      </c>
      <c r="J462" s="9">
        <f>IF(D462="USD",G462*$N$1,G462)</f>
        <v/>
      </c>
      <c r="K462" s="9">
        <f>H462+I462</f>
        <v/>
      </c>
    </row>
    <row r="463">
      <c r="A463" s="8" t="n">
        <v>46052</v>
      </c>
      <c r="B463" t="inlineStr">
        <is>
          <t>2026-W05</t>
        </is>
      </c>
      <c r="C463" t="inlineStr">
        <is>
          <t>Nuvei</t>
        </is>
      </c>
      <c r="D463" t="inlineStr">
        <is>
          <t>EUR</t>
        </is>
      </c>
      <c r="E463" s="9" t="n">
        <v>0</v>
      </c>
      <c r="F463" s="9" t="n">
        <v>0</v>
      </c>
      <c r="G463" s="9" t="n">
        <v>-282528.18</v>
      </c>
      <c r="H463" s="9">
        <f>IF(D463="USD",E463*$N$1,E463)</f>
        <v/>
      </c>
      <c r="I463" s="9">
        <f>IF(D463="USD",F463*$N$1,F463)</f>
        <v/>
      </c>
      <c r="J463" s="9">
        <f>IF(D463="USD",G463*$N$1,G463)</f>
        <v/>
      </c>
      <c r="K463" s="9">
        <f>H463+I463</f>
        <v/>
      </c>
    </row>
    <row r="464">
      <c r="A464" s="8" t="n">
        <v>46052</v>
      </c>
      <c r="B464" t="inlineStr">
        <is>
          <t>2026-W05</t>
        </is>
      </c>
      <c r="C464" t="inlineStr">
        <is>
          <t>Nuvei</t>
        </is>
      </c>
      <c r="D464" t="inlineStr">
        <is>
          <t>EUR</t>
        </is>
      </c>
      <c r="E464" s="9" t="n">
        <v>738267.14</v>
      </c>
      <c r="F464" s="9" t="n">
        <v>-9656.33</v>
      </c>
      <c r="G464" s="9" t="n">
        <v>0</v>
      </c>
      <c r="H464" s="9">
        <f>IF(D464="USD",E464*$N$1,E464)</f>
        <v/>
      </c>
      <c r="I464" s="9">
        <f>IF(D464="USD",F464*$N$1,F464)</f>
        <v/>
      </c>
      <c r="J464" s="9">
        <f>IF(D464="USD",G464*$N$1,G464)</f>
        <v/>
      </c>
      <c r="K464" s="9">
        <f>H464+I464</f>
        <v/>
      </c>
    </row>
    <row r="465">
      <c r="A465" s="8" t="n">
        <v>46052</v>
      </c>
      <c r="B465" t="inlineStr">
        <is>
          <t>2026-W05</t>
        </is>
      </c>
      <c r="C465" t="inlineStr">
        <is>
          <t>Nuvei</t>
        </is>
      </c>
      <c r="D465" t="inlineStr">
        <is>
          <t>EUR</t>
        </is>
      </c>
      <c r="E465" s="9" t="n">
        <v>99876.07000000001</v>
      </c>
      <c r="F465" s="9" t="n">
        <v>-2549.84</v>
      </c>
      <c r="G465" s="9" t="n">
        <v>0</v>
      </c>
      <c r="H465" s="9">
        <f>IF(D465="USD",E465*$N$1,E465)</f>
        <v/>
      </c>
      <c r="I465" s="9">
        <f>IF(D465="USD",F465*$N$1,F465)</f>
        <v/>
      </c>
      <c r="J465" s="9">
        <f>IF(D465="USD",G465*$N$1,G465)</f>
        <v/>
      </c>
      <c r="K465" s="9">
        <f>H465+I465</f>
        <v/>
      </c>
    </row>
    <row r="466">
      <c r="A466" s="8" t="n">
        <v>46053</v>
      </c>
      <c r="B466" t="inlineStr">
        <is>
          <t>2026-W05</t>
        </is>
      </c>
      <c r="C466" t="inlineStr">
        <is>
          <t>Adyen</t>
        </is>
      </c>
      <c r="D466" t="inlineStr">
        <is>
          <t>EUR</t>
        </is>
      </c>
      <c r="E466" s="9" t="n">
        <v>260175.33</v>
      </c>
      <c r="F466" s="9" t="n">
        <v>0</v>
      </c>
      <c r="G466" s="9" t="n">
        <v>0</v>
      </c>
      <c r="H466" s="9">
        <f>IF(D466="USD",E466*$N$1,E466)</f>
        <v/>
      </c>
      <c r="I466" s="9">
        <f>IF(D466="USD",F466*$N$1,F466)</f>
        <v/>
      </c>
      <c r="J466" s="9">
        <f>IF(D466="USD",G466*$N$1,G466)</f>
        <v/>
      </c>
      <c r="K466" s="9">
        <f>H466+I466</f>
        <v/>
      </c>
    </row>
    <row r="467">
      <c r="A467" s="8" t="n">
        <v>46053</v>
      </c>
      <c r="B467" t="inlineStr">
        <is>
          <t>2026-W05</t>
        </is>
      </c>
      <c r="C467" t="inlineStr">
        <is>
          <t>Adyen</t>
        </is>
      </c>
      <c r="D467" t="inlineStr">
        <is>
          <t>EUR</t>
        </is>
      </c>
      <c r="E467" s="9" t="n">
        <v>33891.71</v>
      </c>
      <c r="F467" s="9" t="n">
        <v>0</v>
      </c>
      <c r="G467" s="9" t="n">
        <v>0</v>
      </c>
      <c r="H467" s="9">
        <f>IF(D467="USD",E467*$N$1,E467)</f>
        <v/>
      </c>
      <c r="I467" s="9">
        <f>IF(D467="USD",F467*$N$1,F467)</f>
        <v/>
      </c>
      <c r="J467" s="9">
        <f>IF(D467="USD",G467*$N$1,G467)</f>
        <v/>
      </c>
      <c r="K467" s="9">
        <f>H467+I467</f>
        <v/>
      </c>
    </row>
    <row r="468">
      <c r="A468" s="8" t="n">
        <v>46053</v>
      </c>
      <c r="B468" t="inlineStr">
        <is>
          <t>2026-W05</t>
        </is>
      </c>
      <c r="C468" t="inlineStr">
        <is>
          <t>Nuvei</t>
        </is>
      </c>
      <c r="D468" t="inlineStr">
        <is>
          <t>EUR</t>
        </is>
      </c>
      <c r="E468" s="9" t="n">
        <v>693571.05</v>
      </c>
      <c r="F468" s="9" t="n">
        <v>-8738.83</v>
      </c>
      <c r="G468" s="9" t="n">
        <v>0</v>
      </c>
      <c r="H468" s="9">
        <f>IF(D468="USD",E468*$N$1,E468)</f>
        <v/>
      </c>
      <c r="I468" s="9">
        <f>IF(D468="USD",F468*$N$1,F468)</f>
        <v/>
      </c>
      <c r="J468" s="9">
        <f>IF(D468="USD",G468*$N$1,G468)</f>
        <v/>
      </c>
      <c r="K468" s="9">
        <f>H468+I468</f>
        <v/>
      </c>
    </row>
    <row r="469">
      <c r="A469" s="8" t="n">
        <v>46053</v>
      </c>
      <c r="B469" t="inlineStr">
        <is>
          <t>2026-W05</t>
        </is>
      </c>
      <c r="C469" t="inlineStr">
        <is>
          <t>Nuvei</t>
        </is>
      </c>
      <c r="D469" t="inlineStr">
        <is>
          <t>EUR</t>
        </is>
      </c>
      <c r="E469" s="9" t="n">
        <v>107393.43</v>
      </c>
      <c r="F469" s="9" t="n">
        <v>-2727.59</v>
      </c>
      <c r="G469" s="9" t="n">
        <v>0</v>
      </c>
      <c r="H469" s="9">
        <f>IF(D469="USD",E469*$N$1,E469)</f>
        <v/>
      </c>
      <c r="I469" s="9">
        <f>IF(D469="USD",F469*$N$1,F469)</f>
        <v/>
      </c>
      <c r="J469" s="9">
        <f>IF(D469="USD",G469*$N$1,G469)</f>
        <v/>
      </c>
      <c r="K469" s="9">
        <f>H469+I469</f>
        <v/>
      </c>
    </row>
    <row r="470">
      <c r="A470" s="8" t="n">
        <v>46054</v>
      </c>
      <c r="B470" t="inlineStr">
        <is>
          <t>2026-W05</t>
        </is>
      </c>
      <c r="C470" t="inlineStr">
        <is>
          <t>Adyen</t>
        </is>
      </c>
      <c r="D470" t="inlineStr">
        <is>
          <t>EUR</t>
        </is>
      </c>
      <c r="E470" s="9" t="n">
        <v>310440.47</v>
      </c>
      <c r="F470" s="9" t="n">
        <v>0</v>
      </c>
      <c r="G470" s="9" t="n">
        <v>0</v>
      </c>
      <c r="H470" s="9">
        <f>IF(D470="USD",E470*$N$1,E470)</f>
        <v/>
      </c>
      <c r="I470" s="9">
        <f>IF(D470="USD",F470*$N$1,F470)</f>
        <v/>
      </c>
      <c r="J470" s="9">
        <f>IF(D470="USD",G470*$N$1,G470)</f>
        <v/>
      </c>
      <c r="K470" s="9">
        <f>H470+I470</f>
        <v/>
      </c>
    </row>
    <row r="471">
      <c r="A471" s="8" t="n">
        <v>46054</v>
      </c>
      <c r="B471" t="inlineStr">
        <is>
          <t>2026-W05</t>
        </is>
      </c>
      <c r="C471" t="inlineStr">
        <is>
          <t>Adyen</t>
        </is>
      </c>
      <c r="D471" t="inlineStr">
        <is>
          <t>EUR</t>
        </is>
      </c>
      <c r="E471" s="9" t="n">
        <v>33364.42</v>
      </c>
      <c r="F471" s="9" t="n">
        <v>0</v>
      </c>
      <c r="G471" s="9" t="n">
        <v>0</v>
      </c>
      <c r="H471" s="9">
        <f>IF(D471="USD",E471*$N$1,E471)</f>
        <v/>
      </c>
      <c r="I471" s="9">
        <f>IF(D471="USD",F471*$N$1,F471)</f>
        <v/>
      </c>
      <c r="J471" s="9">
        <f>IF(D471="USD",G471*$N$1,G471)</f>
        <v/>
      </c>
      <c r="K471" s="9">
        <f>H471+I471</f>
        <v/>
      </c>
    </row>
    <row r="472">
      <c r="A472" s="8" t="n">
        <v>46054</v>
      </c>
      <c r="B472" t="inlineStr">
        <is>
          <t>2026-W05</t>
        </is>
      </c>
      <c r="C472" t="inlineStr">
        <is>
          <t>Nuvei</t>
        </is>
      </c>
      <c r="D472" t="inlineStr">
        <is>
          <t>EUR</t>
        </is>
      </c>
      <c r="E472" s="9" t="n">
        <v>736847.42</v>
      </c>
      <c r="F472" s="9" t="n">
        <v>-8742.959999999999</v>
      </c>
      <c r="G472" s="9" t="n">
        <v>0</v>
      </c>
      <c r="H472" s="9">
        <f>IF(D472="USD",E472*$N$1,E472)</f>
        <v/>
      </c>
      <c r="I472" s="9">
        <f>IF(D472="USD",F472*$N$1,F472)</f>
        <v/>
      </c>
      <c r="J472" s="9">
        <f>IF(D472="USD",G472*$N$1,G472)</f>
        <v/>
      </c>
      <c r="K472" s="9">
        <f>H472+I472</f>
        <v/>
      </c>
    </row>
    <row r="473">
      <c r="A473" s="8" t="n">
        <v>46054</v>
      </c>
      <c r="B473" t="inlineStr">
        <is>
          <t>2026-W05</t>
        </is>
      </c>
      <c r="C473" t="inlineStr">
        <is>
          <t>Nuvei</t>
        </is>
      </c>
      <c r="D473" t="inlineStr">
        <is>
          <t>EUR</t>
        </is>
      </c>
      <c r="E473" s="9" t="n">
        <v>111492.15</v>
      </c>
      <c r="F473" s="9" t="n">
        <v>-2908.51</v>
      </c>
      <c r="G473" s="9" t="n">
        <v>0</v>
      </c>
      <c r="H473" s="9">
        <f>IF(D473="USD",E473*$N$1,E473)</f>
        <v/>
      </c>
      <c r="I473" s="9">
        <f>IF(D473="USD",F473*$N$1,F473)</f>
        <v/>
      </c>
      <c r="J473" s="9">
        <f>IF(D473="USD",G473*$N$1,G473)</f>
        <v/>
      </c>
      <c r="K473" s="9">
        <f>H473+I473</f>
        <v/>
      </c>
    </row>
    <row r="474">
      <c r="A474" s="8" t="n">
        <v>46055</v>
      </c>
      <c r="B474" t="inlineStr">
        <is>
          <t>2026-W06</t>
        </is>
      </c>
      <c r="C474" t="inlineStr">
        <is>
          <t>Adyen</t>
        </is>
      </c>
      <c r="D474" t="inlineStr">
        <is>
          <t>EUR</t>
        </is>
      </c>
      <c r="E474" s="9" t="n">
        <v>0</v>
      </c>
      <c r="F474" s="9" t="n">
        <v>0</v>
      </c>
      <c r="G474" s="9" t="n">
        <v>-421609.9999999999</v>
      </c>
      <c r="H474" s="9">
        <f>IF(D474="USD",E474*$N$1,E474)</f>
        <v/>
      </c>
      <c r="I474" s="9">
        <f>IF(D474="USD",F474*$N$1,F474)</f>
        <v/>
      </c>
      <c r="J474" s="9">
        <f>IF(D474="USD",G474*$N$1,G474)</f>
        <v/>
      </c>
      <c r="K474" s="9">
        <f>H474+I474</f>
        <v/>
      </c>
    </row>
    <row r="475">
      <c r="A475" s="8" t="n">
        <v>46055</v>
      </c>
      <c r="B475" t="inlineStr">
        <is>
          <t>2026-W06</t>
        </is>
      </c>
      <c r="C475" t="inlineStr">
        <is>
          <t>Adyen</t>
        </is>
      </c>
      <c r="D475" t="inlineStr">
        <is>
          <t>EUR</t>
        </is>
      </c>
      <c r="E475" s="9" t="n">
        <v>475833.94</v>
      </c>
      <c r="F475" s="9" t="n">
        <v>-5820.739999999991</v>
      </c>
      <c r="G475" s="9" t="n">
        <v>0</v>
      </c>
      <c r="H475" s="9">
        <f>IF(D475="USD",E475*$N$1,E475)</f>
        <v/>
      </c>
      <c r="I475" s="9">
        <f>IF(D475="USD",F475*$N$1,F475)</f>
        <v/>
      </c>
      <c r="J475" s="9">
        <f>IF(D475="USD",G475*$N$1,G475)</f>
        <v/>
      </c>
      <c r="K475" s="9">
        <f>H475+I475</f>
        <v/>
      </c>
    </row>
    <row r="476">
      <c r="A476" s="8" t="n">
        <v>46055</v>
      </c>
      <c r="B476" t="inlineStr">
        <is>
          <t>2026-W06</t>
        </is>
      </c>
      <c r="C476" t="inlineStr">
        <is>
          <t>Adyen</t>
        </is>
      </c>
      <c r="D476" t="inlineStr">
        <is>
          <t>EUR</t>
        </is>
      </c>
      <c r="E476" s="9" t="n">
        <v>59961.75</v>
      </c>
      <c r="F476" s="9" t="n">
        <v>0</v>
      </c>
      <c r="G476" s="9" t="n">
        <v>0</v>
      </c>
      <c r="H476" s="9">
        <f>IF(D476="USD",E476*$N$1,E476)</f>
        <v/>
      </c>
      <c r="I476" s="9">
        <f>IF(D476="USD",F476*$N$1,F476)</f>
        <v/>
      </c>
      <c r="J476" s="9">
        <f>IF(D476="USD",G476*$N$1,G476)</f>
        <v/>
      </c>
      <c r="K476" s="9">
        <f>H476+I476</f>
        <v/>
      </c>
    </row>
    <row r="477">
      <c r="A477" s="8" t="n">
        <v>46055</v>
      </c>
      <c r="B477" t="inlineStr">
        <is>
          <t>2026-W06</t>
        </is>
      </c>
      <c r="C477" t="inlineStr">
        <is>
          <t>Nuvei</t>
        </is>
      </c>
      <c r="D477" t="inlineStr">
        <is>
          <t>EUR</t>
        </is>
      </c>
      <c r="E477" s="9" t="n">
        <v>0</v>
      </c>
      <c r="F477" s="9" t="n">
        <v>0</v>
      </c>
      <c r="G477" s="9" t="n">
        <v>-712395.13</v>
      </c>
      <c r="H477" s="9">
        <f>IF(D477="USD",E477*$N$1,E477)</f>
        <v/>
      </c>
      <c r="I477" s="9">
        <f>IF(D477="USD",F477*$N$1,F477)</f>
        <v/>
      </c>
      <c r="J477" s="9">
        <f>IF(D477="USD",G477*$N$1,G477)</f>
        <v/>
      </c>
      <c r="K477" s="9">
        <f>H477+I477</f>
        <v/>
      </c>
    </row>
    <row r="478">
      <c r="A478" s="8" t="n">
        <v>46055</v>
      </c>
      <c r="B478" t="inlineStr">
        <is>
          <t>2026-W06</t>
        </is>
      </c>
      <c r="C478" t="inlineStr">
        <is>
          <t>Nuvei</t>
        </is>
      </c>
      <c r="D478" t="inlineStr">
        <is>
          <t>EUR</t>
        </is>
      </c>
      <c r="E478" s="9" t="n">
        <v>0</v>
      </c>
      <c r="F478" s="9" t="n">
        <v>0</v>
      </c>
      <c r="G478" s="9" t="n">
        <v>-80711.32000000001</v>
      </c>
      <c r="H478" s="9">
        <f>IF(D478="USD",E478*$N$1,E478)</f>
        <v/>
      </c>
      <c r="I478" s="9">
        <f>IF(D478="USD",F478*$N$1,F478)</f>
        <v/>
      </c>
      <c r="J478" s="9">
        <f>IF(D478="USD",G478*$N$1,G478)</f>
        <v/>
      </c>
      <c r="K478" s="9">
        <f>H478+I478</f>
        <v/>
      </c>
    </row>
    <row r="479">
      <c r="A479" s="8" t="n">
        <v>46055</v>
      </c>
      <c r="B479" t="inlineStr">
        <is>
          <t>2026-W06</t>
        </is>
      </c>
      <c r="C479" t="inlineStr">
        <is>
          <t>Nuvei</t>
        </is>
      </c>
      <c r="D479" t="inlineStr">
        <is>
          <t>EUR</t>
        </is>
      </c>
      <c r="E479" s="9" t="n">
        <v>889051.99</v>
      </c>
      <c r="F479" s="9" t="n">
        <v>-11975.99</v>
      </c>
      <c r="G479" s="9" t="n">
        <v>0</v>
      </c>
      <c r="H479" s="9">
        <f>IF(D479="USD",E479*$N$1,E479)</f>
        <v/>
      </c>
      <c r="I479" s="9">
        <f>IF(D479="USD",F479*$N$1,F479)</f>
        <v/>
      </c>
      <c r="J479" s="9">
        <f>IF(D479="USD",G479*$N$1,G479)</f>
        <v/>
      </c>
      <c r="K479" s="9">
        <f>H479+I479</f>
        <v/>
      </c>
    </row>
    <row r="480">
      <c r="A480" s="8" t="n">
        <v>46055</v>
      </c>
      <c r="B480" t="inlineStr">
        <is>
          <t>2026-W06</t>
        </is>
      </c>
      <c r="C480" t="inlineStr">
        <is>
          <t>Nuvei</t>
        </is>
      </c>
      <c r="D480" t="inlineStr">
        <is>
          <t>EUR</t>
        </is>
      </c>
      <c r="E480" s="9" t="n">
        <v>137349.4</v>
      </c>
      <c r="F480" s="9" t="n">
        <v>-3579.19</v>
      </c>
      <c r="G480" s="9" t="n">
        <v>0</v>
      </c>
      <c r="H480" s="9">
        <f>IF(D480="USD",E480*$N$1,E480)</f>
        <v/>
      </c>
      <c r="I480" s="9">
        <f>IF(D480="USD",F480*$N$1,F480)</f>
        <v/>
      </c>
      <c r="J480" s="9">
        <f>IF(D480="USD",G480*$N$1,G480)</f>
        <v/>
      </c>
      <c r="K480" s="9">
        <f>H480+I480</f>
        <v/>
      </c>
    </row>
    <row r="481">
      <c r="A481" s="8" t="n">
        <v>46056</v>
      </c>
      <c r="B481" t="inlineStr">
        <is>
          <t>2026-W06</t>
        </is>
      </c>
      <c r="C481" t="inlineStr">
        <is>
          <t>Adyen</t>
        </is>
      </c>
      <c r="D481" t="inlineStr">
        <is>
          <t>EUR</t>
        </is>
      </c>
      <c r="E481" s="9" t="n">
        <v>0</v>
      </c>
      <c r="F481" s="9" t="n">
        <v>0</v>
      </c>
      <c r="G481" s="9" t="n">
        <v>-1008872.78</v>
      </c>
      <c r="H481" s="9">
        <f>IF(D481="USD",E481*$N$1,E481)</f>
        <v/>
      </c>
      <c r="I481" s="9">
        <f>IF(D481="USD",F481*$N$1,F481)</f>
        <v/>
      </c>
      <c r="J481" s="9">
        <f>IF(D481="USD",G481*$N$1,G481)</f>
        <v/>
      </c>
      <c r="K481" s="9">
        <f>H481+I481</f>
        <v/>
      </c>
    </row>
    <row r="482">
      <c r="A482" s="8" t="n">
        <v>46056</v>
      </c>
      <c r="B482" t="inlineStr">
        <is>
          <t>2026-W06</t>
        </is>
      </c>
      <c r="C482" t="inlineStr">
        <is>
          <t>Adyen</t>
        </is>
      </c>
      <c r="D482" t="inlineStr">
        <is>
          <t>EUR</t>
        </is>
      </c>
      <c r="E482" s="9" t="n">
        <v>522546.69</v>
      </c>
      <c r="F482" s="9" t="n">
        <v>-3865.420000000042</v>
      </c>
      <c r="G482" s="9" t="n">
        <v>0</v>
      </c>
      <c r="H482" s="9">
        <f>IF(D482="USD",E482*$N$1,E482)</f>
        <v/>
      </c>
      <c r="I482" s="9">
        <f>IF(D482="USD",F482*$N$1,F482)</f>
        <v/>
      </c>
      <c r="J482" s="9">
        <f>IF(D482="USD",G482*$N$1,G482)</f>
        <v/>
      </c>
      <c r="K482" s="9">
        <f>H482+I482</f>
        <v/>
      </c>
    </row>
    <row r="483">
      <c r="A483" s="8" t="n">
        <v>46056</v>
      </c>
      <c r="B483" t="inlineStr">
        <is>
          <t>2026-W06</t>
        </is>
      </c>
      <c r="C483" t="inlineStr">
        <is>
          <t>Adyen</t>
        </is>
      </c>
      <c r="D483" t="inlineStr">
        <is>
          <t>EUR</t>
        </is>
      </c>
      <c r="E483" s="9" t="n">
        <v>64799.61</v>
      </c>
      <c r="F483" s="9" t="n">
        <v>0</v>
      </c>
      <c r="G483" s="9" t="n">
        <v>0</v>
      </c>
      <c r="H483" s="9">
        <f>IF(D483="USD",E483*$N$1,E483)</f>
        <v/>
      </c>
      <c r="I483" s="9">
        <f>IF(D483="USD",F483*$N$1,F483)</f>
        <v/>
      </c>
      <c r="J483" s="9">
        <f>IF(D483="USD",G483*$N$1,G483)</f>
        <v/>
      </c>
      <c r="K483" s="9">
        <f>H483+I483</f>
        <v/>
      </c>
    </row>
    <row r="484">
      <c r="A484" s="8" t="n">
        <v>46056</v>
      </c>
      <c r="B484" t="inlineStr">
        <is>
          <t>2026-W06</t>
        </is>
      </c>
      <c r="C484" t="inlineStr">
        <is>
          <t>Nuvei</t>
        </is>
      </c>
      <c r="D484" t="inlineStr">
        <is>
          <t>EUR</t>
        </is>
      </c>
      <c r="E484" s="9" t="n">
        <v>0</v>
      </c>
      <c r="F484" s="9" t="n">
        <v>0</v>
      </c>
      <c r="G484" s="9" t="n">
        <v>-752075.52</v>
      </c>
      <c r="H484" s="9">
        <f>IF(D484="USD",E484*$N$1,E484)</f>
        <v/>
      </c>
      <c r="I484" s="9">
        <f>IF(D484="USD",F484*$N$1,F484)</f>
        <v/>
      </c>
      <c r="J484" s="9">
        <f>IF(D484="USD",G484*$N$1,G484)</f>
        <v/>
      </c>
      <c r="K484" s="9">
        <f>H484+I484</f>
        <v/>
      </c>
    </row>
    <row r="485">
      <c r="A485" s="8" t="n">
        <v>46056</v>
      </c>
      <c r="B485" t="inlineStr">
        <is>
          <t>2026-W06</t>
        </is>
      </c>
      <c r="C485" t="inlineStr">
        <is>
          <t>Nuvei</t>
        </is>
      </c>
      <c r="D485" t="inlineStr">
        <is>
          <t>EUR</t>
        </is>
      </c>
      <c r="E485" s="9" t="n">
        <v>0</v>
      </c>
      <c r="F485" s="9" t="n">
        <v>0</v>
      </c>
      <c r="G485" s="9" t="n">
        <v>-110053.67</v>
      </c>
      <c r="H485" s="9">
        <f>IF(D485="USD",E485*$N$1,E485)</f>
        <v/>
      </c>
      <c r="I485" s="9">
        <f>IF(D485="USD",F485*$N$1,F485)</f>
        <v/>
      </c>
      <c r="J485" s="9">
        <f>IF(D485="USD",G485*$N$1,G485)</f>
        <v/>
      </c>
      <c r="K485" s="9">
        <f>H485+I485</f>
        <v/>
      </c>
    </row>
    <row r="486">
      <c r="A486" s="8" t="n">
        <v>46056</v>
      </c>
      <c r="B486" t="inlineStr">
        <is>
          <t>2026-W06</t>
        </is>
      </c>
      <c r="C486" t="inlineStr">
        <is>
          <t>Nuvei</t>
        </is>
      </c>
      <c r="D486" t="inlineStr">
        <is>
          <t>EUR</t>
        </is>
      </c>
      <c r="E486" s="9" t="n">
        <v>867660.34</v>
      </c>
      <c r="F486" s="9" t="n">
        <v>-11386.05</v>
      </c>
      <c r="G486" s="9" t="n">
        <v>0</v>
      </c>
      <c r="H486" s="9">
        <f>IF(D486="USD",E486*$N$1,E486)</f>
        <v/>
      </c>
      <c r="I486" s="9">
        <f>IF(D486="USD",F486*$N$1,F486)</f>
        <v/>
      </c>
      <c r="J486" s="9">
        <f>IF(D486="USD",G486*$N$1,G486)</f>
        <v/>
      </c>
      <c r="K486" s="9">
        <f>H486+I486</f>
        <v/>
      </c>
    </row>
    <row r="487">
      <c r="A487" s="8" t="n">
        <v>46056</v>
      </c>
      <c r="B487" t="inlineStr">
        <is>
          <t>2026-W06</t>
        </is>
      </c>
      <c r="C487" t="inlineStr">
        <is>
          <t>Nuvei</t>
        </is>
      </c>
      <c r="D487" t="inlineStr">
        <is>
          <t>EUR</t>
        </is>
      </c>
      <c r="E487" s="9" t="n">
        <v>80563.24000000001</v>
      </c>
      <c r="F487" s="9" t="n">
        <v>-2051.75</v>
      </c>
      <c r="G487" s="9" t="n">
        <v>0</v>
      </c>
      <c r="H487" s="9">
        <f>IF(D487="USD",E487*$N$1,E487)</f>
        <v/>
      </c>
      <c r="I487" s="9">
        <f>IF(D487="USD",F487*$N$1,F487)</f>
        <v/>
      </c>
      <c r="J487" s="9">
        <f>IF(D487="USD",G487*$N$1,G487)</f>
        <v/>
      </c>
      <c r="K487" s="9">
        <f>H487+I487</f>
        <v/>
      </c>
    </row>
    <row r="488">
      <c r="A488" s="8" t="n">
        <v>46057</v>
      </c>
      <c r="B488" t="inlineStr">
        <is>
          <t>2026-W06</t>
        </is>
      </c>
      <c r="C488" t="inlineStr">
        <is>
          <t>Adyen</t>
        </is>
      </c>
      <c r="D488" t="inlineStr">
        <is>
          <t>EUR</t>
        </is>
      </c>
      <c r="E488" s="9" t="n">
        <v>0</v>
      </c>
      <c r="F488" s="9" t="n">
        <v>0</v>
      </c>
      <c r="G488" s="9" t="n">
        <v>-529974.95</v>
      </c>
      <c r="H488" s="9">
        <f>IF(D488="USD",E488*$N$1,E488)</f>
        <v/>
      </c>
      <c r="I488" s="9">
        <f>IF(D488="USD",F488*$N$1,F488)</f>
        <v/>
      </c>
      <c r="J488" s="9">
        <f>IF(D488="USD",G488*$N$1,G488)</f>
        <v/>
      </c>
      <c r="K488" s="9">
        <f>H488+I488</f>
        <v/>
      </c>
    </row>
    <row r="489">
      <c r="A489" s="8" t="n">
        <v>46057</v>
      </c>
      <c r="B489" t="inlineStr">
        <is>
          <t>2026-W06</t>
        </is>
      </c>
      <c r="C489" t="inlineStr">
        <is>
          <t>Adyen</t>
        </is>
      </c>
      <c r="D489" t="inlineStr">
        <is>
          <t>EUR</t>
        </is>
      </c>
      <c r="E489" s="9" t="n">
        <v>533240.1899999999</v>
      </c>
      <c r="F489" s="9" t="n">
        <v>-15611.46999999997</v>
      </c>
      <c r="G489" s="9" t="n">
        <v>0</v>
      </c>
      <c r="H489" s="9">
        <f>IF(D489="USD",E489*$N$1,E489)</f>
        <v/>
      </c>
      <c r="I489" s="9">
        <f>IF(D489="USD",F489*$N$1,F489)</f>
        <v/>
      </c>
      <c r="J489" s="9">
        <f>IF(D489="USD",G489*$N$1,G489)</f>
        <v/>
      </c>
      <c r="K489" s="9">
        <f>H489+I489</f>
        <v/>
      </c>
    </row>
    <row r="490">
      <c r="A490" s="8" t="n">
        <v>46057</v>
      </c>
      <c r="B490" t="inlineStr">
        <is>
          <t>2026-W06</t>
        </is>
      </c>
      <c r="C490" t="inlineStr">
        <is>
          <t>Adyen</t>
        </is>
      </c>
      <c r="D490" t="inlineStr">
        <is>
          <t>EUR</t>
        </is>
      </c>
      <c r="E490" s="9" t="n">
        <v>73245.42</v>
      </c>
      <c r="F490" s="9" t="n">
        <v>0</v>
      </c>
      <c r="G490" s="9" t="n">
        <v>0</v>
      </c>
      <c r="H490" s="9">
        <f>IF(D490="USD",E490*$N$1,E490)</f>
        <v/>
      </c>
      <c r="I490" s="9">
        <f>IF(D490="USD",F490*$N$1,F490)</f>
        <v/>
      </c>
      <c r="J490" s="9">
        <f>IF(D490="USD",G490*$N$1,G490)</f>
        <v/>
      </c>
      <c r="K490" s="9">
        <f>H490+I490</f>
        <v/>
      </c>
    </row>
    <row r="491">
      <c r="A491" s="8" t="n">
        <v>46057</v>
      </c>
      <c r="B491" t="inlineStr">
        <is>
          <t>2026-W06</t>
        </is>
      </c>
      <c r="C491" t="inlineStr">
        <is>
          <t>Nuvei</t>
        </is>
      </c>
      <c r="D491" t="inlineStr">
        <is>
          <t>EUR</t>
        </is>
      </c>
      <c r="E491" s="9" t="n">
        <v>0</v>
      </c>
      <c r="F491" s="9" t="n">
        <v>0</v>
      </c>
      <c r="G491" s="9" t="n">
        <v>-835477.38</v>
      </c>
      <c r="H491" s="9">
        <f>IF(D491="USD",E491*$N$1,E491)</f>
        <v/>
      </c>
      <c r="I491" s="9">
        <f>IF(D491="USD",F491*$N$1,F491)</f>
        <v/>
      </c>
      <c r="J491" s="9">
        <f>IF(D491="USD",G491*$N$1,G491)</f>
        <v/>
      </c>
      <c r="K491" s="9">
        <f>H491+I491</f>
        <v/>
      </c>
    </row>
    <row r="492">
      <c r="A492" s="8" t="n">
        <v>46057</v>
      </c>
      <c r="B492" t="inlineStr">
        <is>
          <t>2026-W06</t>
        </is>
      </c>
      <c r="C492" t="inlineStr">
        <is>
          <t>Nuvei</t>
        </is>
      </c>
      <c r="D492" t="inlineStr">
        <is>
          <t>EUR</t>
        </is>
      </c>
      <c r="E492" s="9" t="n">
        <v>0</v>
      </c>
      <c r="F492" s="9" t="n">
        <v>0</v>
      </c>
      <c r="G492" s="9" t="n">
        <v>-93676.17</v>
      </c>
      <c r="H492" s="9">
        <f>IF(D492="USD",E492*$N$1,E492)</f>
        <v/>
      </c>
      <c r="I492" s="9">
        <f>IF(D492="USD",F492*$N$1,F492)</f>
        <v/>
      </c>
      <c r="J492" s="9">
        <f>IF(D492="USD",G492*$N$1,G492)</f>
        <v/>
      </c>
      <c r="K492" s="9">
        <f>H492+I492</f>
        <v/>
      </c>
    </row>
    <row r="493">
      <c r="A493" s="8" t="n">
        <v>46057</v>
      </c>
      <c r="B493" t="inlineStr">
        <is>
          <t>2026-W06</t>
        </is>
      </c>
      <c r="C493" t="inlineStr">
        <is>
          <t>Nuvei</t>
        </is>
      </c>
      <c r="D493" t="inlineStr">
        <is>
          <t>EUR</t>
        </is>
      </c>
      <c r="E493" s="9" t="n">
        <v>877438.1800000001</v>
      </c>
      <c r="F493" s="9" t="n">
        <v>-11412.3</v>
      </c>
      <c r="G493" s="9" t="n">
        <v>0</v>
      </c>
      <c r="H493" s="9">
        <f>IF(D493="USD",E493*$N$1,E493)</f>
        <v/>
      </c>
      <c r="I493" s="9">
        <f>IF(D493="USD",F493*$N$1,F493)</f>
        <v/>
      </c>
      <c r="J493" s="9">
        <f>IF(D493="USD",G493*$N$1,G493)</f>
        <v/>
      </c>
      <c r="K493" s="9">
        <f>H493+I493</f>
        <v/>
      </c>
    </row>
    <row r="494">
      <c r="A494" s="8" t="n">
        <v>46057</v>
      </c>
      <c r="B494" t="inlineStr">
        <is>
          <t>2026-W06</t>
        </is>
      </c>
      <c r="C494" t="inlineStr">
        <is>
          <t>Nuvei</t>
        </is>
      </c>
      <c r="D494" t="inlineStr">
        <is>
          <t>EUR</t>
        </is>
      </c>
      <c r="E494" s="9" t="n">
        <v>115817.82</v>
      </c>
      <c r="F494" s="9" t="n">
        <v>-2944.02</v>
      </c>
      <c r="G494" s="9" t="n">
        <v>0</v>
      </c>
      <c r="H494" s="9">
        <f>IF(D494="USD",E494*$N$1,E494)</f>
        <v/>
      </c>
      <c r="I494" s="9">
        <f>IF(D494="USD",F494*$N$1,F494)</f>
        <v/>
      </c>
      <c r="J494" s="9">
        <f>IF(D494="USD",G494*$N$1,G494)</f>
        <v/>
      </c>
      <c r="K494" s="9">
        <f>H494+I494</f>
        <v/>
      </c>
    </row>
    <row r="495">
      <c r="A495" s="8" t="n">
        <v>46058</v>
      </c>
      <c r="B495" t="inlineStr">
        <is>
          <t>2026-W06</t>
        </is>
      </c>
      <c r="C495" t="inlineStr">
        <is>
          <t>Adyen</t>
        </is>
      </c>
      <c r="D495" t="inlineStr">
        <is>
          <t>EUR</t>
        </is>
      </c>
      <c r="E495" s="9" t="n">
        <v>0</v>
      </c>
      <c r="F495" s="9" t="n">
        <v>0</v>
      </c>
      <c r="G495" s="9" t="n">
        <v>-583480.88</v>
      </c>
      <c r="H495" s="9">
        <f>IF(D495="USD",E495*$N$1,E495)</f>
        <v/>
      </c>
      <c r="I495" s="9">
        <f>IF(D495="USD",F495*$N$1,F495)</f>
        <v/>
      </c>
      <c r="J495" s="9">
        <f>IF(D495="USD",G495*$N$1,G495)</f>
        <v/>
      </c>
      <c r="K495" s="9">
        <f>H495+I495</f>
        <v/>
      </c>
    </row>
    <row r="496">
      <c r="A496" s="8" t="n">
        <v>46058</v>
      </c>
      <c r="B496" t="inlineStr">
        <is>
          <t>2026-W06</t>
        </is>
      </c>
      <c r="C496" t="inlineStr">
        <is>
          <t>Adyen</t>
        </is>
      </c>
      <c r="D496" t="inlineStr">
        <is>
          <t>EUR</t>
        </is>
      </c>
      <c r="E496" s="9" t="n">
        <v>419319.41</v>
      </c>
      <c r="F496" s="9" t="n">
        <v>-5228.339999999967</v>
      </c>
      <c r="G496" s="9" t="n">
        <v>0</v>
      </c>
      <c r="H496" s="9">
        <f>IF(D496="USD",E496*$N$1,E496)</f>
        <v/>
      </c>
      <c r="I496" s="9">
        <f>IF(D496="USD",F496*$N$1,F496)</f>
        <v/>
      </c>
      <c r="J496" s="9">
        <f>IF(D496="USD",G496*$N$1,G496)</f>
        <v/>
      </c>
      <c r="K496" s="9">
        <f>H496+I496</f>
        <v/>
      </c>
    </row>
    <row r="497">
      <c r="A497" s="8" t="n">
        <v>46058</v>
      </c>
      <c r="B497" t="inlineStr">
        <is>
          <t>2026-W06</t>
        </is>
      </c>
      <c r="C497" t="inlineStr">
        <is>
          <t>Adyen</t>
        </is>
      </c>
      <c r="D497" t="inlineStr">
        <is>
          <t>EUR</t>
        </is>
      </c>
      <c r="E497" s="9" t="n">
        <v>67760.3</v>
      </c>
      <c r="F497" s="9" t="n">
        <v>0</v>
      </c>
      <c r="G497" s="9" t="n">
        <v>0</v>
      </c>
      <c r="H497" s="9">
        <f>IF(D497="USD",E497*$N$1,E497)</f>
        <v/>
      </c>
      <c r="I497" s="9">
        <f>IF(D497="USD",F497*$N$1,F497)</f>
        <v/>
      </c>
      <c r="J497" s="9">
        <f>IF(D497="USD",G497*$N$1,G497)</f>
        <v/>
      </c>
      <c r="K497" s="9">
        <f>H497+I497</f>
        <v/>
      </c>
    </row>
    <row r="498">
      <c r="A498" s="8" t="n">
        <v>46058</v>
      </c>
      <c r="B498" t="inlineStr">
        <is>
          <t>2026-W06</t>
        </is>
      </c>
      <c r="C498" t="inlineStr">
        <is>
          <t>Nuvei</t>
        </is>
      </c>
      <c r="D498" t="inlineStr">
        <is>
          <t>EUR</t>
        </is>
      </c>
      <c r="E498" s="9" t="n">
        <v>0</v>
      </c>
      <c r="F498" s="9" t="n">
        <v>0</v>
      </c>
      <c r="G498" s="9" t="n">
        <v>-728607.3100000001</v>
      </c>
      <c r="H498" s="9">
        <f>IF(D498="USD",E498*$N$1,E498)</f>
        <v/>
      </c>
      <c r="I498" s="9">
        <f>IF(D498="USD",F498*$N$1,F498)</f>
        <v/>
      </c>
      <c r="J498" s="9">
        <f>IF(D498="USD",G498*$N$1,G498)</f>
        <v/>
      </c>
      <c r="K498" s="9">
        <f>H498+I498</f>
        <v/>
      </c>
    </row>
    <row r="499">
      <c r="A499" s="8" t="n">
        <v>46058</v>
      </c>
      <c r="B499" t="inlineStr">
        <is>
          <t>2026-W06</t>
        </is>
      </c>
      <c r="C499" t="inlineStr">
        <is>
          <t>Nuvei</t>
        </is>
      </c>
      <c r="D499" t="inlineStr">
        <is>
          <t>EUR</t>
        </is>
      </c>
      <c r="E499" s="9" t="n">
        <v>0</v>
      </c>
      <c r="F499" s="9" t="n">
        <v>0</v>
      </c>
      <c r="G499" s="9" t="n">
        <v>-97322.73</v>
      </c>
      <c r="H499" s="9">
        <f>IF(D499="USD",E499*$N$1,E499)</f>
        <v/>
      </c>
      <c r="I499" s="9">
        <f>IF(D499="USD",F499*$N$1,F499)</f>
        <v/>
      </c>
      <c r="J499" s="9">
        <f>IF(D499="USD",G499*$N$1,G499)</f>
        <v/>
      </c>
      <c r="K499" s="9">
        <f>H499+I499</f>
        <v/>
      </c>
    </row>
    <row r="500">
      <c r="A500" s="8" t="n">
        <v>46058</v>
      </c>
      <c r="B500" t="inlineStr">
        <is>
          <t>2026-W06</t>
        </is>
      </c>
      <c r="C500" t="inlineStr">
        <is>
          <t>Nuvei</t>
        </is>
      </c>
      <c r="D500" t="inlineStr">
        <is>
          <t>EUR</t>
        </is>
      </c>
      <c r="E500" s="9" t="n">
        <v>912038.85</v>
      </c>
      <c r="F500" s="9" t="n">
        <v>-12105.88</v>
      </c>
      <c r="G500" s="9" t="n">
        <v>0</v>
      </c>
      <c r="H500" s="9">
        <f>IF(D500="USD",E500*$N$1,E500)</f>
        <v/>
      </c>
      <c r="I500" s="9">
        <f>IF(D500="USD",F500*$N$1,F500)</f>
        <v/>
      </c>
      <c r="J500" s="9">
        <f>IF(D500="USD",G500*$N$1,G500)</f>
        <v/>
      </c>
      <c r="K500" s="9">
        <f>H500+I500</f>
        <v/>
      </c>
    </row>
    <row r="501">
      <c r="A501" s="8" t="n">
        <v>46058</v>
      </c>
      <c r="B501" t="inlineStr">
        <is>
          <t>2026-W06</t>
        </is>
      </c>
      <c r="C501" t="inlineStr">
        <is>
          <t>Nuvei</t>
        </is>
      </c>
      <c r="D501" t="inlineStr">
        <is>
          <t>EUR</t>
        </is>
      </c>
      <c r="E501" s="9" t="n">
        <v>107183.53</v>
      </c>
      <c r="F501" s="9" t="n">
        <v>-2710.87</v>
      </c>
      <c r="G501" s="9" t="n">
        <v>0</v>
      </c>
      <c r="H501" s="9">
        <f>IF(D501="USD",E501*$N$1,E501)</f>
        <v/>
      </c>
      <c r="I501" s="9">
        <f>IF(D501="USD",F501*$N$1,F501)</f>
        <v/>
      </c>
      <c r="J501" s="9">
        <f>IF(D501="USD",G501*$N$1,G501)</f>
        <v/>
      </c>
      <c r="K501" s="9">
        <f>H501+I501</f>
        <v/>
      </c>
    </row>
    <row r="502">
      <c r="A502" s="8" t="n">
        <v>46059</v>
      </c>
      <c r="B502" t="inlineStr">
        <is>
          <t>2026-W06</t>
        </is>
      </c>
      <c r="C502" t="inlineStr">
        <is>
          <t>Adyen</t>
        </is>
      </c>
      <c r="D502" t="inlineStr">
        <is>
          <t>EUR</t>
        </is>
      </c>
      <c r="E502" s="9" t="n">
        <v>0</v>
      </c>
      <c r="F502" s="9" t="n">
        <v>0</v>
      </c>
      <c r="G502" s="9" t="n">
        <v>-590874.14</v>
      </c>
      <c r="H502" s="9">
        <f>IF(D502="USD",E502*$N$1,E502)</f>
        <v/>
      </c>
      <c r="I502" s="9">
        <f>IF(D502="USD",F502*$N$1,F502)</f>
        <v/>
      </c>
      <c r="J502" s="9">
        <f>IF(D502="USD",G502*$N$1,G502)</f>
        <v/>
      </c>
      <c r="K502" s="9">
        <f>H502+I502</f>
        <v/>
      </c>
    </row>
    <row r="503">
      <c r="A503" s="8" t="n">
        <v>46059</v>
      </c>
      <c r="B503" t="inlineStr">
        <is>
          <t>2026-W06</t>
        </is>
      </c>
      <c r="C503" t="inlineStr">
        <is>
          <t>Adyen</t>
        </is>
      </c>
      <c r="D503" t="inlineStr">
        <is>
          <t>EUR</t>
        </is>
      </c>
      <c r="E503" s="9" t="n">
        <v>426562.36</v>
      </c>
      <c r="F503" s="9" t="n">
        <v>-10163.5</v>
      </c>
      <c r="G503" s="9" t="n">
        <v>0</v>
      </c>
      <c r="H503" s="9">
        <f>IF(D503="USD",E503*$N$1,E503)</f>
        <v/>
      </c>
      <c r="I503" s="9">
        <f>IF(D503="USD",F503*$N$1,F503)</f>
        <v/>
      </c>
      <c r="J503" s="9">
        <f>IF(D503="USD",G503*$N$1,G503)</f>
        <v/>
      </c>
      <c r="K503" s="9">
        <f>H503+I503</f>
        <v/>
      </c>
    </row>
    <row r="504">
      <c r="A504" s="8" t="n">
        <v>46059</v>
      </c>
      <c r="B504" t="inlineStr">
        <is>
          <t>2026-W06</t>
        </is>
      </c>
      <c r="C504" t="inlineStr">
        <is>
          <t>Adyen</t>
        </is>
      </c>
      <c r="D504" t="inlineStr">
        <is>
          <t>EUR</t>
        </is>
      </c>
      <c r="E504" s="9" t="n">
        <v>63401.73</v>
      </c>
      <c r="F504" s="9" t="n">
        <v>0</v>
      </c>
      <c r="G504" s="9" t="n">
        <v>0</v>
      </c>
      <c r="H504" s="9">
        <f>IF(D504="USD",E504*$N$1,E504)</f>
        <v/>
      </c>
      <c r="I504" s="9">
        <f>IF(D504="USD",F504*$N$1,F504)</f>
        <v/>
      </c>
      <c r="J504" s="9">
        <f>IF(D504="USD",G504*$N$1,G504)</f>
        <v/>
      </c>
      <c r="K504" s="9">
        <f>H504+I504</f>
        <v/>
      </c>
    </row>
    <row r="505">
      <c r="A505" s="8" t="n">
        <v>46059</v>
      </c>
      <c r="B505" t="inlineStr">
        <is>
          <t>2026-W06</t>
        </is>
      </c>
      <c r="C505" t="inlineStr">
        <is>
          <t>Nuvei</t>
        </is>
      </c>
      <c r="D505" t="inlineStr">
        <is>
          <t>EUR</t>
        </is>
      </c>
      <c r="E505" s="9" t="n">
        <v>0</v>
      </c>
      <c r="F505" s="9" t="n">
        <v>0</v>
      </c>
      <c r="G505" s="9" t="n">
        <v>-2290009.19</v>
      </c>
      <c r="H505" s="9">
        <f>IF(D505="USD",E505*$N$1,E505)</f>
        <v/>
      </c>
      <c r="I505" s="9">
        <f>IF(D505="USD",F505*$N$1,F505)</f>
        <v/>
      </c>
      <c r="J505" s="9">
        <f>IF(D505="USD",G505*$N$1,G505)</f>
        <v/>
      </c>
      <c r="K505" s="9">
        <f>H505+I505</f>
        <v/>
      </c>
    </row>
    <row r="506">
      <c r="A506" s="8" t="n">
        <v>46059</v>
      </c>
      <c r="B506" t="inlineStr">
        <is>
          <t>2026-W06</t>
        </is>
      </c>
      <c r="C506" t="inlineStr">
        <is>
          <t>Nuvei</t>
        </is>
      </c>
      <c r="D506" t="inlineStr">
        <is>
          <t>EUR</t>
        </is>
      </c>
      <c r="E506" s="9" t="n">
        <v>0</v>
      </c>
      <c r="F506" s="9" t="n">
        <v>0</v>
      </c>
      <c r="G506" s="9" t="n">
        <v>-347016.2</v>
      </c>
      <c r="H506" s="9">
        <f>IF(D506="USD",E506*$N$1,E506)</f>
        <v/>
      </c>
      <c r="I506" s="9">
        <f>IF(D506="USD",F506*$N$1,F506)</f>
        <v/>
      </c>
      <c r="J506" s="9">
        <f>IF(D506="USD",G506*$N$1,G506)</f>
        <v/>
      </c>
      <c r="K506" s="9">
        <f>H506+I506</f>
        <v/>
      </c>
    </row>
    <row r="507">
      <c r="A507" s="8" t="n">
        <v>46059</v>
      </c>
      <c r="B507" t="inlineStr">
        <is>
          <t>2026-W06</t>
        </is>
      </c>
      <c r="C507" t="inlineStr">
        <is>
          <t>Nuvei</t>
        </is>
      </c>
      <c r="D507" t="inlineStr">
        <is>
          <t>EUR</t>
        </is>
      </c>
      <c r="E507" s="9" t="n">
        <v>709965.17</v>
      </c>
      <c r="F507" s="9" t="n">
        <v>-9433.43</v>
      </c>
      <c r="G507" s="9" t="n">
        <v>0</v>
      </c>
      <c r="H507" s="9">
        <f>IF(D507="USD",E507*$N$1,E507)</f>
        <v/>
      </c>
      <c r="I507" s="9">
        <f>IF(D507="USD",F507*$N$1,F507)</f>
        <v/>
      </c>
      <c r="J507" s="9">
        <f>IF(D507="USD",G507*$N$1,G507)</f>
        <v/>
      </c>
      <c r="K507" s="9">
        <f>H507+I507</f>
        <v/>
      </c>
    </row>
    <row r="508">
      <c r="A508" s="8" t="n">
        <v>46059</v>
      </c>
      <c r="B508" t="inlineStr">
        <is>
          <t>2026-W06</t>
        </is>
      </c>
      <c r="C508" t="inlineStr">
        <is>
          <t>Nuvei</t>
        </is>
      </c>
      <c r="D508" t="inlineStr">
        <is>
          <t>EUR</t>
        </is>
      </c>
      <c r="E508" s="9" t="n">
        <v>95383.14999999999</v>
      </c>
      <c r="F508" s="9" t="n">
        <v>-2382.62</v>
      </c>
      <c r="G508" s="9" t="n">
        <v>0</v>
      </c>
      <c r="H508" s="9">
        <f>IF(D508="USD",E508*$N$1,E508)</f>
        <v/>
      </c>
      <c r="I508" s="9">
        <f>IF(D508="USD",F508*$N$1,F508)</f>
        <v/>
      </c>
      <c r="J508" s="9">
        <f>IF(D508="USD",G508*$N$1,G508)</f>
        <v/>
      </c>
      <c r="K508" s="9">
        <f>H508+I508</f>
        <v/>
      </c>
    </row>
    <row r="509">
      <c r="A509" s="8" t="n">
        <v>46060</v>
      </c>
      <c r="B509" t="inlineStr">
        <is>
          <t>2026-W06</t>
        </is>
      </c>
      <c r="C509" t="inlineStr">
        <is>
          <t>Adyen</t>
        </is>
      </c>
      <c r="D509" t="inlineStr">
        <is>
          <t>EUR</t>
        </is>
      </c>
      <c r="E509" s="9" t="n">
        <v>271863.05</v>
      </c>
      <c r="F509" s="9" t="n">
        <v>0</v>
      </c>
      <c r="G509" s="9" t="n">
        <v>0</v>
      </c>
      <c r="H509" s="9">
        <f>IF(D509="USD",E509*$N$1,E509)</f>
        <v/>
      </c>
      <c r="I509" s="9">
        <f>IF(D509="USD",F509*$N$1,F509)</f>
        <v/>
      </c>
      <c r="J509" s="9">
        <f>IF(D509="USD",G509*$N$1,G509)</f>
        <v/>
      </c>
      <c r="K509" s="9">
        <f>H509+I509</f>
        <v/>
      </c>
    </row>
    <row r="510">
      <c r="A510" s="8" t="n">
        <v>46060</v>
      </c>
      <c r="B510" t="inlineStr">
        <is>
          <t>2026-W06</t>
        </is>
      </c>
      <c r="C510" t="inlineStr">
        <is>
          <t>Adyen</t>
        </is>
      </c>
      <c r="D510" t="inlineStr">
        <is>
          <t>EUR</t>
        </is>
      </c>
      <c r="E510" s="9" t="n">
        <v>41727.2</v>
      </c>
      <c r="F510" s="9" t="n">
        <v>0</v>
      </c>
      <c r="G510" s="9" t="n">
        <v>0</v>
      </c>
      <c r="H510" s="9">
        <f>IF(D510="USD",E510*$N$1,E510)</f>
        <v/>
      </c>
      <c r="I510" s="9">
        <f>IF(D510="USD",F510*$N$1,F510)</f>
        <v/>
      </c>
      <c r="J510" s="9">
        <f>IF(D510="USD",G510*$N$1,G510)</f>
        <v/>
      </c>
      <c r="K510" s="9">
        <f>H510+I510</f>
        <v/>
      </c>
    </row>
    <row r="511">
      <c r="A511" s="8" t="n">
        <v>46060</v>
      </c>
      <c r="B511" t="inlineStr">
        <is>
          <t>2026-W06</t>
        </is>
      </c>
      <c r="C511" t="inlineStr">
        <is>
          <t>Nuvei</t>
        </is>
      </c>
      <c r="D511" t="inlineStr">
        <is>
          <t>EUR</t>
        </is>
      </c>
      <c r="E511" s="9" t="n">
        <v>725636.29</v>
      </c>
      <c r="F511" s="9" t="n">
        <v>-8862.190000000001</v>
      </c>
      <c r="G511" s="9" t="n">
        <v>0</v>
      </c>
      <c r="H511" s="9">
        <f>IF(D511="USD",E511*$N$1,E511)</f>
        <v/>
      </c>
      <c r="I511" s="9">
        <f>IF(D511="USD",F511*$N$1,F511)</f>
        <v/>
      </c>
      <c r="J511" s="9">
        <f>IF(D511="USD",G511*$N$1,G511)</f>
        <v/>
      </c>
      <c r="K511" s="9">
        <f>H511+I511</f>
        <v/>
      </c>
    </row>
    <row r="512">
      <c r="A512" s="8" t="n">
        <v>46060</v>
      </c>
      <c r="B512" t="inlineStr">
        <is>
          <t>2026-W06</t>
        </is>
      </c>
      <c r="C512" t="inlineStr">
        <is>
          <t>Nuvei</t>
        </is>
      </c>
      <c r="D512" t="inlineStr">
        <is>
          <t>EUR</t>
        </is>
      </c>
      <c r="E512" s="9" t="n">
        <v>96614.03999999999</v>
      </c>
      <c r="F512" s="9" t="n">
        <v>-2377.66</v>
      </c>
      <c r="G512" s="9" t="n">
        <v>0</v>
      </c>
      <c r="H512" s="9">
        <f>IF(D512="USD",E512*$N$1,E512)</f>
        <v/>
      </c>
      <c r="I512" s="9">
        <f>IF(D512="USD",F512*$N$1,F512)</f>
        <v/>
      </c>
      <c r="J512" s="9">
        <f>IF(D512="USD",G512*$N$1,G512)</f>
        <v/>
      </c>
      <c r="K512" s="9">
        <f>H512+I512</f>
        <v/>
      </c>
    </row>
    <row r="513">
      <c r="A513" s="8" t="n">
        <v>46061</v>
      </c>
      <c r="B513" t="inlineStr">
        <is>
          <t>2026-W06</t>
        </is>
      </c>
      <c r="C513" t="inlineStr">
        <is>
          <t>Adyen</t>
        </is>
      </c>
      <c r="D513" t="inlineStr">
        <is>
          <t>EUR</t>
        </is>
      </c>
      <c r="E513" s="9" t="n">
        <v>279852.58</v>
      </c>
      <c r="F513" s="9" t="n">
        <v>0</v>
      </c>
      <c r="G513" s="9" t="n">
        <v>0</v>
      </c>
      <c r="H513" s="9">
        <f>IF(D513="USD",E513*$N$1,E513)</f>
        <v/>
      </c>
      <c r="I513" s="9">
        <f>IF(D513="USD",F513*$N$1,F513)</f>
        <v/>
      </c>
      <c r="J513" s="9">
        <f>IF(D513="USD",G513*$N$1,G513)</f>
        <v/>
      </c>
      <c r="K513" s="9">
        <f>H513+I513</f>
        <v/>
      </c>
    </row>
    <row r="514">
      <c r="A514" s="8" t="n">
        <v>46061</v>
      </c>
      <c r="B514" t="inlineStr">
        <is>
          <t>2026-W06</t>
        </is>
      </c>
      <c r="C514" t="inlineStr">
        <is>
          <t>Adyen</t>
        </is>
      </c>
      <c r="D514" t="inlineStr">
        <is>
          <t>EUR</t>
        </is>
      </c>
      <c r="E514" s="9" t="n">
        <v>28071.77</v>
      </c>
      <c r="F514" s="9" t="n">
        <v>0</v>
      </c>
      <c r="G514" s="9" t="n">
        <v>0</v>
      </c>
      <c r="H514" s="9">
        <f>IF(D514="USD",E514*$N$1,E514)</f>
        <v/>
      </c>
      <c r="I514" s="9">
        <f>IF(D514="USD",F514*$N$1,F514)</f>
        <v/>
      </c>
      <c r="J514" s="9">
        <f>IF(D514="USD",G514*$N$1,G514)</f>
        <v/>
      </c>
      <c r="K514" s="9">
        <f>H514+I514</f>
        <v/>
      </c>
    </row>
    <row r="515">
      <c r="A515" s="8" t="n">
        <v>46061</v>
      </c>
      <c r="B515" t="inlineStr">
        <is>
          <t>2026-W06</t>
        </is>
      </c>
      <c r="C515" t="inlineStr">
        <is>
          <t>Nuvei</t>
        </is>
      </c>
      <c r="D515" t="inlineStr">
        <is>
          <t>EUR</t>
        </is>
      </c>
      <c r="E515" s="9" t="n">
        <v>791066.8100000001</v>
      </c>
      <c r="F515" s="9" t="n">
        <v>-9203.26</v>
      </c>
      <c r="G515" s="9" t="n">
        <v>0</v>
      </c>
      <c r="H515" s="9">
        <f>IF(D515="USD",E515*$N$1,E515)</f>
        <v/>
      </c>
      <c r="I515" s="9">
        <f>IF(D515="USD",F515*$N$1,F515)</f>
        <v/>
      </c>
      <c r="J515" s="9">
        <f>IF(D515="USD",G515*$N$1,G515)</f>
        <v/>
      </c>
      <c r="K515" s="9">
        <f>H515+I515</f>
        <v/>
      </c>
    </row>
    <row r="516">
      <c r="A516" s="8" t="n">
        <v>46061</v>
      </c>
      <c r="B516" t="inlineStr">
        <is>
          <t>2026-W06</t>
        </is>
      </c>
      <c r="C516" t="inlineStr">
        <is>
          <t>Nuvei</t>
        </is>
      </c>
      <c r="D516" t="inlineStr">
        <is>
          <t>EUR</t>
        </is>
      </c>
      <c r="E516" s="9" t="n">
        <v>91039.17999999999</v>
      </c>
      <c r="F516" s="9" t="n">
        <v>-2361.79</v>
      </c>
      <c r="G516" s="9" t="n">
        <v>0</v>
      </c>
      <c r="H516" s="9">
        <f>IF(D516="USD",E516*$N$1,E516)</f>
        <v/>
      </c>
      <c r="I516" s="9">
        <f>IF(D516="USD",F516*$N$1,F516)</f>
        <v/>
      </c>
      <c r="J516" s="9">
        <f>IF(D516="USD",G516*$N$1,G516)</f>
        <v/>
      </c>
      <c r="K516" s="9">
        <f>H516+I516</f>
        <v/>
      </c>
    </row>
    <row r="517">
      <c r="A517" s="8" t="n">
        <v>46062</v>
      </c>
      <c r="B517" t="inlineStr">
        <is>
          <t>2026-W07</t>
        </is>
      </c>
      <c r="C517" t="inlineStr">
        <is>
          <t>Adyen</t>
        </is>
      </c>
      <c r="D517" t="inlineStr">
        <is>
          <t>EUR</t>
        </is>
      </c>
      <c r="E517" s="9" t="n">
        <v>0</v>
      </c>
      <c r="F517" s="9" t="n">
        <v>0</v>
      </c>
      <c r="G517" s="9" t="n">
        <v>-481851.37</v>
      </c>
      <c r="H517" s="9">
        <f>IF(D517="USD",E517*$N$1,E517)</f>
        <v/>
      </c>
      <c r="I517" s="9">
        <f>IF(D517="USD",F517*$N$1,F517)</f>
        <v/>
      </c>
      <c r="J517" s="9">
        <f>IF(D517="USD",G517*$N$1,G517)</f>
        <v/>
      </c>
      <c r="K517" s="9">
        <f>H517+I517</f>
        <v/>
      </c>
    </row>
    <row r="518">
      <c r="A518" s="8" t="n">
        <v>46062</v>
      </c>
      <c r="B518" t="inlineStr">
        <is>
          <t>2026-W07</t>
        </is>
      </c>
      <c r="C518" t="inlineStr">
        <is>
          <t>Adyen</t>
        </is>
      </c>
      <c r="D518" t="inlineStr">
        <is>
          <t>EUR</t>
        </is>
      </c>
      <c r="E518" s="9" t="n">
        <v>445499.13</v>
      </c>
      <c r="F518" s="9" t="n">
        <v>-3511.77999999997</v>
      </c>
      <c r="G518" s="9" t="n">
        <v>0</v>
      </c>
      <c r="H518" s="9">
        <f>IF(D518="USD",E518*$N$1,E518)</f>
        <v/>
      </c>
      <c r="I518" s="9">
        <f>IF(D518="USD",F518*$N$1,F518)</f>
        <v/>
      </c>
      <c r="J518" s="9">
        <f>IF(D518="USD",G518*$N$1,G518)</f>
        <v/>
      </c>
      <c r="K518" s="9">
        <f>H518+I518</f>
        <v/>
      </c>
    </row>
    <row r="519">
      <c r="A519" s="8" t="n">
        <v>46062</v>
      </c>
      <c r="B519" t="inlineStr">
        <is>
          <t>2026-W07</t>
        </is>
      </c>
      <c r="C519" t="inlineStr">
        <is>
          <t>Adyen</t>
        </is>
      </c>
      <c r="D519" t="inlineStr">
        <is>
          <t>EUR</t>
        </is>
      </c>
      <c r="E519" s="9" t="n">
        <v>72319.34</v>
      </c>
      <c r="F519" s="9" t="n">
        <v>0</v>
      </c>
      <c r="G519" s="9" t="n">
        <v>0</v>
      </c>
      <c r="H519" s="9">
        <f>IF(D519="USD",E519*$N$1,E519)</f>
        <v/>
      </c>
      <c r="I519" s="9">
        <f>IF(D519="USD",F519*$N$1,F519)</f>
        <v/>
      </c>
      <c r="J519" s="9">
        <f>IF(D519="USD",G519*$N$1,G519)</f>
        <v/>
      </c>
      <c r="K519" s="9">
        <f>H519+I519</f>
        <v/>
      </c>
    </row>
    <row r="520">
      <c r="A520" s="8" t="n">
        <v>46062</v>
      </c>
      <c r="B520" t="inlineStr">
        <is>
          <t>2026-W07</t>
        </is>
      </c>
      <c r="C520" t="inlineStr">
        <is>
          <t>Nuvei</t>
        </is>
      </c>
      <c r="D520" t="inlineStr">
        <is>
          <t>EUR</t>
        </is>
      </c>
      <c r="E520" s="9" t="n">
        <v>0</v>
      </c>
      <c r="F520" s="9" t="n">
        <v>0</v>
      </c>
      <c r="G520" s="9" t="n">
        <v>-856270.79</v>
      </c>
      <c r="H520" s="9">
        <f>IF(D520="USD",E520*$N$1,E520)</f>
        <v/>
      </c>
      <c r="I520" s="9">
        <f>IF(D520="USD",F520*$N$1,F520)</f>
        <v/>
      </c>
      <c r="J520" s="9">
        <f>IF(D520="USD",G520*$N$1,G520)</f>
        <v/>
      </c>
      <c r="K520" s="9">
        <f>H520+I520</f>
        <v/>
      </c>
    </row>
    <row r="521">
      <c r="A521" s="8" t="n">
        <v>46062</v>
      </c>
      <c r="B521" t="inlineStr">
        <is>
          <t>2026-W07</t>
        </is>
      </c>
      <c r="C521" t="inlineStr">
        <is>
          <t>Nuvei</t>
        </is>
      </c>
      <c r="D521" t="inlineStr">
        <is>
          <t>EUR</t>
        </is>
      </c>
      <c r="E521" s="9" t="n">
        <v>0</v>
      </c>
      <c r="F521" s="9" t="n">
        <v>0</v>
      </c>
      <c r="G521" s="9" t="n">
        <v>-78507.99000000001</v>
      </c>
      <c r="H521" s="9">
        <f>IF(D521="USD",E521*$N$1,E521)</f>
        <v/>
      </c>
      <c r="I521" s="9">
        <f>IF(D521="USD",F521*$N$1,F521)</f>
        <v/>
      </c>
      <c r="J521" s="9">
        <f>IF(D521="USD",G521*$N$1,G521)</f>
        <v/>
      </c>
      <c r="K521" s="9">
        <f>H521+I521</f>
        <v/>
      </c>
    </row>
    <row r="522">
      <c r="A522" s="8" t="n">
        <v>46062</v>
      </c>
      <c r="B522" t="inlineStr">
        <is>
          <t>2026-W07</t>
        </is>
      </c>
      <c r="C522" t="inlineStr">
        <is>
          <t>Nuvei</t>
        </is>
      </c>
      <c r="D522" t="inlineStr">
        <is>
          <t>EUR</t>
        </is>
      </c>
      <c r="E522" s="9" t="n">
        <v>797975.17</v>
      </c>
      <c r="F522" s="9" t="n">
        <v>-10155.19</v>
      </c>
      <c r="G522" s="9" t="n">
        <v>0</v>
      </c>
      <c r="H522" s="9">
        <f>IF(D522="USD",E522*$N$1,E522)</f>
        <v/>
      </c>
      <c r="I522" s="9">
        <f>IF(D522="USD",F522*$N$1,F522)</f>
        <v/>
      </c>
      <c r="J522" s="9">
        <f>IF(D522="USD",G522*$N$1,G522)</f>
        <v/>
      </c>
      <c r="K522" s="9">
        <f>H522+I522</f>
        <v/>
      </c>
    </row>
    <row r="523">
      <c r="A523" s="8" t="n">
        <v>46062</v>
      </c>
      <c r="B523" t="inlineStr">
        <is>
          <t>2026-W07</t>
        </is>
      </c>
      <c r="C523" t="inlineStr">
        <is>
          <t>Nuvei</t>
        </is>
      </c>
      <c r="D523" t="inlineStr">
        <is>
          <t>EUR</t>
        </is>
      </c>
      <c r="E523" s="9" t="n">
        <v>109661.47</v>
      </c>
      <c r="F523" s="9" t="n">
        <v>-2768.31</v>
      </c>
      <c r="G523" s="9" t="n">
        <v>0</v>
      </c>
      <c r="H523" s="9">
        <f>IF(D523="USD",E523*$N$1,E523)</f>
        <v/>
      </c>
      <c r="I523" s="9">
        <f>IF(D523="USD",F523*$N$1,F523)</f>
        <v/>
      </c>
      <c r="J523" s="9">
        <f>IF(D523="USD",G523*$N$1,G523)</f>
        <v/>
      </c>
      <c r="K523" s="9">
        <f>H523+I523</f>
        <v/>
      </c>
    </row>
    <row r="524">
      <c r="A524" s="8" t="n">
        <v>46063</v>
      </c>
      <c r="B524" t="inlineStr">
        <is>
          <t>2026-W07</t>
        </is>
      </c>
      <c r="C524" t="inlineStr">
        <is>
          <t>Adyen</t>
        </is>
      </c>
      <c r="D524" t="inlineStr">
        <is>
          <t>EUR</t>
        </is>
      </c>
      <c r="E524" s="9" t="n">
        <v>0</v>
      </c>
      <c r="F524" s="9" t="n">
        <v>0</v>
      </c>
      <c r="G524" s="9" t="n">
        <v>-1101315.19</v>
      </c>
      <c r="H524" s="9">
        <f>IF(D524="USD",E524*$N$1,E524)</f>
        <v/>
      </c>
      <c r="I524" s="9">
        <f>IF(D524="USD",F524*$N$1,F524)</f>
        <v/>
      </c>
      <c r="J524" s="9">
        <f>IF(D524="USD",G524*$N$1,G524)</f>
        <v/>
      </c>
      <c r="K524" s="9">
        <f>H524+I524</f>
        <v/>
      </c>
    </row>
    <row r="525">
      <c r="A525" s="8" t="n">
        <v>46063</v>
      </c>
      <c r="B525" t="inlineStr">
        <is>
          <t>2026-W07</t>
        </is>
      </c>
      <c r="C525" t="inlineStr">
        <is>
          <t>Adyen</t>
        </is>
      </c>
      <c r="D525" t="inlineStr">
        <is>
          <t>EUR</t>
        </is>
      </c>
      <c r="E525" s="9" t="n">
        <v>502520.27</v>
      </c>
      <c r="F525" s="9" t="n">
        <v>-5156.310000000056</v>
      </c>
      <c r="G525" s="9" t="n">
        <v>0</v>
      </c>
      <c r="H525" s="9">
        <f>IF(D525="USD",E525*$N$1,E525)</f>
        <v/>
      </c>
      <c r="I525" s="9">
        <f>IF(D525="USD",F525*$N$1,F525)</f>
        <v/>
      </c>
      <c r="J525" s="9">
        <f>IF(D525="USD",G525*$N$1,G525)</f>
        <v/>
      </c>
      <c r="K525" s="9">
        <f>H525+I525</f>
        <v/>
      </c>
    </row>
    <row r="526">
      <c r="A526" s="8" t="n">
        <v>46063</v>
      </c>
      <c r="B526" t="inlineStr">
        <is>
          <t>2026-W07</t>
        </is>
      </c>
      <c r="C526" t="inlineStr">
        <is>
          <t>Adyen</t>
        </is>
      </c>
      <c r="D526" t="inlineStr">
        <is>
          <t>EUR</t>
        </is>
      </c>
      <c r="E526" s="9" t="n">
        <v>68360.14999999999</v>
      </c>
      <c r="F526" s="9" t="n">
        <v>0</v>
      </c>
      <c r="G526" s="9" t="n">
        <v>0</v>
      </c>
      <c r="H526" s="9">
        <f>IF(D526="USD",E526*$N$1,E526)</f>
        <v/>
      </c>
      <c r="I526" s="9">
        <f>IF(D526="USD",F526*$N$1,F526)</f>
        <v/>
      </c>
      <c r="J526" s="9">
        <f>IF(D526="USD",G526*$N$1,G526)</f>
        <v/>
      </c>
      <c r="K526" s="9">
        <f>H526+I526</f>
        <v/>
      </c>
    </row>
    <row r="527">
      <c r="A527" s="8" t="n">
        <v>46063</v>
      </c>
      <c r="B527" t="inlineStr">
        <is>
          <t>2026-W07</t>
        </is>
      </c>
      <c r="C527" t="inlineStr">
        <is>
          <t>Nuvei</t>
        </is>
      </c>
      <c r="D527" t="inlineStr">
        <is>
          <t>EUR</t>
        </is>
      </c>
      <c r="E527" s="9" t="n">
        <v>0</v>
      </c>
      <c r="F527" s="9" t="n">
        <v>0</v>
      </c>
      <c r="G527" s="9" t="n">
        <v>-866022.38</v>
      </c>
      <c r="H527" s="9">
        <f>IF(D527="USD",E527*$N$1,E527)</f>
        <v/>
      </c>
      <c r="I527" s="9">
        <f>IF(D527="USD",F527*$N$1,F527)</f>
        <v/>
      </c>
      <c r="J527" s="9">
        <f>IF(D527="USD",G527*$N$1,G527)</f>
        <v/>
      </c>
      <c r="K527" s="9">
        <f>H527+I527</f>
        <v/>
      </c>
    </row>
    <row r="528">
      <c r="A528" s="8" t="n">
        <v>46063</v>
      </c>
      <c r="B528" t="inlineStr">
        <is>
          <t>2026-W07</t>
        </is>
      </c>
      <c r="C528" t="inlineStr">
        <is>
          <t>Nuvei</t>
        </is>
      </c>
      <c r="D528" t="inlineStr">
        <is>
          <t>EUR</t>
        </is>
      </c>
      <c r="E528" s="9" t="n">
        <v>0</v>
      </c>
      <c r="F528" s="9" t="n">
        <v>0</v>
      </c>
      <c r="G528" s="9" t="n">
        <v>-112870.3</v>
      </c>
      <c r="H528" s="9">
        <f>IF(D528="USD",E528*$N$1,E528)</f>
        <v/>
      </c>
      <c r="I528" s="9">
        <f>IF(D528="USD",F528*$N$1,F528)</f>
        <v/>
      </c>
      <c r="J528" s="9">
        <f>IF(D528="USD",G528*$N$1,G528)</f>
        <v/>
      </c>
      <c r="K528" s="9">
        <f>H528+I528</f>
        <v/>
      </c>
    </row>
    <row r="529">
      <c r="A529" s="8" t="n">
        <v>46063</v>
      </c>
      <c r="B529" t="inlineStr">
        <is>
          <t>2026-W07</t>
        </is>
      </c>
      <c r="C529" t="inlineStr">
        <is>
          <t>Nuvei</t>
        </is>
      </c>
      <c r="D529" t="inlineStr">
        <is>
          <t>EUR</t>
        </is>
      </c>
      <c r="E529" s="9" t="n">
        <v>759373.17</v>
      </c>
      <c r="F529" s="9" t="n">
        <v>-10004.78</v>
      </c>
      <c r="G529" s="9" t="n">
        <v>0</v>
      </c>
      <c r="H529" s="9">
        <f>IF(D529="USD",E529*$N$1,E529)</f>
        <v/>
      </c>
      <c r="I529" s="9">
        <f>IF(D529="USD",F529*$N$1,F529)</f>
        <v/>
      </c>
      <c r="J529" s="9">
        <f>IF(D529="USD",G529*$N$1,G529)</f>
        <v/>
      </c>
      <c r="K529" s="9">
        <f>H529+I529</f>
        <v/>
      </c>
    </row>
    <row r="530">
      <c r="A530" s="8" t="n">
        <v>46063</v>
      </c>
      <c r="B530" t="inlineStr">
        <is>
          <t>2026-W07</t>
        </is>
      </c>
      <c r="C530" t="inlineStr">
        <is>
          <t>Nuvei</t>
        </is>
      </c>
      <c r="D530" t="inlineStr">
        <is>
          <t>EUR</t>
        </is>
      </c>
      <c r="E530" s="9" t="n">
        <v>99369.14</v>
      </c>
      <c r="F530" s="9" t="n">
        <v>-2541.49</v>
      </c>
      <c r="G530" s="9" t="n">
        <v>0</v>
      </c>
      <c r="H530" s="9">
        <f>IF(D530="USD",E530*$N$1,E530)</f>
        <v/>
      </c>
      <c r="I530" s="9">
        <f>IF(D530="USD",F530*$N$1,F530)</f>
        <v/>
      </c>
      <c r="J530" s="9">
        <f>IF(D530="USD",G530*$N$1,G530)</f>
        <v/>
      </c>
      <c r="K530" s="9">
        <f>H530+I530</f>
        <v/>
      </c>
    </row>
    <row r="531">
      <c r="A531" s="8" t="n">
        <v>46064</v>
      </c>
      <c r="B531" t="inlineStr">
        <is>
          <t>2026-W07</t>
        </is>
      </c>
      <c r="C531" t="inlineStr">
        <is>
          <t>Adyen</t>
        </is>
      </c>
      <c r="D531" t="inlineStr">
        <is>
          <t>EUR</t>
        </is>
      </c>
      <c r="E531" s="9" t="n">
        <v>0</v>
      </c>
      <c r="F531" s="9" t="n">
        <v>0</v>
      </c>
      <c r="G531" s="9" t="n">
        <v>-514306.69</v>
      </c>
      <c r="H531" s="9">
        <f>IF(D531="USD",E531*$N$1,E531)</f>
        <v/>
      </c>
      <c r="I531" s="9">
        <f>IF(D531="USD",F531*$N$1,F531)</f>
        <v/>
      </c>
      <c r="J531" s="9">
        <f>IF(D531="USD",G531*$N$1,G531)</f>
        <v/>
      </c>
      <c r="K531" s="9">
        <f>H531+I531</f>
        <v/>
      </c>
    </row>
    <row r="532">
      <c r="A532" s="8" t="n">
        <v>46064</v>
      </c>
      <c r="B532" t="inlineStr">
        <is>
          <t>2026-W07</t>
        </is>
      </c>
      <c r="C532" t="inlineStr">
        <is>
          <t>Adyen</t>
        </is>
      </c>
      <c r="D532" t="inlineStr">
        <is>
          <t>EUR</t>
        </is>
      </c>
      <c r="E532" s="9" t="n">
        <v>465995.46</v>
      </c>
      <c r="F532" s="9" t="n">
        <v>-5248.889999999956</v>
      </c>
      <c r="G532" s="9" t="n">
        <v>0</v>
      </c>
      <c r="H532" s="9">
        <f>IF(D532="USD",E532*$N$1,E532)</f>
        <v/>
      </c>
      <c r="I532" s="9">
        <f>IF(D532="USD",F532*$N$1,F532)</f>
        <v/>
      </c>
      <c r="J532" s="9">
        <f>IF(D532="USD",G532*$N$1,G532)</f>
        <v/>
      </c>
      <c r="K532" s="9">
        <f>H532+I532</f>
        <v/>
      </c>
    </row>
    <row r="533">
      <c r="A533" s="8" t="n">
        <v>46064</v>
      </c>
      <c r="B533" t="inlineStr">
        <is>
          <t>2026-W07</t>
        </is>
      </c>
      <c r="C533" t="inlineStr">
        <is>
          <t>Adyen</t>
        </is>
      </c>
      <c r="D533" t="inlineStr">
        <is>
          <t>EUR</t>
        </is>
      </c>
      <c r="E533" s="9" t="n">
        <v>62985.52</v>
      </c>
      <c r="F533" s="9" t="n">
        <v>0</v>
      </c>
      <c r="G533" s="9" t="n">
        <v>0</v>
      </c>
      <c r="H533" s="9">
        <f>IF(D533="USD",E533*$N$1,E533)</f>
        <v/>
      </c>
      <c r="I533" s="9">
        <f>IF(D533="USD",F533*$N$1,F533)</f>
        <v/>
      </c>
      <c r="J533" s="9">
        <f>IF(D533="USD",G533*$N$1,G533)</f>
        <v/>
      </c>
      <c r="K533" s="9">
        <f>H533+I533</f>
        <v/>
      </c>
    </row>
    <row r="534">
      <c r="A534" s="8" t="n">
        <v>46064</v>
      </c>
      <c r="B534" t="inlineStr">
        <is>
          <t>2026-W07</t>
        </is>
      </c>
      <c r="C534" t="inlineStr">
        <is>
          <t>Nuvei</t>
        </is>
      </c>
      <c r="D534" t="inlineStr">
        <is>
          <t>EUR</t>
        </is>
      </c>
      <c r="E534" s="9" t="n">
        <v>0</v>
      </c>
      <c r="F534" s="9" t="n">
        <v>0</v>
      </c>
      <c r="G534" s="9" t="n">
        <v>-899929.48</v>
      </c>
      <c r="H534" s="9">
        <f>IF(D534="USD",E534*$N$1,E534)</f>
        <v/>
      </c>
      <c r="I534" s="9">
        <f>IF(D534="USD",F534*$N$1,F534)</f>
        <v/>
      </c>
      <c r="J534" s="9">
        <f>IF(D534="USD",G534*$N$1,G534)</f>
        <v/>
      </c>
      <c r="K534" s="9">
        <f>H534+I534</f>
        <v/>
      </c>
    </row>
    <row r="535">
      <c r="A535" s="8" t="n">
        <v>46064</v>
      </c>
      <c r="B535" t="inlineStr">
        <is>
          <t>2026-W07</t>
        </is>
      </c>
      <c r="C535" t="inlineStr">
        <is>
          <t>Nuvei</t>
        </is>
      </c>
      <c r="D535" t="inlineStr">
        <is>
          <t>EUR</t>
        </is>
      </c>
      <c r="E535" s="9" t="n">
        <v>0</v>
      </c>
      <c r="F535" s="9" t="n">
        <v>0</v>
      </c>
      <c r="G535" s="9" t="n">
        <v>-104469.16</v>
      </c>
      <c r="H535" s="9">
        <f>IF(D535="USD",E535*$N$1,E535)</f>
        <v/>
      </c>
      <c r="I535" s="9">
        <f>IF(D535="USD",F535*$N$1,F535)</f>
        <v/>
      </c>
      <c r="J535" s="9">
        <f>IF(D535="USD",G535*$N$1,G535)</f>
        <v/>
      </c>
      <c r="K535" s="9">
        <f>H535+I535</f>
        <v/>
      </c>
    </row>
    <row r="536">
      <c r="A536" s="8" t="n">
        <v>46064</v>
      </c>
      <c r="B536" t="inlineStr">
        <is>
          <t>2026-W07</t>
        </is>
      </c>
      <c r="C536" t="inlineStr">
        <is>
          <t>Nuvei</t>
        </is>
      </c>
      <c r="D536" t="inlineStr">
        <is>
          <t>EUR</t>
        </is>
      </c>
      <c r="E536" s="9" t="n">
        <v>931624.71</v>
      </c>
      <c r="F536" s="9" t="n">
        <v>-11939.57</v>
      </c>
      <c r="G536" s="9" t="n">
        <v>0</v>
      </c>
      <c r="H536" s="9">
        <f>IF(D536="USD",E536*$N$1,E536)</f>
        <v/>
      </c>
      <c r="I536" s="9">
        <f>IF(D536="USD",F536*$N$1,F536)</f>
        <v/>
      </c>
      <c r="J536" s="9">
        <f>IF(D536="USD",G536*$N$1,G536)</f>
        <v/>
      </c>
      <c r="K536" s="9">
        <f>H536+I536</f>
        <v/>
      </c>
    </row>
    <row r="537">
      <c r="A537" s="8" t="n">
        <v>46064</v>
      </c>
      <c r="B537" t="inlineStr">
        <is>
          <t>2026-W07</t>
        </is>
      </c>
      <c r="C537" t="inlineStr">
        <is>
          <t>Nuvei</t>
        </is>
      </c>
      <c r="D537" t="inlineStr">
        <is>
          <t>EUR</t>
        </is>
      </c>
      <c r="E537" s="9" t="n">
        <v>121866.01</v>
      </c>
      <c r="F537" s="9" t="n">
        <v>-3045.01</v>
      </c>
      <c r="G537" s="9" t="n">
        <v>0</v>
      </c>
      <c r="H537" s="9">
        <f>IF(D537="USD",E537*$N$1,E537)</f>
        <v/>
      </c>
      <c r="I537" s="9">
        <f>IF(D537="USD",F537*$N$1,F537)</f>
        <v/>
      </c>
      <c r="J537" s="9">
        <f>IF(D537="USD",G537*$N$1,G537)</f>
        <v/>
      </c>
      <c r="K537" s="9">
        <f>H537+I537</f>
        <v/>
      </c>
    </row>
    <row r="538">
      <c r="A538" s="8" t="n">
        <v>46065</v>
      </c>
      <c r="B538" t="inlineStr">
        <is>
          <t>2026-W07</t>
        </is>
      </c>
      <c r="C538" t="inlineStr">
        <is>
          <t>Adyen</t>
        </is>
      </c>
      <c r="D538" t="inlineStr">
        <is>
          <t>EUR</t>
        </is>
      </c>
      <c r="E538" s="9" t="n">
        <v>0</v>
      </c>
      <c r="F538" s="9" t="n">
        <v>0</v>
      </c>
      <c r="G538" s="9" t="n">
        <v>-565724.11</v>
      </c>
      <c r="H538" s="9">
        <f>IF(D538="USD",E538*$N$1,E538)</f>
        <v/>
      </c>
      <c r="I538" s="9">
        <f>IF(D538="USD",F538*$N$1,F538)</f>
        <v/>
      </c>
      <c r="J538" s="9">
        <f>IF(D538="USD",G538*$N$1,G538)</f>
        <v/>
      </c>
      <c r="K538" s="9">
        <f>H538+I538</f>
        <v/>
      </c>
    </row>
    <row r="539">
      <c r="A539" s="8" t="n">
        <v>46065</v>
      </c>
      <c r="B539" t="inlineStr">
        <is>
          <t>2026-W07</t>
        </is>
      </c>
      <c r="C539" t="inlineStr">
        <is>
          <t>Adyen</t>
        </is>
      </c>
      <c r="D539" t="inlineStr">
        <is>
          <t>EUR</t>
        </is>
      </c>
      <c r="E539" s="9" t="n">
        <v>423903.54</v>
      </c>
      <c r="F539" s="9" t="n">
        <v>-3192.119999999937</v>
      </c>
      <c r="G539" s="9" t="n">
        <v>0</v>
      </c>
      <c r="H539" s="9">
        <f>IF(D539="USD",E539*$N$1,E539)</f>
        <v/>
      </c>
      <c r="I539" s="9">
        <f>IF(D539="USD",F539*$N$1,F539)</f>
        <v/>
      </c>
      <c r="J539" s="9">
        <f>IF(D539="USD",G539*$N$1,G539)</f>
        <v/>
      </c>
      <c r="K539" s="9">
        <f>H539+I539</f>
        <v/>
      </c>
    </row>
    <row r="540">
      <c r="A540" s="8" t="n">
        <v>46065</v>
      </c>
      <c r="B540" t="inlineStr">
        <is>
          <t>2026-W07</t>
        </is>
      </c>
      <c r="C540" t="inlineStr">
        <is>
          <t>Adyen</t>
        </is>
      </c>
      <c r="D540" t="inlineStr">
        <is>
          <t>EUR</t>
        </is>
      </c>
      <c r="E540" s="9" t="n">
        <v>49282.25</v>
      </c>
      <c r="F540" s="9" t="n">
        <v>0</v>
      </c>
      <c r="G540" s="9" t="n">
        <v>0</v>
      </c>
      <c r="H540" s="9">
        <f>IF(D540="USD",E540*$N$1,E540)</f>
        <v/>
      </c>
      <c r="I540" s="9">
        <f>IF(D540="USD",F540*$N$1,F540)</f>
        <v/>
      </c>
      <c r="J540" s="9">
        <f>IF(D540="USD",G540*$N$1,G540)</f>
        <v/>
      </c>
      <c r="K540" s="9">
        <f>H540+I540</f>
        <v/>
      </c>
    </row>
    <row r="541">
      <c r="A541" s="8" t="n">
        <v>46065</v>
      </c>
      <c r="B541" t="inlineStr">
        <is>
          <t>2026-W07</t>
        </is>
      </c>
      <c r="C541" t="inlineStr">
        <is>
          <t>Nuvei</t>
        </is>
      </c>
      <c r="D541" t="inlineStr">
        <is>
          <t>EUR</t>
        </is>
      </c>
      <c r="E541" s="9" t="n">
        <v>0</v>
      </c>
      <c r="F541" s="9" t="n">
        <v>0</v>
      </c>
      <c r="G541" s="9" t="n">
        <v>-700528.24</v>
      </c>
      <c r="H541" s="9">
        <f>IF(D541="USD",E541*$N$1,E541)</f>
        <v/>
      </c>
      <c r="I541" s="9">
        <f>IF(D541="USD",F541*$N$1,F541)</f>
        <v/>
      </c>
      <c r="J541" s="9">
        <f>IF(D541="USD",G541*$N$1,G541)</f>
        <v/>
      </c>
      <c r="K541" s="9">
        <f>H541+I541</f>
        <v/>
      </c>
    </row>
    <row r="542">
      <c r="A542" s="8" t="n">
        <v>46065</v>
      </c>
      <c r="B542" t="inlineStr">
        <is>
          <t>2026-W07</t>
        </is>
      </c>
      <c r="C542" t="inlineStr">
        <is>
          <t>Nuvei</t>
        </is>
      </c>
      <c r="D542" t="inlineStr">
        <is>
          <t>EUR</t>
        </is>
      </c>
      <c r="E542" s="9" t="n">
        <v>0</v>
      </c>
      <c r="F542" s="9" t="n">
        <v>0</v>
      </c>
      <c r="G542" s="9" t="n">
        <v>-92997.03999999999</v>
      </c>
      <c r="H542" s="9">
        <f>IF(D542="USD",E542*$N$1,E542)</f>
        <v/>
      </c>
      <c r="I542" s="9">
        <f>IF(D542="USD",F542*$N$1,F542)</f>
        <v/>
      </c>
      <c r="J542" s="9">
        <f>IF(D542="USD",G542*$N$1,G542)</f>
        <v/>
      </c>
      <c r="K542" s="9">
        <f>H542+I542</f>
        <v/>
      </c>
    </row>
    <row r="543">
      <c r="A543" s="8" t="n">
        <v>46065</v>
      </c>
      <c r="B543" t="inlineStr">
        <is>
          <t>2026-W07</t>
        </is>
      </c>
      <c r="C543" t="inlineStr">
        <is>
          <t>Nuvei</t>
        </is>
      </c>
      <c r="D543" t="inlineStr">
        <is>
          <t>EUR</t>
        </is>
      </c>
      <c r="E543" s="9" t="n">
        <v>833061.9</v>
      </c>
      <c r="F543" s="9" t="n">
        <v>-11434.09</v>
      </c>
      <c r="G543" s="9" t="n">
        <v>0</v>
      </c>
      <c r="H543" s="9">
        <f>IF(D543="USD",E543*$N$1,E543)</f>
        <v/>
      </c>
      <c r="I543" s="9">
        <f>IF(D543="USD",F543*$N$1,F543)</f>
        <v/>
      </c>
      <c r="J543" s="9">
        <f>IF(D543="USD",G543*$N$1,G543)</f>
        <v/>
      </c>
      <c r="K543" s="9">
        <f>H543+I543</f>
        <v/>
      </c>
    </row>
    <row r="544">
      <c r="A544" s="8" t="n">
        <v>46065</v>
      </c>
      <c r="B544" t="inlineStr">
        <is>
          <t>2026-W07</t>
        </is>
      </c>
      <c r="C544" t="inlineStr">
        <is>
          <t>Nuvei</t>
        </is>
      </c>
      <c r="D544" t="inlineStr">
        <is>
          <t>EUR</t>
        </is>
      </c>
      <c r="E544" s="9" t="n">
        <v>62478.34</v>
      </c>
      <c r="F544" s="9" t="n">
        <v>-1649.39</v>
      </c>
      <c r="G544" s="9" t="n">
        <v>0</v>
      </c>
      <c r="H544" s="9">
        <f>IF(D544="USD",E544*$N$1,E544)</f>
        <v/>
      </c>
      <c r="I544" s="9">
        <f>IF(D544="USD",F544*$N$1,F544)</f>
        <v/>
      </c>
      <c r="J544" s="9">
        <f>IF(D544="USD",G544*$N$1,G544)</f>
        <v/>
      </c>
      <c r="K544" s="9">
        <f>H544+I544</f>
        <v/>
      </c>
    </row>
    <row r="545">
      <c r="A545" s="8" t="n">
        <v>46066</v>
      </c>
      <c r="B545" t="inlineStr">
        <is>
          <t>2026-W07</t>
        </is>
      </c>
      <c r="C545" t="inlineStr">
        <is>
          <t>Adyen</t>
        </is>
      </c>
      <c r="D545" t="inlineStr">
        <is>
          <t>EUR</t>
        </is>
      </c>
      <c r="E545" s="9" t="n">
        <v>0</v>
      </c>
      <c r="F545" s="9" t="n">
        <v>0</v>
      </c>
      <c r="G545" s="9" t="n">
        <v>-523732.09</v>
      </c>
      <c r="H545" s="9">
        <f>IF(D545="USD",E545*$N$1,E545)</f>
        <v/>
      </c>
      <c r="I545" s="9">
        <f>IF(D545="USD",F545*$N$1,F545)</f>
        <v/>
      </c>
      <c r="J545" s="9">
        <f>IF(D545="USD",G545*$N$1,G545)</f>
        <v/>
      </c>
      <c r="K545" s="9">
        <f>H545+I545</f>
        <v/>
      </c>
    </row>
    <row r="546">
      <c r="A546" s="8" t="n">
        <v>46066</v>
      </c>
      <c r="B546" t="inlineStr">
        <is>
          <t>2026-W07</t>
        </is>
      </c>
      <c r="C546" t="inlineStr">
        <is>
          <t>Adyen</t>
        </is>
      </c>
      <c r="D546" t="inlineStr">
        <is>
          <t>EUR</t>
        </is>
      </c>
      <c r="E546" s="9" t="n">
        <v>441780.91</v>
      </c>
      <c r="F546" s="9" t="n">
        <v>-13613.46000000008</v>
      </c>
      <c r="G546" s="9" t="n">
        <v>0</v>
      </c>
      <c r="H546" s="9">
        <f>IF(D546="USD",E546*$N$1,E546)</f>
        <v/>
      </c>
      <c r="I546" s="9">
        <f>IF(D546="USD",F546*$N$1,F546)</f>
        <v/>
      </c>
      <c r="J546" s="9">
        <f>IF(D546="USD",G546*$N$1,G546)</f>
        <v/>
      </c>
      <c r="K546" s="9">
        <f>H546+I546</f>
        <v/>
      </c>
    </row>
    <row r="547">
      <c r="A547" s="8" t="n">
        <v>46066</v>
      </c>
      <c r="B547" t="inlineStr">
        <is>
          <t>2026-W07</t>
        </is>
      </c>
      <c r="C547" t="inlineStr">
        <is>
          <t>Adyen</t>
        </is>
      </c>
      <c r="D547" t="inlineStr">
        <is>
          <t>EUR</t>
        </is>
      </c>
      <c r="E547" s="9" t="n">
        <v>43662.66</v>
      </c>
      <c r="F547" s="9" t="n">
        <v>0</v>
      </c>
      <c r="G547" s="9" t="n">
        <v>0</v>
      </c>
      <c r="H547" s="9">
        <f>IF(D547="USD",E547*$N$1,E547)</f>
        <v/>
      </c>
      <c r="I547" s="9">
        <f>IF(D547="USD",F547*$N$1,F547)</f>
        <v/>
      </c>
      <c r="J547" s="9">
        <f>IF(D547="USD",G547*$N$1,G547)</f>
        <v/>
      </c>
      <c r="K547" s="9">
        <f>H547+I547</f>
        <v/>
      </c>
    </row>
    <row r="548">
      <c r="A548" s="8" t="n">
        <v>46066</v>
      </c>
      <c r="B548" t="inlineStr">
        <is>
          <t>2026-W07</t>
        </is>
      </c>
      <c r="C548" t="inlineStr">
        <is>
          <t>Nuvei</t>
        </is>
      </c>
      <c r="D548" t="inlineStr">
        <is>
          <t>EUR</t>
        </is>
      </c>
      <c r="E548" s="9" t="n">
        <v>0</v>
      </c>
      <c r="F548" s="9" t="n">
        <v>0</v>
      </c>
      <c r="G548" s="9" t="n">
        <v>-2286454.12</v>
      </c>
      <c r="H548" s="9">
        <f>IF(D548="USD",E548*$N$1,E548)</f>
        <v/>
      </c>
      <c r="I548" s="9">
        <f>IF(D548="USD",F548*$N$1,F548)</f>
        <v/>
      </c>
      <c r="J548" s="9">
        <f>IF(D548="USD",G548*$N$1,G548)</f>
        <v/>
      </c>
      <c r="K548" s="9">
        <f>H548+I548</f>
        <v/>
      </c>
    </row>
    <row r="549">
      <c r="A549" s="8" t="n">
        <v>46066</v>
      </c>
      <c r="B549" t="inlineStr">
        <is>
          <t>2026-W07</t>
        </is>
      </c>
      <c r="C549" t="inlineStr">
        <is>
          <t>Nuvei</t>
        </is>
      </c>
      <c r="D549" t="inlineStr">
        <is>
          <t>EUR</t>
        </is>
      </c>
      <c r="E549" s="9" t="n">
        <v>0</v>
      </c>
      <c r="F549" s="9" t="n">
        <v>0</v>
      </c>
      <c r="G549" s="9" t="n">
        <v>-289803.44</v>
      </c>
      <c r="H549" s="9">
        <f>IF(D549="USD",E549*$N$1,E549)</f>
        <v/>
      </c>
      <c r="I549" s="9">
        <f>IF(D549="USD",F549*$N$1,F549)</f>
        <v/>
      </c>
      <c r="J549" s="9">
        <f>IF(D549="USD",G549*$N$1,G549)</f>
        <v/>
      </c>
      <c r="K549" s="9">
        <f>H549+I549</f>
        <v/>
      </c>
    </row>
    <row r="550">
      <c r="A550" s="8" t="n">
        <v>46066</v>
      </c>
      <c r="B550" t="inlineStr">
        <is>
          <t>2026-W07</t>
        </is>
      </c>
      <c r="C550" t="inlineStr">
        <is>
          <t>Nuvei</t>
        </is>
      </c>
      <c r="D550" t="inlineStr">
        <is>
          <t>EUR</t>
        </is>
      </c>
      <c r="E550" s="9" t="n">
        <v>599882.54</v>
      </c>
      <c r="F550" s="9" t="n">
        <v>-8450.76</v>
      </c>
      <c r="G550" s="9" t="n">
        <v>0</v>
      </c>
      <c r="H550" s="9">
        <f>IF(D550="USD",E550*$N$1,E550)</f>
        <v/>
      </c>
      <c r="I550" s="9">
        <f>IF(D550="USD",F550*$N$1,F550)</f>
        <v/>
      </c>
      <c r="J550" s="9">
        <f>IF(D550="USD",G550*$N$1,G550)</f>
        <v/>
      </c>
      <c r="K550" s="9">
        <f>H550+I550</f>
        <v/>
      </c>
    </row>
    <row r="551">
      <c r="A551" s="8" t="n">
        <v>46066</v>
      </c>
      <c r="B551" t="inlineStr">
        <is>
          <t>2026-W07</t>
        </is>
      </c>
      <c r="C551" t="inlineStr">
        <is>
          <t>Nuvei</t>
        </is>
      </c>
      <c r="D551" t="inlineStr">
        <is>
          <t>EUR</t>
        </is>
      </c>
      <c r="E551" s="9" t="n">
        <v>63947.28</v>
      </c>
      <c r="F551" s="9" t="n">
        <v>-1585.93</v>
      </c>
      <c r="G551" s="9" t="n">
        <v>0</v>
      </c>
      <c r="H551" s="9">
        <f>IF(D551="USD",E551*$N$1,E551)</f>
        <v/>
      </c>
      <c r="I551" s="9">
        <f>IF(D551="USD",F551*$N$1,F551)</f>
        <v/>
      </c>
      <c r="J551" s="9">
        <f>IF(D551="USD",G551*$N$1,G551)</f>
        <v/>
      </c>
      <c r="K551" s="9">
        <f>H551+I551</f>
        <v/>
      </c>
    </row>
    <row r="552">
      <c r="A552" s="8" t="n">
        <v>46067</v>
      </c>
      <c r="B552" t="inlineStr">
        <is>
          <t>2026-W07</t>
        </is>
      </c>
      <c r="C552" t="inlineStr">
        <is>
          <t>Adyen</t>
        </is>
      </c>
      <c r="D552" t="inlineStr">
        <is>
          <t>EUR</t>
        </is>
      </c>
      <c r="E552" s="9" t="n">
        <v>246808.92</v>
      </c>
      <c r="F552" s="9" t="n">
        <v>0</v>
      </c>
      <c r="G552" s="9" t="n">
        <v>0</v>
      </c>
      <c r="H552" s="9">
        <f>IF(D552="USD",E552*$N$1,E552)</f>
        <v/>
      </c>
      <c r="I552" s="9">
        <f>IF(D552="USD",F552*$N$1,F552)</f>
        <v/>
      </c>
      <c r="J552" s="9">
        <f>IF(D552="USD",G552*$N$1,G552)</f>
        <v/>
      </c>
      <c r="K552" s="9">
        <f>H552+I552</f>
        <v/>
      </c>
    </row>
    <row r="553">
      <c r="A553" s="8" t="n">
        <v>46067</v>
      </c>
      <c r="B553" t="inlineStr">
        <is>
          <t>2026-W07</t>
        </is>
      </c>
      <c r="C553" t="inlineStr">
        <is>
          <t>Adyen</t>
        </is>
      </c>
      <c r="D553" t="inlineStr">
        <is>
          <t>EUR</t>
        </is>
      </c>
      <c r="E553" s="9" t="n">
        <v>40261.51</v>
      </c>
      <c r="F553" s="9" t="n">
        <v>0</v>
      </c>
      <c r="G553" s="9" t="n">
        <v>0</v>
      </c>
      <c r="H553" s="9">
        <f>IF(D553="USD",E553*$N$1,E553)</f>
        <v/>
      </c>
      <c r="I553" s="9">
        <f>IF(D553="USD",F553*$N$1,F553)</f>
        <v/>
      </c>
      <c r="J553" s="9">
        <f>IF(D553="USD",G553*$N$1,G553)</f>
        <v/>
      </c>
      <c r="K553" s="9">
        <f>H553+I553</f>
        <v/>
      </c>
    </row>
    <row r="554">
      <c r="A554" s="8" t="n">
        <v>46067</v>
      </c>
      <c r="B554" t="inlineStr">
        <is>
          <t>2026-W07</t>
        </is>
      </c>
      <c r="C554" t="inlineStr">
        <is>
          <t>Nuvei</t>
        </is>
      </c>
      <c r="D554" t="inlineStr">
        <is>
          <t>EUR</t>
        </is>
      </c>
      <c r="E554" s="9" t="n">
        <v>552132.9300000001</v>
      </c>
      <c r="F554" s="9" t="n">
        <v>-7889.31</v>
      </c>
      <c r="G554" s="9" t="n">
        <v>0</v>
      </c>
      <c r="H554" s="9">
        <f>IF(D554="USD",E554*$N$1,E554)</f>
        <v/>
      </c>
      <c r="I554" s="9">
        <f>IF(D554="USD",F554*$N$1,F554)</f>
        <v/>
      </c>
      <c r="J554" s="9">
        <f>IF(D554="USD",G554*$N$1,G554)</f>
        <v/>
      </c>
      <c r="K554" s="9">
        <f>H554+I554</f>
        <v/>
      </c>
    </row>
    <row r="555">
      <c r="A555" s="8" t="n">
        <v>46067</v>
      </c>
      <c r="B555" t="inlineStr">
        <is>
          <t>2026-W07</t>
        </is>
      </c>
      <c r="C555" t="inlineStr">
        <is>
          <t>Nuvei</t>
        </is>
      </c>
      <c r="D555" t="inlineStr">
        <is>
          <t>EUR</t>
        </is>
      </c>
      <c r="E555" s="9" t="n">
        <v>67924.02</v>
      </c>
      <c r="F555" s="9" t="n">
        <v>-1752.45</v>
      </c>
      <c r="G555" s="9" t="n">
        <v>0</v>
      </c>
      <c r="H555" s="9">
        <f>IF(D555="USD",E555*$N$1,E555)</f>
        <v/>
      </c>
      <c r="I555" s="9">
        <f>IF(D555="USD",F555*$N$1,F555)</f>
        <v/>
      </c>
      <c r="J555" s="9">
        <f>IF(D555="USD",G555*$N$1,G555)</f>
        <v/>
      </c>
      <c r="K555" s="9">
        <f>H555+I555</f>
        <v/>
      </c>
    </row>
    <row r="556">
      <c r="A556" s="8" t="n">
        <v>46068</v>
      </c>
      <c r="B556" t="inlineStr">
        <is>
          <t>2026-W07</t>
        </is>
      </c>
      <c r="C556" t="inlineStr">
        <is>
          <t>Adyen</t>
        </is>
      </c>
      <c r="D556" t="inlineStr">
        <is>
          <t>EUR</t>
        </is>
      </c>
      <c r="E556" s="9" t="n">
        <v>260092.4</v>
      </c>
      <c r="F556" s="9" t="n">
        <v>0</v>
      </c>
      <c r="G556" s="9" t="n">
        <v>0</v>
      </c>
      <c r="H556" s="9">
        <f>IF(D556="USD",E556*$N$1,E556)</f>
        <v/>
      </c>
      <c r="I556" s="9">
        <f>IF(D556="USD",F556*$N$1,F556)</f>
        <v/>
      </c>
      <c r="J556" s="9">
        <f>IF(D556="USD",G556*$N$1,G556)</f>
        <v/>
      </c>
      <c r="K556" s="9">
        <f>H556+I556</f>
        <v/>
      </c>
    </row>
    <row r="557">
      <c r="A557" s="8" t="n">
        <v>46068</v>
      </c>
      <c r="B557" t="inlineStr">
        <is>
          <t>2026-W07</t>
        </is>
      </c>
      <c r="C557" t="inlineStr">
        <is>
          <t>Adyen</t>
        </is>
      </c>
      <c r="D557" t="inlineStr">
        <is>
          <t>EUR</t>
        </is>
      </c>
      <c r="E557" s="9" t="n">
        <v>19099.64</v>
      </c>
      <c r="F557" s="9" t="n">
        <v>0</v>
      </c>
      <c r="G557" s="9" t="n">
        <v>0</v>
      </c>
      <c r="H557" s="9">
        <f>IF(D557="USD",E557*$N$1,E557)</f>
        <v/>
      </c>
      <c r="I557" s="9">
        <f>IF(D557="USD",F557*$N$1,F557)</f>
        <v/>
      </c>
      <c r="J557" s="9">
        <f>IF(D557="USD",G557*$N$1,G557)</f>
        <v/>
      </c>
      <c r="K557" s="9">
        <f>H557+I557</f>
        <v/>
      </c>
    </row>
    <row r="558">
      <c r="A558" s="8" t="n">
        <v>46068</v>
      </c>
      <c r="B558" t="inlineStr">
        <is>
          <t>2026-W07</t>
        </is>
      </c>
      <c r="C558" t="inlineStr">
        <is>
          <t>Nuvei</t>
        </is>
      </c>
      <c r="D558" t="inlineStr">
        <is>
          <t>EUR</t>
        </is>
      </c>
      <c r="E558" s="9" t="n">
        <v>799940.63</v>
      </c>
      <c r="F558" s="9" t="n">
        <v>-10143.58</v>
      </c>
      <c r="G558" s="9" t="n">
        <v>0</v>
      </c>
      <c r="H558" s="9">
        <f>IF(D558="USD",E558*$N$1,E558)</f>
        <v/>
      </c>
      <c r="I558" s="9">
        <f>IF(D558="USD",F558*$N$1,F558)</f>
        <v/>
      </c>
      <c r="J558" s="9">
        <f>IF(D558="USD",G558*$N$1,G558)</f>
        <v/>
      </c>
      <c r="K558" s="9">
        <f>H558+I558</f>
        <v/>
      </c>
    </row>
    <row r="559">
      <c r="A559" s="8" t="n">
        <v>46068</v>
      </c>
      <c r="B559" t="inlineStr">
        <is>
          <t>2026-W07</t>
        </is>
      </c>
      <c r="C559" t="inlineStr">
        <is>
          <t>Nuvei</t>
        </is>
      </c>
      <c r="D559" t="inlineStr">
        <is>
          <t>EUR</t>
        </is>
      </c>
      <c r="E559" s="9" t="n">
        <v>65621.3</v>
      </c>
      <c r="F559" s="9" t="n">
        <v>-1597.82</v>
      </c>
      <c r="G559" s="9" t="n">
        <v>0</v>
      </c>
      <c r="H559" s="9">
        <f>IF(D559="USD",E559*$N$1,E559)</f>
        <v/>
      </c>
      <c r="I559" s="9">
        <f>IF(D559="USD",F559*$N$1,F559)</f>
        <v/>
      </c>
      <c r="J559" s="9">
        <f>IF(D559="USD",G559*$N$1,G559)</f>
        <v/>
      </c>
      <c r="K559" s="9">
        <f>H559+I559</f>
        <v/>
      </c>
    </row>
    <row r="560">
      <c r="A560" s="8" t="n">
        <v>46069</v>
      </c>
      <c r="B560" t="inlineStr">
        <is>
          <t>2026-W08</t>
        </is>
      </c>
      <c r="C560" t="inlineStr">
        <is>
          <t>Adyen</t>
        </is>
      </c>
      <c r="D560" t="inlineStr">
        <is>
          <t>EUR</t>
        </is>
      </c>
      <c r="E560" s="9" t="n">
        <v>0</v>
      </c>
      <c r="F560" s="9" t="n">
        <v>0</v>
      </c>
      <c r="G560" s="9" t="n">
        <v>-469993.67</v>
      </c>
      <c r="H560" s="9">
        <f>IF(D560="USD",E560*$N$1,E560)</f>
        <v/>
      </c>
      <c r="I560" s="9">
        <f>IF(D560="USD",F560*$N$1,F560)</f>
        <v/>
      </c>
      <c r="J560" s="9">
        <f>IF(D560="USD",G560*$N$1,G560)</f>
        <v/>
      </c>
      <c r="K560" s="9">
        <f>H560+I560</f>
        <v/>
      </c>
    </row>
    <row r="561">
      <c r="A561" s="8" t="n">
        <v>46069</v>
      </c>
      <c r="B561" t="inlineStr">
        <is>
          <t>2026-W08</t>
        </is>
      </c>
      <c r="C561" t="inlineStr">
        <is>
          <t>Adyen</t>
        </is>
      </c>
      <c r="D561" t="inlineStr">
        <is>
          <t>EUR</t>
        </is>
      </c>
      <c r="E561" s="9" t="n">
        <v>437061.97</v>
      </c>
      <c r="F561" s="9" t="n">
        <v>-5314.899999999965</v>
      </c>
      <c r="G561" s="9" t="n">
        <v>0</v>
      </c>
      <c r="H561" s="9">
        <f>IF(D561="USD",E561*$N$1,E561)</f>
        <v/>
      </c>
      <c r="I561" s="9">
        <f>IF(D561="USD",F561*$N$1,F561)</f>
        <v/>
      </c>
      <c r="J561" s="9">
        <f>IF(D561="USD",G561*$N$1,G561)</f>
        <v/>
      </c>
      <c r="K561" s="9">
        <f>H561+I561</f>
        <v/>
      </c>
    </row>
    <row r="562">
      <c r="A562" s="8" t="n">
        <v>46069</v>
      </c>
      <c r="B562" t="inlineStr">
        <is>
          <t>2026-W08</t>
        </is>
      </c>
      <c r="C562" t="inlineStr">
        <is>
          <t>Adyen</t>
        </is>
      </c>
      <c r="D562" t="inlineStr">
        <is>
          <t>EUR</t>
        </is>
      </c>
      <c r="E562" s="9" t="n">
        <v>59171.56</v>
      </c>
      <c r="F562" s="9" t="n">
        <v>0</v>
      </c>
      <c r="G562" s="9" t="n">
        <v>0</v>
      </c>
      <c r="H562" s="9">
        <f>IF(D562="USD",E562*$N$1,E562)</f>
        <v/>
      </c>
      <c r="I562" s="9">
        <f>IF(D562="USD",F562*$N$1,F562)</f>
        <v/>
      </c>
      <c r="J562" s="9">
        <f>IF(D562="USD",G562*$N$1,G562)</f>
        <v/>
      </c>
      <c r="K562" s="9">
        <f>H562+I562</f>
        <v/>
      </c>
    </row>
    <row r="563">
      <c r="A563" s="8" t="n">
        <v>46069</v>
      </c>
      <c r="B563" t="inlineStr">
        <is>
          <t>2026-W08</t>
        </is>
      </c>
      <c r="C563" t="inlineStr">
        <is>
          <t>Nuvei</t>
        </is>
      </c>
      <c r="D563" t="inlineStr">
        <is>
          <t>EUR</t>
        </is>
      </c>
      <c r="E563" s="9" t="n">
        <v>0</v>
      </c>
      <c r="F563" s="9" t="n">
        <v>0</v>
      </c>
      <c r="G563" s="9" t="n">
        <v>-749364.89</v>
      </c>
      <c r="H563" s="9">
        <f>IF(D563="USD",E563*$N$1,E563)</f>
        <v/>
      </c>
      <c r="I563" s="9">
        <f>IF(D563="USD",F563*$N$1,F563)</f>
        <v/>
      </c>
      <c r="J563" s="9">
        <f>IF(D563="USD",G563*$N$1,G563)</f>
        <v/>
      </c>
      <c r="K563" s="9">
        <f>H563+I563</f>
        <v/>
      </c>
    </row>
    <row r="564">
      <c r="A564" s="8" t="n">
        <v>46069</v>
      </c>
      <c r="B564" t="inlineStr">
        <is>
          <t>2026-W08</t>
        </is>
      </c>
      <c r="C564" t="inlineStr">
        <is>
          <t>Nuvei</t>
        </is>
      </c>
      <c r="D564" t="inlineStr">
        <is>
          <t>EUR</t>
        </is>
      </c>
      <c r="E564" s="9" t="n">
        <v>0</v>
      </c>
      <c r="F564" s="9" t="n">
        <v>0</v>
      </c>
      <c r="G564" s="9" t="n">
        <v>-96824.16</v>
      </c>
      <c r="H564" s="9">
        <f>IF(D564="USD",E564*$N$1,E564)</f>
        <v/>
      </c>
      <c r="I564" s="9">
        <f>IF(D564="USD",F564*$N$1,F564)</f>
        <v/>
      </c>
      <c r="J564" s="9">
        <f>IF(D564="USD",G564*$N$1,G564)</f>
        <v/>
      </c>
      <c r="K564" s="9">
        <f>H564+I564</f>
        <v/>
      </c>
    </row>
    <row r="565">
      <c r="A565" s="8" t="n">
        <v>46069</v>
      </c>
      <c r="B565" t="inlineStr">
        <is>
          <t>2026-W08</t>
        </is>
      </c>
      <c r="C565" t="inlineStr">
        <is>
          <t>Nuvei</t>
        </is>
      </c>
      <c r="D565" t="inlineStr">
        <is>
          <t>EUR</t>
        </is>
      </c>
      <c r="E565" s="9" t="n">
        <v>718527.6899999999</v>
      </c>
      <c r="F565" s="9" t="n">
        <v>-9389.450000000001</v>
      </c>
      <c r="G565" s="9" t="n">
        <v>0</v>
      </c>
      <c r="H565" s="9">
        <f>IF(D565="USD",E565*$N$1,E565)</f>
        <v/>
      </c>
      <c r="I565" s="9">
        <f>IF(D565="USD",F565*$N$1,F565)</f>
        <v/>
      </c>
      <c r="J565" s="9">
        <f>IF(D565="USD",G565*$N$1,G565)</f>
        <v/>
      </c>
      <c r="K565" s="9">
        <f>H565+I565</f>
        <v/>
      </c>
    </row>
    <row r="566">
      <c r="A566" s="8" t="n">
        <v>46069</v>
      </c>
      <c r="B566" t="inlineStr">
        <is>
          <t>2026-W08</t>
        </is>
      </c>
      <c r="C566" t="inlineStr">
        <is>
          <t>Nuvei</t>
        </is>
      </c>
      <c r="D566" t="inlineStr">
        <is>
          <t>EUR</t>
        </is>
      </c>
      <c r="E566" s="9" t="n">
        <v>73091.92</v>
      </c>
      <c r="F566" s="9" t="n">
        <v>-1902.03</v>
      </c>
      <c r="G566" s="9" t="n">
        <v>0</v>
      </c>
      <c r="H566" s="9">
        <f>IF(D566="USD",E566*$N$1,E566)</f>
        <v/>
      </c>
      <c r="I566" s="9">
        <f>IF(D566="USD",F566*$N$1,F566)</f>
        <v/>
      </c>
      <c r="J566" s="9">
        <f>IF(D566="USD",G566*$N$1,G566)</f>
        <v/>
      </c>
      <c r="K566" s="9">
        <f>H566+I566</f>
        <v/>
      </c>
    </row>
    <row r="567">
      <c r="A567" s="8" t="n">
        <v>46070</v>
      </c>
      <c r="B567" t="inlineStr">
        <is>
          <t>2026-W08</t>
        </is>
      </c>
      <c r="C567" t="inlineStr">
        <is>
          <t>Adyen</t>
        </is>
      </c>
      <c r="D567" t="inlineStr">
        <is>
          <t>EUR</t>
        </is>
      </c>
      <c r="E567" s="9" t="n">
        <v>0</v>
      </c>
      <c r="F567" s="9" t="n">
        <v>0</v>
      </c>
      <c r="G567" s="9" t="n">
        <v>-1038092.58</v>
      </c>
      <c r="H567" s="9">
        <f>IF(D567="USD",E567*$N$1,E567)</f>
        <v/>
      </c>
      <c r="I567" s="9">
        <f>IF(D567="USD",F567*$N$1,F567)</f>
        <v/>
      </c>
      <c r="J567" s="9">
        <f>IF(D567="USD",G567*$N$1,G567)</f>
        <v/>
      </c>
      <c r="K567" s="9">
        <f>H567+I567</f>
        <v/>
      </c>
    </row>
    <row r="568">
      <c r="A568" s="8" t="n">
        <v>46070</v>
      </c>
      <c r="B568" t="inlineStr">
        <is>
          <t>2026-W08</t>
        </is>
      </c>
      <c r="C568" t="inlineStr">
        <is>
          <t>Adyen</t>
        </is>
      </c>
      <c r="D568" t="inlineStr">
        <is>
          <t>EUR</t>
        </is>
      </c>
      <c r="E568" s="9" t="n">
        <v>459847.62</v>
      </c>
      <c r="F568" s="9" t="n">
        <v>-4394.29999999993</v>
      </c>
      <c r="G568" s="9" t="n">
        <v>0</v>
      </c>
      <c r="H568" s="9">
        <f>IF(D568="USD",E568*$N$1,E568)</f>
        <v/>
      </c>
      <c r="I568" s="9">
        <f>IF(D568="USD",F568*$N$1,F568)</f>
        <v/>
      </c>
      <c r="J568" s="9">
        <f>IF(D568="USD",G568*$N$1,G568)</f>
        <v/>
      </c>
      <c r="K568" s="9">
        <f>H568+I568</f>
        <v/>
      </c>
    </row>
    <row r="569">
      <c r="A569" s="8" t="n">
        <v>46070</v>
      </c>
      <c r="B569" t="inlineStr">
        <is>
          <t>2026-W08</t>
        </is>
      </c>
      <c r="C569" t="inlineStr">
        <is>
          <t>Adyen</t>
        </is>
      </c>
      <c r="D569" t="inlineStr">
        <is>
          <t>EUR</t>
        </is>
      </c>
      <c r="E569" s="9" t="n">
        <v>62704.22</v>
      </c>
      <c r="F569" s="9" t="n">
        <v>0</v>
      </c>
      <c r="G569" s="9" t="n">
        <v>0</v>
      </c>
      <c r="H569" s="9">
        <f>IF(D569="USD",E569*$N$1,E569)</f>
        <v/>
      </c>
      <c r="I569" s="9">
        <f>IF(D569="USD",F569*$N$1,F569)</f>
        <v/>
      </c>
      <c r="J569" s="9">
        <f>IF(D569="USD",G569*$N$1,G569)</f>
        <v/>
      </c>
      <c r="K569" s="9">
        <f>H569+I569</f>
        <v/>
      </c>
    </row>
    <row r="570">
      <c r="A570" s="8" t="n">
        <v>46070</v>
      </c>
      <c r="B570" t="inlineStr">
        <is>
          <t>2026-W08</t>
        </is>
      </c>
      <c r="C570" t="inlineStr">
        <is>
          <t>Nuvei</t>
        </is>
      </c>
      <c r="D570" t="inlineStr">
        <is>
          <t>EUR</t>
        </is>
      </c>
      <c r="E570" s="9" t="n">
        <v>0</v>
      </c>
      <c r="F570" s="9" t="n">
        <v>0</v>
      </c>
      <c r="G570" s="9" t="n">
        <v>-919681.64</v>
      </c>
      <c r="H570" s="9">
        <f>IF(D570="USD",E570*$N$1,E570)</f>
        <v/>
      </c>
      <c r="I570" s="9">
        <f>IF(D570="USD",F570*$N$1,F570)</f>
        <v/>
      </c>
      <c r="J570" s="9">
        <f>IF(D570="USD",G570*$N$1,G570)</f>
        <v/>
      </c>
      <c r="K570" s="9">
        <f>H570+I570</f>
        <v/>
      </c>
    </row>
    <row r="571">
      <c r="A571" s="8" t="n">
        <v>46070</v>
      </c>
      <c r="B571" t="inlineStr">
        <is>
          <t>2026-W08</t>
        </is>
      </c>
      <c r="C571" t="inlineStr">
        <is>
          <t>Nuvei</t>
        </is>
      </c>
      <c r="D571" t="inlineStr">
        <is>
          <t>EUR</t>
        </is>
      </c>
      <c r="E571" s="9" t="n">
        <v>0</v>
      </c>
      <c r="F571" s="9" t="n">
        <v>0</v>
      </c>
      <c r="G571" s="9" t="n">
        <v>-118817.5</v>
      </c>
      <c r="H571" s="9">
        <f>IF(D571="USD",E571*$N$1,E571)</f>
        <v/>
      </c>
      <c r="I571" s="9">
        <f>IF(D571="USD",F571*$N$1,F571)</f>
        <v/>
      </c>
      <c r="J571" s="9">
        <f>IF(D571="USD",G571*$N$1,G571)</f>
        <v/>
      </c>
      <c r="K571" s="9">
        <f>H571+I571</f>
        <v/>
      </c>
    </row>
    <row r="572">
      <c r="A572" s="8" t="n">
        <v>46070</v>
      </c>
      <c r="B572" t="inlineStr">
        <is>
          <t>2026-W08</t>
        </is>
      </c>
      <c r="C572" t="inlineStr">
        <is>
          <t>Nuvei</t>
        </is>
      </c>
      <c r="D572" t="inlineStr">
        <is>
          <t>EUR</t>
        </is>
      </c>
      <c r="E572" s="9" t="n">
        <v>750387.26</v>
      </c>
      <c r="F572" s="9" t="n">
        <v>-10126.41</v>
      </c>
      <c r="G572" s="9" t="n">
        <v>0</v>
      </c>
      <c r="H572" s="9">
        <f>IF(D572="USD",E572*$N$1,E572)</f>
        <v/>
      </c>
      <c r="I572" s="9">
        <f>IF(D572="USD",F572*$N$1,F572)</f>
        <v/>
      </c>
      <c r="J572" s="9">
        <f>IF(D572="USD",G572*$N$1,G572)</f>
        <v/>
      </c>
      <c r="K572" s="9">
        <f>H572+I572</f>
        <v/>
      </c>
    </row>
    <row r="573">
      <c r="A573" s="8" t="n">
        <v>46070</v>
      </c>
      <c r="B573" t="inlineStr">
        <is>
          <t>2026-W08</t>
        </is>
      </c>
      <c r="C573" t="inlineStr">
        <is>
          <t>Nuvei</t>
        </is>
      </c>
      <c r="D573" t="inlineStr">
        <is>
          <t>EUR</t>
        </is>
      </c>
      <c r="E573" s="9" t="n">
        <v>76928.08</v>
      </c>
      <c r="F573" s="9" t="n">
        <v>-2025.91</v>
      </c>
      <c r="G573" s="9" t="n">
        <v>0</v>
      </c>
      <c r="H573" s="9">
        <f>IF(D573="USD",E573*$N$1,E573)</f>
        <v/>
      </c>
      <c r="I573" s="9">
        <f>IF(D573="USD",F573*$N$1,F573)</f>
        <v/>
      </c>
      <c r="J573" s="9">
        <f>IF(D573="USD",G573*$N$1,G573)</f>
        <v/>
      </c>
      <c r="K573" s="9">
        <f>H573+I573</f>
        <v/>
      </c>
    </row>
    <row r="574">
      <c r="A574" s="8" t="n">
        <v>46071</v>
      </c>
      <c r="B574" t="inlineStr">
        <is>
          <t>2026-W08</t>
        </is>
      </c>
      <c r="C574" t="inlineStr">
        <is>
          <t>Adyen</t>
        </is>
      </c>
      <c r="D574" t="inlineStr">
        <is>
          <t>EUR</t>
        </is>
      </c>
      <c r="E574" s="9" t="n">
        <v>0</v>
      </c>
      <c r="F574" s="9" t="n">
        <v>0</v>
      </c>
      <c r="G574" s="9" t="n">
        <v>-490918.63</v>
      </c>
      <c r="H574" s="9">
        <f>IF(D574="USD",E574*$N$1,E574)</f>
        <v/>
      </c>
      <c r="I574" s="9">
        <f>IF(D574="USD",F574*$N$1,F574)</f>
        <v/>
      </c>
      <c r="J574" s="9">
        <f>IF(D574="USD",G574*$N$1,G574)</f>
        <v/>
      </c>
      <c r="K574" s="9">
        <f>H574+I574</f>
        <v/>
      </c>
    </row>
    <row r="575">
      <c r="A575" s="8" t="n">
        <v>46071</v>
      </c>
      <c r="B575" t="inlineStr">
        <is>
          <t>2026-W08</t>
        </is>
      </c>
      <c r="C575" t="inlineStr">
        <is>
          <t>Adyen</t>
        </is>
      </c>
      <c r="D575" t="inlineStr">
        <is>
          <t>EUR</t>
        </is>
      </c>
      <c r="E575" s="9" t="n">
        <v>424350.99</v>
      </c>
      <c r="F575" s="9" t="n">
        <v>-5001.209999999963</v>
      </c>
      <c r="G575" s="9" t="n">
        <v>0</v>
      </c>
      <c r="H575" s="9">
        <f>IF(D575="USD",E575*$N$1,E575)</f>
        <v/>
      </c>
      <c r="I575" s="9">
        <f>IF(D575="USD",F575*$N$1,F575)</f>
        <v/>
      </c>
      <c r="J575" s="9">
        <f>IF(D575="USD",G575*$N$1,G575)</f>
        <v/>
      </c>
      <c r="K575" s="9">
        <f>H575+I575</f>
        <v/>
      </c>
    </row>
    <row r="576">
      <c r="A576" s="8" t="n">
        <v>46071</v>
      </c>
      <c r="B576" t="inlineStr">
        <is>
          <t>2026-W08</t>
        </is>
      </c>
      <c r="C576" t="inlineStr">
        <is>
          <t>Adyen</t>
        </is>
      </c>
      <c r="D576" t="inlineStr">
        <is>
          <t>EUR</t>
        </is>
      </c>
      <c r="E576" s="9" t="n">
        <v>55311.97</v>
      </c>
      <c r="F576" s="9" t="n">
        <v>0</v>
      </c>
      <c r="G576" s="9" t="n">
        <v>0</v>
      </c>
      <c r="H576" s="9">
        <f>IF(D576="USD",E576*$N$1,E576)</f>
        <v/>
      </c>
      <c r="I576" s="9">
        <f>IF(D576="USD",F576*$N$1,F576)</f>
        <v/>
      </c>
      <c r="J576" s="9">
        <f>IF(D576="USD",G576*$N$1,G576)</f>
        <v/>
      </c>
      <c r="K576" s="9">
        <f>H576+I576</f>
        <v/>
      </c>
    </row>
    <row r="577">
      <c r="A577" s="8" t="n">
        <v>46071</v>
      </c>
      <c r="B577" t="inlineStr">
        <is>
          <t>2026-W08</t>
        </is>
      </c>
      <c r="C577" t="inlineStr">
        <is>
          <t>Nuvei</t>
        </is>
      </c>
      <c r="D577" t="inlineStr">
        <is>
          <t>EUR</t>
        </is>
      </c>
      <c r="E577" s="9" t="n">
        <v>0</v>
      </c>
      <c r="F577" s="9" t="n">
        <v>0</v>
      </c>
      <c r="G577" s="9" t="n">
        <v>-821614.3100000001</v>
      </c>
      <c r="H577" s="9">
        <f>IF(D577="USD",E577*$N$1,E577)</f>
        <v/>
      </c>
      <c r="I577" s="9">
        <f>IF(D577="USD",F577*$N$1,F577)</f>
        <v/>
      </c>
      <c r="J577" s="9">
        <f>IF(D577="USD",G577*$N$1,G577)</f>
        <v/>
      </c>
      <c r="K577" s="9">
        <f>H577+I577</f>
        <v/>
      </c>
    </row>
    <row r="578">
      <c r="A578" s="8" t="n">
        <v>46071</v>
      </c>
      <c r="B578" t="inlineStr">
        <is>
          <t>2026-W08</t>
        </is>
      </c>
      <c r="C578" t="inlineStr">
        <is>
          <t>Nuvei</t>
        </is>
      </c>
      <c r="D578" t="inlineStr">
        <is>
          <t>EUR</t>
        </is>
      </c>
      <c r="E578" s="9" t="n">
        <v>0</v>
      </c>
      <c r="F578" s="9" t="n">
        <v>0</v>
      </c>
      <c r="G578" s="9" t="n">
        <v>-60825.44</v>
      </c>
      <c r="H578" s="9">
        <f>IF(D578="USD",E578*$N$1,E578)</f>
        <v/>
      </c>
      <c r="I578" s="9">
        <f>IF(D578="USD",F578*$N$1,F578)</f>
        <v/>
      </c>
      <c r="J578" s="9">
        <f>IF(D578="USD",G578*$N$1,G578)</f>
        <v/>
      </c>
      <c r="K578" s="9">
        <f>H578+I578</f>
        <v/>
      </c>
    </row>
    <row r="579">
      <c r="A579" s="8" t="n">
        <v>46071</v>
      </c>
      <c r="B579" t="inlineStr">
        <is>
          <t>2026-W08</t>
        </is>
      </c>
      <c r="C579" t="inlineStr">
        <is>
          <t>Nuvei</t>
        </is>
      </c>
      <c r="D579" t="inlineStr">
        <is>
          <t>EUR</t>
        </is>
      </c>
      <c r="E579" s="9" t="n">
        <v>824377.83</v>
      </c>
      <c r="F579" s="9" t="n">
        <v>-11166.56</v>
      </c>
      <c r="G579" s="9" t="n">
        <v>0</v>
      </c>
      <c r="H579" s="9">
        <f>IF(D579="USD",E579*$N$1,E579)</f>
        <v/>
      </c>
      <c r="I579" s="9">
        <f>IF(D579="USD",F579*$N$1,F579)</f>
        <v/>
      </c>
      <c r="J579" s="9">
        <f>IF(D579="USD",G579*$N$1,G579)</f>
        <v/>
      </c>
      <c r="K579" s="9">
        <f>H579+I579</f>
        <v/>
      </c>
    </row>
    <row r="580">
      <c r="A580" s="8" t="n">
        <v>46071</v>
      </c>
      <c r="B580" t="inlineStr">
        <is>
          <t>2026-W08</t>
        </is>
      </c>
      <c r="C580" t="inlineStr">
        <is>
          <t>Nuvei</t>
        </is>
      </c>
      <c r="D580" t="inlineStr">
        <is>
          <t>EUR</t>
        </is>
      </c>
      <c r="E580" s="9" t="n">
        <v>80483.77</v>
      </c>
      <c r="F580" s="9" t="n">
        <v>-2015.86</v>
      </c>
      <c r="G580" s="9" t="n">
        <v>0</v>
      </c>
      <c r="H580" s="9">
        <f>IF(D580="USD",E580*$N$1,E580)</f>
        <v/>
      </c>
      <c r="I580" s="9">
        <f>IF(D580="USD",F580*$N$1,F580)</f>
        <v/>
      </c>
      <c r="J580" s="9">
        <f>IF(D580="USD",G580*$N$1,G580)</f>
        <v/>
      </c>
      <c r="K580" s="9">
        <f>H580+I580</f>
        <v/>
      </c>
    </row>
    <row r="581">
      <c r="A581" s="8" t="n">
        <v>46072</v>
      </c>
      <c r="B581" t="inlineStr">
        <is>
          <t>2026-W08</t>
        </is>
      </c>
      <c r="C581" t="inlineStr">
        <is>
          <t>Adyen</t>
        </is>
      </c>
      <c r="D581" t="inlineStr">
        <is>
          <t>EUR</t>
        </is>
      </c>
      <c r="E581" s="9" t="n">
        <v>0</v>
      </c>
      <c r="F581" s="9" t="n">
        <v>0</v>
      </c>
      <c r="G581" s="9" t="n">
        <v>-518157.54</v>
      </c>
      <c r="H581" s="9">
        <f>IF(D581="USD",E581*$N$1,E581)</f>
        <v/>
      </c>
      <c r="I581" s="9">
        <f>IF(D581="USD",F581*$N$1,F581)</f>
        <v/>
      </c>
      <c r="J581" s="9">
        <f>IF(D581="USD",G581*$N$1,G581)</f>
        <v/>
      </c>
      <c r="K581" s="9">
        <f>H581+I581</f>
        <v/>
      </c>
    </row>
    <row r="582">
      <c r="A582" s="8" t="n">
        <v>46072</v>
      </c>
      <c r="B582" t="inlineStr">
        <is>
          <t>2026-W08</t>
        </is>
      </c>
      <c r="C582" t="inlineStr">
        <is>
          <t>Adyen</t>
        </is>
      </c>
      <c r="D582" t="inlineStr">
        <is>
          <t>EUR</t>
        </is>
      </c>
      <c r="E582" s="9" t="n">
        <v>436598.82</v>
      </c>
      <c r="F582" s="9" t="n">
        <v>-5445.079999999958</v>
      </c>
      <c r="G582" s="9" t="n">
        <v>0</v>
      </c>
      <c r="H582" s="9">
        <f>IF(D582="USD",E582*$N$1,E582)</f>
        <v/>
      </c>
      <c r="I582" s="9">
        <f>IF(D582="USD",F582*$N$1,F582)</f>
        <v/>
      </c>
      <c r="J582" s="9">
        <f>IF(D582="USD",G582*$N$1,G582)</f>
        <v/>
      </c>
      <c r="K582" s="9">
        <f>H582+I582</f>
        <v/>
      </c>
    </row>
    <row r="583">
      <c r="A583" s="8" t="n">
        <v>46072</v>
      </c>
      <c r="B583" t="inlineStr">
        <is>
          <t>2026-W08</t>
        </is>
      </c>
      <c r="C583" t="inlineStr">
        <is>
          <t>Adyen</t>
        </is>
      </c>
      <c r="D583" t="inlineStr">
        <is>
          <t>EUR</t>
        </is>
      </c>
      <c r="E583" s="9" t="n">
        <v>53833.93</v>
      </c>
      <c r="F583" s="9" t="n">
        <v>0</v>
      </c>
      <c r="G583" s="9" t="n">
        <v>0</v>
      </c>
      <c r="H583" s="9">
        <f>IF(D583="USD",E583*$N$1,E583)</f>
        <v/>
      </c>
      <c r="I583" s="9">
        <f>IF(D583="USD",F583*$N$1,F583)</f>
        <v/>
      </c>
      <c r="J583" s="9">
        <f>IF(D583="USD",G583*$N$1,G583)</f>
        <v/>
      </c>
      <c r="K583" s="9">
        <f>H583+I583</f>
        <v/>
      </c>
    </row>
    <row r="584">
      <c r="A584" s="8" t="n">
        <v>46072</v>
      </c>
      <c r="B584" t="inlineStr">
        <is>
          <t>2026-W08</t>
        </is>
      </c>
      <c r="C584" t="inlineStr">
        <is>
          <t>Nuvei</t>
        </is>
      </c>
      <c r="D584" t="inlineStr">
        <is>
          <t>EUR</t>
        </is>
      </c>
      <c r="E584" s="9" t="n">
        <v>0</v>
      </c>
      <c r="F584" s="9" t="n">
        <v>0</v>
      </c>
      <c r="G584" s="9" t="n">
        <v>-591428.28</v>
      </c>
      <c r="H584" s="9">
        <f>IF(D584="USD",E584*$N$1,E584)</f>
        <v/>
      </c>
      <c r="I584" s="9">
        <f>IF(D584="USD",F584*$N$1,F584)</f>
        <v/>
      </c>
      <c r="J584" s="9">
        <f>IF(D584="USD",G584*$N$1,G584)</f>
        <v/>
      </c>
      <c r="K584" s="9">
        <f>H584+I584</f>
        <v/>
      </c>
    </row>
    <row r="585">
      <c r="A585" s="8" t="n">
        <v>46072</v>
      </c>
      <c r="B585" t="inlineStr">
        <is>
          <t>2026-W08</t>
        </is>
      </c>
      <c r="C585" t="inlineStr">
        <is>
          <t>Nuvei</t>
        </is>
      </c>
      <c r="D585" t="inlineStr">
        <is>
          <t>EUR</t>
        </is>
      </c>
      <c r="E585" s="9" t="n">
        <v>0</v>
      </c>
      <c r="F585" s="9" t="n">
        <v>0</v>
      </c>
      <c r="G585" s="9" t="n">
        <v>-62357.86</v>
      </c>
      <c r="H585" s="9">
        <f>IF(D585="USD",E585*$N$1,E585)</f>
        <v/>
      </c>
      <c r="I585" s="9">
        <f>IF(D585="USD",F585*$N$1,F585)</f>
        <v/>
      </c>
      <c r="J585" s="9">
        <f>IF(D585="USD",G585*$N$1,G585)</f>
        <v/>
      </c>
      <c r="K585" s="9">
        <f>H585+I585</f>
        <v/>
      </c>
    </row>
    <row r="586">
      <c r="A586" s="8" t="n">
        <v>46072</v>
      </c>
      <c r="B586" t="inlineStr">
        <is>
          <t>2026-W08</t>
        </is>
      </c>
      <c r="C586" t="inlineStr">
        <is>
          <t>Nuvei</t>
        </is>
      </c>
      <c r="D586" t="inlineStr">
        <is>
          <t>EUR</t>
        </is>
      </c>
      <c r="E586" s="9" t="n">
        <v>789172.97</v>
      </c>
      <c r="F586" s="9" t="n">
        <v>-9972.58</v>
      </c>
      <c r="G586" s="9" t="n">
        <v>0</v>
      </c>
      <c r="H586" s="9">
        <f>IF(D586="USD",E586*$N$1,E586)</f>
        <v/>
      </c>
      <c r="I586" s="9">
        <f>IF(D586="USD",F586*$N$1,F586)</f>
        <v/>
      </c>
      <c r="J586" s="9">
        <f>IF(D586="USD",G586*$N$1,G586)</f>
        <v/>
      </c>
      <c r="K586" s="9">
        <f>H586+I586</f>
        <v/>
      </c>
    </row>
    <row r="587">
      <c r="A587" s="8" t="n">
        <v>46072</v>
      </c>
      <c r="B587" t="inlineStr">
        <is>
          <t>2026-W08</t>
        </is>
      </c>
      <c r="C587" t="inlineStr">
        <is>
          <t>Nuvei</t>
        </is>
      </c>
      <c r="D587" t="inlineStr">
        <is>
          <t>EUR</t>
        </is>
      </c>
      <c r="E587" s="9" t="n">
        <v>80969.44</v>
      </c>
      <c r="F587" s="9" t="n">
        <v>-2075.71</v>
      </c>
      <c r="G587" s="9" t="n">
        <v>0</v>
      </c>
      <c r="H587" s="9">
        <f>IF(D587="USD",E587*$N$1,E587)</f>
        <v/>
      </c>
      <c r="I587" s="9">
        <f>IF(D587="USD",F587*$N$1,F587)</f>
        <v/>
      </c>
      <c r="J587" s="9">
        <f>IF(D587="USD",G587*$N$1,G587)</f>
        <v/>
      </c>
      <c r="K587" s="9">
        <f>H587+I587</f>
        <v/>
      </c>
    </row>
    <row r="588">
      <c r="A588" s="8" t="n">
        <v>46073</v>
      </c>
      <c r="B588" t="inlineStr">
        <is>
          <t>2026-W08</t>
        </is>
      </c>
      <c r="C588" t="inlineStr">
        <is>
          <t>Adyen</t>
        </is>
      </c>
      <c r="D588" t="inlineStr">
        <is>
          <t>EUR</t>
        </is>
      </c>
      <c r="E588" s="9" t="n">
        <v>0</v>
      </c>
      <c r="F588" s="9" t="n">
        <v>0</v>
      </c>
      <c r="G588" s="9" t="n">
        <v>-474661.75</v>
      </c>
      <c r="H588" s="9">
        <f>IF(D588="USD",E588*$N$1,E588)</f>
        <v/>
      </c>
      <c r="I588" s="9">
        <f>IF(D588="USD",F588*$N$1,F588)</f>
        <v/>
      </c>
      <c r="J588" s="9">
        <f>IF(D588="USD",G588*$N$1,G588)</f>
        <v/>
      </c>
      <c r="K588" s="9">
        <f>H588+I588</f>
        <v/>
      </c>
    </row>
    <row r="589">
      <c r="A589" s="8" t="n">
        <v>46073</v>
      </c>
      <c r="B589" t="inlineStr">
        <is>
          <t>2026-W08</t>
        </is>
      </c>
      <c r="C589" t="inlineStr">
        <is>
          <t>Adyen</t>
        </is>
      </c>
      <c r="D589" t="inlineStr">
        <is>
          <t>EUR</t>
        </is>
      </c>
      <c r="E589" s="9" t="n">
        <v>414022.29</v>
      </c>
      <c r="F589" s="9" t="n">
        <v>-11938.82999999996</v>
      </c>
      <c r="G589" s="9" t="n">
        <v>0</v>
      </c>
      <c r="H589" s="9">
        <f>IF(D589="USD",E589*$N$1,E589)</f>
        <v/>
      </c>
      <c r="I589" s="9">
        <f>IF(D589="USD",F589*$N$1,F589)</f>
        <v/>
      </c>
      <c r="J589" s="9">
        <f>IF(D589="USD",G589*$N$1,G589)</f>
        <v/>
      </c>
      <c r="K589" s="9">
        <f>H589+I589</f>
        <v/>
      </c>
    </row>
    <row r="590">
      <c r="A590" s="8" t="n">
        <v>46073</v>
      </c>
      <c r="B590" t="inlineStr">
        <is>
          <t>2026-W08</t>
        </is>
      </c>
      <c r="C590" t="inlineStr">
        <is>
          <t>Adyen</t>
        </is>
      </c>
      <c r="D590" t="inlineStr">
        <is>
          <t>EUR</t>
        </is>
      </c>
      <c r="E590" s="9" t="n">
        <v>50576.03</v>
      </c>
      <c r="F590" s="9" t="n">
        <v>0</v>
      </c>
      <c r="G590" s="9" t="n">
        <v>0</v>
      </c>
      <c r="H590" s="9">
        <f>IF(D590="USD",E590*$N$1,E590)</f>
        <v/>
      </c>
      <c r="I590" s="9">
        <f>IF(D590="USD",F590*$N$1,F590)</f>
        <v/>
      </c>
      <c r="J590" s="9">
        <f>IF(D590="USD",G590*$N$1,G590)</f>
        <v/>
      </c>
      <c r="K590" s="9">
        <f>H590+I590</f>
        <v/>
      </c>
    </row>
    <row r="591">
      <c r="A591" s="8" t="n">
        <v>46073</v>
      </c>
      <c r="B591" t="inlineStr">
        <is>
          <t>2026-W08</t>
        </is>
      </c>
      <c r="C591" t="inlineStr">
        <is>
          <t>Nuvei</t>
        </is>
      </c>
      <c r="D591" t="inlineStr">
        <is>
          <t>EUR</t>
        </is>
      </c>
      <c r="E591" s="9" t="n">
        <v>0</v>
      </c>
      <c r="F591" s="9" t="n">
        <v>0</v>
      </c>
      <c r="G591" s="9" t="n">
        <v>-2043175.42</v>
      </c>
      <c r="H591" s="9">
        <f>IF(D591="USD",E591*$N$1,E591)</f>
        <v/>
      </c>
      <c r="I591" s="9">
        <f>IF(D591="USD",F591*$N$1,F591)</f>
        <v/>
      </c>
      <c r="J591" s="9">
        <f>IF(D591="USD",G591*$N$1,G591)</f>
        <v/>
      </c>
      <c r="K591" s="9">
        <f>H591+I591</f>
        <v/>
      </c>
    </row>
    <row r="592">
      <c r="A592" s="8" t="n">
        <v>46073</v>
      </c>
      <c r="B592" t="inlineStr">
        <is>
          <t>2026-W08</t>
        </is>
      </c>
      <c r="C592" t="inlineStr">
        <is>
          <t>Nuvei</t>
        </is>
      </c>
      <c r="D592" t="inlineStr">
        <is>
          <t>EUR</t>
        </is>
      </c>
      <c r="E592" s="9" t="n">
        <v>0</v>
      </c>
      <c r="F592" s="9" t="n">
        <v>0</v>
      </c>
      <c r="G592" s="9" t="n">
        <v>-201381.44</v>
      </c>
      <c r="H592" s="9">
        <f>IF(D592="USD",E592*$N$1,E592)</f>
        <v/>
      </c>
      <c r="I592" s="9">
        <f>IF(D592="USD",F592*$N$1,F592)</f>
        <v/>
      </c>
      <c r="J592" s="9">
        <f>IF(D592="USD",G592*$N$1,G592)</f>
        <v/>
      </c>
      <c r="K592" s="9">
        <f>H592+I592</f>
        <v/>
      </c>
    </row>
    <row r="593">
      <c r="A593" s="8" t="n">
        <v>46073</v>
      </c>
      <c r="B593" t="inlineStr">
        <is>
          <t>2026-W08</t>
        </is>
      </c>
      <c r="C593" t="inlineStr">
        <is>
          <t>Nuvei</t>
        </is>
      </c>
      <c r="D593" t="inlineStr">
        <is>
          <t>EUR</t>
        </is>
      </c>
      <c r="E593" s="9" t="n">
        <v>723249.95</v>
      </c>
      <c r="F593" s="9" t="n">
        <v>-9599.940000000001</v>
      </c>
      <c r="G593" s="9" t="n">
        <v>0</v>
      </c>
      <c r="H593" s="9">
        <f>IF(D593="USD",E593*$N$1,E593)</f>
        <v/>
      </c>
      <c r="I593" s="9">
        <f>IF(D593="USD",F593*$N$1,F593)</f>
        <v/>
      </c>
      <c r="J593" s="9">
        <f>IF(D593="USD",G593*$N$1,G593)</f>
        <v/>
      </c>
      <c r="K593" s="9">
        <f>H593+I593</f>
        <v/>
      </c>
    </row>
    <row r="594">
      <c r="A594" s="8" t="n">
        <v>46073</v>
      </c>
      <c r="B594" t="inlineStr">
        <is>
          <t>2026-W08</t>
        </is>
      </c>
      <c r="C594" t="inlineStr">
        <is>
          <t>Nuvei</t>
        </is>
      </c>
      <c r="D594" t="inlineStr">
        <is>
          <t>EUR</t>
        </is>
      </c>
      <c r="E594" s="9" t="n">
        <v>65513.79</v>
      </c>
      <c r="F594" s="9" t="n">
        <v>-1719.29</v>
      </c>
      <c r="G594" s="9" t="n">
        <v>0</v>
      </c>
      <c r="H594" s="9">
        <f>IF(D594="USD",E594*$N$1,E594)</f>
        <v/>
      </c>
      <c r="I594" s="9">
        <f>IF(D594="USD",F594*$N$1,F594)</f>
        <v/>
      </c>
      <c r="J594" s="9">
        <f>IF(D594="USD",G594*$N$1,G594)</f>
        <v/>
      </c>
      <c r="K594" s="9">
        <f>H594+I594</f>
        <v/>
      </c>
    </row>
    <row r="595">
      <c r="A595" s="8" t="n">
        <v>46074</v>
      </c>
      <c r="B595" t="inlineStr">
        <is>
          <t>2026-W08</t>
        </is>
      </c>
      <c r="C595" t="inlineStr">
        <is>
          <t>Adyen</t>
        </is>
      </c>
      <c r="D595" t="inlineStr">
        <is>
          <t>EUR</t>
        </is>
      </c>
      <c r="E595" s="9" t="n">
        <v>255326.58</v>
      </c>
      <c r="F595" s="9" t="n">
        <v>0</v>
      </c>
      <c r="G595" s="9" t="n">
        <v>0</v>
      </c>
      <c r="H595" s="9">
        <f>IF(D595="USD",E595*$N$1,E595)</f>
        <v/>
      </c>
      <c r="I595" s="9">
        <f>IF(D595="USD",F595*$N$1,F595)</f>
        <v/>
      </c>
      <c r="J595" s="9">
        <f>IF(D595="USD",G595*$N$1,G595)</f>
        <v/>
      </c>
      <c r="K595" s="9">
        <f>H595+I595</f>
        <v/>
      </c>
    </row>
    <row r="596">
      <c r="A596" s="8" t="n">
        <v>46074</v>
      </c>
      <c r="B596" t="inlineStr">
        <is>
          <t>2026-W08</t>
        </is>
      </c>
      <c r="C596" t="inlineStr">
        <is>
          <t>Adyen</t>
        </is>
      </c>
      <c r="D596" t="inlineStr">
        <is>
          <t>EUR</t>
        </is>
      </c>
      <c r="E596" s="9" t="n">
        <v>30986.88</v>
      </c>
      <c r="F596" s="9" t="n">
        <v>0</v>
      </c>
      <c r="G596" s="9" t="n">
        <v>0</v>
      </c>
      <c r="H596" s="9">
        <f>IF(D596="USD",E596*$N$1,E596)</f>
        <v/>
      </c>
      <c r="I596" s="9">
        <f>IF(D596="USD",F596*$N$1,F596)</f>
        <v/>
      </c>
      <c r="J596" s="9">
        <f>IF(D596="USD",G596*$N$1,G596)</f>
        <v/>
      </c>
      <c r="K596" s="9">
        <f>H596+I596</f>
        <v/>
      </c>
    </row>
    <row r="597">
      <c r="A597" s="8" t="n">
        <v>46074</v>
      </c>
      <c r="B597" t="inlineStr">
        <is>
          <t>2026-W08</t>
        </is>
      </c>
      <c r="C597" t="inlineStr">
        <is>
          <t>Nuvei</t>
        </is>
      </c>
      <c r="D597" t="inlineStr">
        <is>
          <t>EUR</t>
        </is>
      </c>
      <c r="E597" s="9" t="n">
        <v>714792.28</v>
      </c>
      <c r="F597" s="9" t="n">
        <v>-8465.309999999999</v>
      </c>
      <c r="G597" s="9" t="n">
        <v>0</v>
      </c>
      <c r="H597" s="9">
        <f>IF(D597="USD",E597*$N$1,E597)</f>
        <v/>
      </c>
      <c r="I597" s="9">
        <f>IF(D597="USD",F597*$N$1,F597)</f>
        <v/>
      </c>
      <c r="J597" s="9">
        <f>IF(D597="USD",G597*$N$1,G597)</f>
        <v/>
      </c>
      <c r="K597" s="9">
        <f>H597+I597</f>
        <v/>
      </c>
    </row>
    <row r="598">
      <c r="A598" s="8" t="n">
        <v>46074</v>
      </c>
      <c r="B598" t="inlineStr">
        <is>
          <t>2026-W08</t>
        </is>
      </c>
      <c r="C598" t="inlineStr">
        <is>
          <t>Nuvei</t>
        </is>
      </c>
      <c r="D598" t="inlineStr">
        <is>
          <t>EUR</t>
        </is>
      </c>
      <c r="E598" s="9" t="n">
        <v>66133.64999999999</v>
      </c>
      <c r="F598" s="9" t="n">
        <v>-1709.11</v>
      </c>
      <c r="G598" s="9" t="n">
        <v>0</v>
      </c>
      <c r="H598" s="9">
        <f>IF(D598="USD",E598*$N$1,E598)</f>
        <v/>
      </c>
      <c r="I598" s="9">
        <f>IF(D598="USD",F598*$N$1,F598)</f>
        <v/>
      </c>
      <c r="J598" s="9">
        <f>IF(D598="USD",G598*$N$1,G598)</f>
        <v/>
      </c>
      <c r="K598" s="9">
        <f>H598+I598</f>
        <v/>
      </c>
    </row>
    <row r="599">
      <c r="A599" s="8" t="n">
        <v>46075</v>
      </c>
      <c r="B599" t="inlineStr">
        <is>
          <t>2026-W08</t>
        </is>
      </c>
      <c r="C599" t="inlineStr">
        <is>
          <t>Adyen</t>
        </is>
      </c>
      <c r="D599" t="inlineStr">
        <is>
          <t>EUR</t>
        </is>
      </c>
      <c r="E599" s="9" t="n">
        <v>258789.24</v>
      </c>
      <c r="F599" s="9" t="n">
        <v>0</v>
      </c>
      <c r="G599" s="9" t="n">
        <v>0</v>
      </c>
      <c r="H599" s="9">
        <f>IF(D599="USD",E599*$N$1,E599)</f>
        <v/>
      </c>
      <c r="I599" s="9">
        <f>IF(D599="USD",F599*$N$1,F599)</f>
        <v/>
      </c>
      <c r="J599" s="9">
        <f>IF(D599="USD",G599*$N$1,G599)</f>
        <v/>
      </c>
      <c r="K599" s="9">
        <f>H599+I599</f>
        <v/>
      </c>
    </row>
    <row r="600">
      <c r="A600" s="8" t="n">
        <v>46075</v>
      </c>
      <c r="B600" t="inlineStr">
        <is>
          <t>2026-W08</t>
        </is>
      </c>
      <c r="C600" t="inlineStr">
        <is>
          <t>Adyen</t>
        </is>
      </c>
      <c r="D600" t="inlineStr">
        <is>
          <t>EUR</t>
        </is>
      </c>
      <c r="E600" s="9" t="n">
        <v>24333.23</v>
      </c>
      <c r="F600" s="9" t="n">
        <v>0</v>
      </c>
      <c r="G600" s="9" t="n">
        <v>0</v>
      </c>
      <c r="H600" s="9">
        <f>IF(D600="USD",E600*$N$1,E600)</f>
        <v/>
      </c>
      <c r="I600" s="9">
        <f>IF(D600="USD",F600*$N$1,F600)</f>
        <v/>
      </c>
      <c r="J600" s="9">
        <f>IF(D600="USD",G600*$N$1,G600)</f>
        <v/>
      </c>
      <c r="K600" s="9">
        <f>H600+I600</f>
        <v/>
      </c>
    </row>
    <row r="601">
      <c r="A601" s="8" t="n">
        <v>46075</v>
      </c>
      <c r="B601" t="inlineStr">
        <is>
          <t>2026-W08</t>
        </is>
      </c>
      <c r="C601" t="inlineStr">
        <is>
          <t>Nuvei</t>
        </is>
      </c>
      <c r="D601" t="inlineStr">
        <is>
          <t>EUR</t>
        </is>
      </c>
      <c r="E601" s="9" t="n">
        <v>813287.28</v>
      </c>
      <c r="F601" s="9" t="n">
        <v>-9309.15</v>
      </c>
      <c r="G601" s="9" t="n">
        <v>0</v>
      </c>
      <c r="H601" s="9">
        <f>IF(D601="USD",E601*$N$1,E601)</f>
        <v/>
      </c>
      <c r="I601" s="9">
        <f>IF(D601="USD",F601*$N$1,F601)</f>
        <v/>
      </c>
      <c r="J601" s="9">
        <f>IF(D601="USD",G601*$N$1,G601)</f>
        <v/>
      </c>
      <c r="K601" s="9">
        <f>H601+I601</f>
        <v/>
      </c>
    </row>
    <row r="602">
      <c r="A602" s="8" t="n">
        <v>46075</v>
      </c>
      <c r="B602" t="inlineStr">
        <is>
          <t>2026-W08</t>
        </is>
      </c>
      <c r="C602" t="inlineStr">
        <is>
          <t>Nuvei</t>
        </is>
      </c>
      <c r="D602" t="inlineStr">
        <is>
          <t>EUR</t>
        </is>
      </c>
      <c r="E602" s="9" t="n">
        <v>58329.53</v>
      </c>
      <c r="F602" s="9" t="n">
        <v>-1519.84</v>
      </c>
      <c r="G602" s="9" t="n">
        <v>0</v>
      </c>
      <c r="H602" s="9">
        <f>IF(D602="USD",E602*$N$1,E602)</f>
        <v/>
      </c>
      <c r="I602" s="9">
        <f>IF(D602="USD",F602*$N$1,F602)</f>
        <v/>
      </c>
      <c r="J602" s="9">
        <f>IF(D602="USD",G602*$N$1,G602)</f>
        <v/>
      </c>
      <c r="K602" s="9">
        <f>H602+I602</f>
        <v/>
      </c>
    </row>
    <row r="603">
      <c r="A603" s="8" t="n">
        <v>46076</v>
      </c>
      <c r="B603" t="inlineStr">
        <is>
          <t>2026-W09</t>
        </is>
      </c>
      <c r="C603" t="inlineStr">
        <is>
          <t>Adyen</t>
        </is>
      </c>
      <c r="D603" t="inlineStr">
        <is>
          <t>EUR</t>
        </is>
      </c>
      <c r="E603" s="9" t="n">
        <v>0</v>
      </c>
      <c r="F603" s="9" t="n">
        <v>0</v>
      </c>
      <c r="G603" s="9" t="n">
        <v>-484987.67</v>
      </c>
      <c r="H603" s="9">
        <f>IF(D603="USD",E603*$N$1,E603)</f>
        <v/>
      </c>
      <c r="I603" s="9">
        <f>IF(D603="USD",F603*$N$1,F603)</f>
        <v/>
      </c>
      <c r="J603" s="9">
        <f>IF(D603="USD",G603*$N$1,G603)</f>
        <v/>
      </c>
      <c r="K603" s="9">
        <f>H603+I603</f>
        <v/>
      </c>
    </row>
    <row r="604">
      <c r="A604" s="8" t="n">
        <v>46076</v>
      </c>
      <c r="B604" t="inlineStr">
        <is>
          <t>2026-W09</t>
        </is>
      </c>
      <c r="C604" t="inlineStr">
        <is>
          <t>Adyen</t>
        </is>
      </c>
      <c r="D604" t="inlineStr">
        <is>
          <t>EUR</t>
        </is>
      </c>
      <c r="E604" s="9" t="n">
        <v>458201.83</v>
      </c>
      <c r="F604" s="9" t="n">
        <v>-6743.429999999993</v>
      </c>
      <c r="G604" s="9" t="n">
        <v>0</v>
      </c>
      <c r="H604" s="9">
        <f>IF(D604="USD",E604*$N$1,E604)</f>
        <v/>
      </c>
      <c r="I604" s="9">
        <f>IF(D604="USD",F604*$N$1,F604)</f>
        <v/>
      </c>
      <c r="J604" s="9">
        <f>IF(D604="USD",G604*$N$1,G604)</f>
        <v/>
      </c>
      <c r="K604" s="9">
        <f>H604+I604</f>
        <v/>
      </c>
    </row>
    <row r="605">
      <c r="A605" s="8" t="n">
        <v>46076</v>
      </c>
      <c r="B605" t="inlineStr">
        <is>
          <t>2026-W09</t>
        </is>
      </c>
      <c r="C605" t="inlineStr">
        <is>
          <t>Adyen</t>
        </is>
      </c>
      <c r="D605" t="inlineStr">
        <is>
          <t>EUR</t>
        </is>
      </c>
      <c r="E605" s="9" t="n">
        <v>60320.6</v>
      </c>
      <c r="F605" s="9" t="n">
        <v>0</v>
      </c>
      <c r="G605" s="9" t="n">
        <v>0</v>
      </c>
      <c r="H605" s="9">
        <f>IF(D605="USD",E605*$N$1,E605)</f>
        <v/>
      </c>
      <c r="I605" s="9">
        <f>IF(D605="USD",F605*$N$1,F605)</f>
        <v/>
      </c>
      <c r="J605" s="9">
        <f>IF(D605="USD",G605*$N$1,G605)</f>
        <v/>
      </c>
      <c r="K605" s="9">
        <f>H605+I605</f>
        <v/>
      </c>
    </row>
    <row r="606">
      <c r="A606" s="8" t="n">
        <v>46076</v>
      </c>
      <c r="B606" t="inlineStr">
        <is>
          <t>2026-W09</t>
        </is>
      </c>
      <c r="C606" t="inlineStr">
        <is>
          <t>Nuvei</t>
        </is>
      </c>
      <c r="D606" t="inlineStr">
        <is>
          <t>EUR</t>
        </is>
      </c>
      <c r="E606" s="9" t="n">
        <v>761163.0699999999</v>
      </c>
      <c r="F606" s="9" t="n">
        <v>-9701.43</v>
      </c>
      <c r="G606" s="9" t="n">
        <v>0</v>
      </c>
      <c r="H606" s="9">
        <f>IF(D606="USD",E606*$N$1,E606)</f>
        <v/>
      </c>
      <c r="I606" s="9">
        <f>IF(D606="USD",F606*$N$1,F606)</f>
        <v/>
      </c>
      <c r="J606" s="9">
        <f>IF(D606="USD",G606*$N$1,G606)</f>
        <v/>
      </c>
      <c r="K606" s="9">
        <f>H606+I606</f>
        <v/>
      </c>
    </row>
    <row r="607">
      <c r="A607" s="8" t="n">
        <v>46076</v>
      </c>
      <c r="B607" t="inlineStr">
        <is>
          <t>2026-W09</t>
        </is>
      </c>
      <c r="C607" t="inlineStr">
        <is>
          <t>Nuvei</t>
        </is>
      </c>
      <c r="D607" t="inlineStr">
        <is>
          <t>EUR</t>
        </is>
      </c>
      <c r="E607" s="9" t="n">
        <v>73193.34</v>
      </c>
      <c r="F607" s="9" t="n">
        <v>-1870.56</v>
      </c>
      <c r="G607" s="9" t="n">
        <v>0</v>
      </c>
      <c r="H607" s="9">
        <f>IF(D607="USD",E607*$N$1,E607)</f>
        <v/>
      </c>
      <c r="I607" s="9">
        <f>IF(D607="USD",F607*$N$1,F607)</f>
        <v/>
      </c>
      <c r="J607" s="9">
        <f>IF(D607="USD",G607*$N$1,G607)</f>
        <v/>
      </c>
      <c r="K607" s="9">
        <f>H607+I607</f>
        <v/>
      </c>
    </row>
    <row r="608">
      <c r="A608" s="8" t="n">
        <v>46077</v>
      </c>
      <c r="B608" t="inlineStr">
        <is>
          <t>2026-W09</t>
        </is>
      </c>
      <c r="C608" t="inlineStr">
        <is>
          <t>Adyen</t>
        </is>
      </c>
      <c r="D608" t="inlineStr">
        <is>
          <t>EUR</t>
        </is>
      </c>
      <c r="E608" s="9" t="n">
        <v>0</v>
      </c>
      <c r="F608" s="9" t="n">
        <v>0</v>
      </c>
      <c r="G608" s="9" t="n">
        <v>-1022095.42</v>
      </c>
      <c r="H608" s="9">
        <f>IF(D608="USD",E608*$N$1,E608)</f>
        <v/>
      </c>
      <c r="I608" s="9">
        <f>IF(D608="USD",F608*$N$1,F608)</f>
        <v/>
      </c>
      <c r="J608" s="9">
        <f>IF(D608="USD",G608*$N$1,G608)</f>
        <v/>
      </c>
      <c r="K608" s="9">
        <f>H608+I608</f>
        <v/>
      </c>
    </row>
    <row r="609">
      <c r="A609" s="8" t="n">
        <v>46077</v>
      </c>
      <c r="B609" t="inlineStr">
        <is>
          <t>2026-W09</t>
        </is>
      </c>
      <c r="C609" t="inlineStr">
        <is>
          <t>Adyen</t>
        </is>
      </c>
      <c r="D609" t="inlineStr">
        <is>
          <t>EUR</t>
        </is>
      </c>
      <c r="E609" s="9" t="n">
        <v>457622.8</v>
      </c>
      <c r="F609" s="9" t="n">
        <v>-8758.690000000002</v>
      </c>
      <c r="G609" s="9" t="n">
        <v>0</v>
      </c>
      <c r="H609" s="9">
        <f>IF(D609="USD",E609*$N$1,E609)</f>
        <v/>
      </c>
      <c r="I609" s="9">
        <f>IF(D609="USD",F609*$N$1,F609)</f>
        <v/>
      </c>
      <c r="J609" s="9">
        <f>IF(D609="USD",G609*$N$1,G609)</f>
        <v/>
      </c>
      <c r="K609" s="9">
        <f>H609+I609</f>
        <v/>
      </c>
    </row>
    <row r="610">
      <c r="A610" s="8" t="n">
        <v>46077</v>
      </c>
      <c r="B610" t="inlineStr">
        <is>
          <t>2026-W09</t>
        </is>
      </c>
      <c r="C610" t="inlineStr">
        <is>
          <t>Adyen</t>
        </is>
      </c>
      <c r="D610" t="inlineStr">
        <is>
          <t>EUR</t>
        </is>
      </c>
      <c r="E610" s="9" t="n">
        <v>51303.74</v>
      </c>
      <c r="F610" s="9" t="n">
        <v>0</v>
      </c>
      <c r="G610" s="9" t="n">
        <v>0</v>
      </c>
      <c r="H610" s="9">
        <f>IF(D610="USD",E610*$N$1,E610)</f>
        <v/>
      </c>
      <c r="I610" s="9">
        <f>IF(D610="USD",F610*$N$1,F610)</f>
        <v/>
      </c>
      <c r="J610" s="9">
        <f>IF(D610="USD",G610*$N$1,G610)</f>
        <v/>
      </c>
      <c r="K610" s="9">
        <f>H610+I610</f>
        <v/>
      </c>
    </row>
    <row r="611">
      <c r="A611" s="8" t="n">
        <v>46077</v>
      </c>
      <c r="B611" t="inlineStr">
        <is>
          <t>2026-W09</t>
        </is>
      </c>
      <c r="C611" t="inlineStr">
        <is>
          <t>Nuvei</t>
        </is>
      </c>
      <c r="D611" t="inlineStr">
        <is>
          <t>EUR</t>
        </is>
      </c>
      <c r="E611" s="9" t="n">
        <v>0</v>
      </c>
      <c r="F611" s="9" t="n">
        <v>0</v>
      </c>
      <c r="G611" s="9" t="n">
        <v>-1553445.13</v>
      </c>
      <c r="H611" s="9">
        <f>IF(D611="USD",E611*$N$1,E611)</f>
        <v/>
      </c>
      <c r="I611" s="9">
        <f>IF(D611="USD",F611*$N$1,F611)</f>
        <v/>
      </c>
      <c r="J611" s="9">
        <f>IF(D611="USD",G611*$N$1,G611)</f>
        <v/>
      </c>
      <c r="K611" s="9">
        <f>H611+I611</f>
        <v/>
      </c>
    </row>
    <row r="612">
      <c r="A612" s="8" t="n">
        <v>46077</v>
      </c>
      <c r="B612" t="inlineStr">
        <is>
          <t>2026-W09</t>
        </is>
      </c>
      <c r="C612" t="inlineStr">
        <is>
          <t>Nuvei</t>
        </is>
      </c>
      <c r="D612" t="inlineStr">
        <is>
          <t>EUR</t>
        </is>
      </c>
      <c r="E612" s="9" t="n">
        <v>0</v>
      </c>
      <c r="F612" s="9" t="n">
        <v>0</v>
      </c>
      <c r="G612" s="9" t="n">
        <v>-153363.08</v>
      </c>
      <c r="H612" s="9">
        <f>IF(D612="USD",E612*$N$1,E612)</f>
        <v/>
      </c>
      <c r="I612" s="9">
        <f>IF(D612="USD",F612*$N$1,F612)</f>
        <v/>
      </c>
      <c r="J612" s="9">
        <f>IF(D612="USD",G612*$N$1,G612)</f>
        <v/>
      </c>
      <c r="K612" s="9">
        <f>H612+I612</f>
        <v/>
      </c>
    </row>
    <row r="613">
      <c r="A613" s="8" t="n">
        <v>46077</v>
      </c>
      <c r="B613" t="inlineStr">
        <is>
          <t>2026-W09</t>
        </is>
      </c>
      <c r="C613" t="inlineStr">
        <is>
          <t>Nuvei</t>
        </is>
      </c>
      <c r="D613" t="inlineStr">
        <is>
          <t>EUR</t>
        </is>
      </c>
      <c r="E613" s="9" t="n">
        <v>845592.63</v>
      </c>
      <c r="F613" s="9" t="n">
        <v>-10720.08</v>
      </c>
      <c r="G613" s="9" t="n">
        <v>0</v>
      </c>
      <c r="H613" s="9">
        <f>IF(D613="USD",E613*$N$1,E613)</f>
        <v/>
      </c>
      <c r="I613" s="9">
        <f>IF(D613="USD",F613*$N$1,F613)</f>
        <v/>
      </c>
      <c r="J613" s="9">
        <f>IF(D613="USD",G613*$N$1,G613)</f>
        <v/>
      </c>
      <c r="K613" s="9">
        <f>H613+I613</f>
        <v/>
      </c>
    </row>
    <row r="614">
      <c r="A614" s="8" t="n">
        <v>46077</v>
      </c>
      <c r="B614" t="inlineStr">
        <is>
          <t>2026-W09</t>
        </is>
      </c>
      <c r="C614" t="inlineStr">
        <is>
          <t>Nuvei</t>
        </is>
      </c>
      <c r="D614" t="inlineStr">
        <is>
          <t>EUR</t>
        </is>
      </c>
      <c r="E614" s="9" t="n">
        <v>90883.35000000001</v>
      </c>
      <c r="F614" s="9" t="n">
        <v>-2423.05</v>
      </c>
      <c r="G614" s="9" t="n">
        <v>0</v>
      </c>
      <c r="H614" s="9">
        <f>IF(D614="USD",E614*$N$1,E614)</f>
        <v/>
      </c>
      <c r="I614" s="9">
        <f>IF(D614="USD",F614*$N$1,F614)</f>
        <v/>
      </c>
      <c r="J614" s="9">
        <f>IF(D614="USD",G614*$N$1,G614)</f>
        <v/>
      </c>
      <c r="K614" s="9">
        <f>H614+I614</f>
        <v/>
      </c>
    </row>
    <row r="615">
      <c r="A615" s="8" t="n">
        <v>46078</v>
      </c>
      <c r="B615" t="inlineStr">
        <is>
          <t>2026-W09</t>
        </is>
      </c>
      <c r="C615" t="inlineStr">
        <is>
          <t>Adyen</t>
        </is>
      </c>
      <c r="D615" t="inlineStr">
        <is>
          <t>EUR</t>
        </is>
      </c>
      <c r="E615" s="9" t="n">
        <v>0</v>
      </c>
      <c r="F615" s="9" t="n">
        <v>0</v>
      </c>
      <c r="G615" s="9" t="n">
        <v>-511779</v>
      </c>
      <c r="H615" s="9">
        <f>IF(D615="USD",E615*$N$1,E615)</f>
        <v/>
      </c>
      <c r="I615" s="9">
        <f>IF(D615="USD",F615*$N$1,F615)</f>
        <v/>
      </c>
      <c r="J615" s="9">
        <f>IF(D615="USD",G615*$N$1,G615)</f>
        <v/>
      </c>
      <c r="K615" s="9">
        <f>H615+I615</f>
        <v/>
      </c>
    </row>
    <row r="616">
      <c r="A616" s="8" t="n">
        <v>46078</v>
      </c>
      <c r="B616" t="inlineStr">
        <is>
          <t>2026-W09</t>
        </is>
      </c>
      <c r="C616" t="inlineStr">
        <is>
          <t>Adyen</t>
        </is>
      </c>
      <c r="D616" t="inlineStr">
        <is>
          <t>EUR</t>
        </is>
      </c>
      <c r="E616" s="9" t="n">
        <v>458930.91</v>
      </c>
      <c r="F616" s="9" t="n">
        <v>-3687.559999999939</v>
      </c>
      <c r="G616" s="9" t="n">
        <v>0</v>
      </c>
      <c r="H616" s="9">
        <f>IF(D616="USD",E616*$N$1,E616)</f>
        <v/>
      </c>
      <c r="I616" s="9">
        <f>IF(D616="USD",F616*$N$1,F616)</f>
        <v/>
      </c>
      <c r="J616" s="9">
        <f>IF(D616="USD",G616*$N$1,G616)</f>
        <v/>
      </c>
      <c r="K616" s="9">
        <f>H616+I616</f>
        <v/>
      </c>
    </row>
    <row r="617">
      <c r="A617" s="8" t="n">
        <v>46078</v>
      </c>
      <c r="B617" t="inlineStr">
        <is>
          <t>2026-W09</t>
        </is>
      </c>
      <c r="C617" t="inlineStr">
        <is>
          <t>Adyen</t>
        </is>
      </c>
      <c r="D617" t="inlineStr">
        <is>
          <t>EUR</t>
        </is>
      </c>
      <c r="E617" s="9" t="n">
        <v>56589.57</v>
      </c>
      <c r="F617" s="9" t="n">
        <v>0</v>
      </c>
      <c r="G617" s="9" t="n">
        <v>0</v>
      </c>
      <c r="H617" s="9">
        <f>IF(D617="USD",E617*$N$1,E617)</f>
        <v/>
      </c>
      <c r="I617" s="9">
        <f>IF(D617="USD",F617*$N$1,F617)</f>
        <v/>
      </c>
      <c r="J617" s="9">
        <f>IF(D617="USD",G617*$N$1,G617)</f>
        <v/>
      </c>
      <c r="K617" s="9">
        <f>H617+I617</f>
        <v/>
      </c>
    </row>
    <row r="618">
      <c r="A618" s="8" t="n">
        <v>46078</v>
      </c>
      <c r="B618" t="inlineStr">
        <is>
          <t>2026-W09</t>
        </is>
      </c>
      <c r="C618" t="inlineStr">
        <is>
          <t>Nuvei</t>
        </is>
      </c>
      <c r="D618" t="inlineStr">
        <is>
          <t>EUR</t>
        </is>
      </c>
      <c r="E618" s="9" t="n">
        <v>0</v>
      </c>
      <c r="F618" s="9" t="n">
        <v>0</v>
      </c>
      <c r="G618" s="9" t="n">
        <v>-779196.89</v>
      </c>
      <c r="H618" s="9">
        <f>IF(D618="USD",E618*$N$1,E618)</f>
        <v/>
      </c>
      <c r="I618" s="9">
        <f>IF(D618="USD",F618*$N$1,F618)</f>
        <v/>
      </c>
      <c r="J618" s="9">
        <f>IF(D618="USD",G618*$N$1,G618)</f>
        <v/>
      </c>
      <c r="K618" s="9">
        <f>H618+I618</f>
        <v/>
      </c>
    </row>
    <row r="619">
      <c r="A619" s="8" t="n">
        <v>46078</v>
      </c>
      <c r="B619" t="inlineStr">
        <is>
          <t>2026-W09</t>
        </is>
      </c>
      <c r="C619" t="inlineStr">
        <is>
          <t>Nuvei</t>
        </is>
      </c>
      <c r="D619" t="inlineStr">
        <is>
          <t>EUR</t>
        </is>
      </c>
      <c r="E619" s="9" t="n">
        <v>0</v>
      </c>
      <c r="F619" s="9" t="n">
        <v>0</v>
      </c>
      <c r="G619" s="9" t="n">
        <v>-78890.23</v>
      </c>
      <c r="H619" s="9">
        <f>IF(D619="USD",E619*$N$1,E619)</f>
        <v/>
      </c>
      <c r="I619" s="9">
        <f>IF(D619="USD",F619*$N$1,F619)</f>
        <v/>
      </c>
      <c r="J619" s="9">
        <f>IF(D619="USD",G619*$N$1,G619)</f>
        <v/>
      </c>
      <c r="K619" s="9">
        <f>H619+I619</f>
        <v/>
      </c>
    </row>
    <row r="620">
      <c r="A620" s="8" t="n">
        <v>46078</v>
      </c>
      <c r="B620" t="inlineStr">
        <is>
          <t>2026-W09</t>
        </is>
      </c>
      <c r="C620" t="inlineStr">
        <is>
          <t>Nuvei</t>
        </is>
      </c>
      <c r="D620" t="inlineStr">
        <is>
          <t>EUR</t>
        </is>
      </c>
      <c r="E620" s="9" t="n">
        <v>834339.83</v>
      </c>
      <c r="F620" s="9" t="n">
        <v>-10032.21</v>
      </c>
      <c r="G620" s="9" t="n">
        <v>0</v>
      </c>
      <c r="H620" s="9">
        <f>IF(D620="USD",E620*$N$1,E620)</f>
        <v/>
      </c>
      <c r="I620" s="9">
        <f>IF(D620="USD",F620*$N$1,F620)</f>
        <v/>
      </c>
      <c r="J620" s="9">
        <f>IF(D620="USD",G620*$N$1,G620)</f>
        <v/>
      </c>
      <c r="K620" s="9">
        <f>H620+I620</f>
        <v/>
      </c>
    </row>
    <row r="621">
      <c r="A621" s="8" t="n">
        <v>46078</v>
      </c>
      <c r="B621" t="inlineStr">
        <is>
          <t>2026-W09</t>
        </is>
      </c>
      <c r="C621" t="inlineStr">
        <is>
          <t>Nuvei</t>
        </is>
      </c>
      <c r="D621" t="inlineStr">
        <is>
          <t>EUR</t>
        </is>
      </c>
      <c r="E621" s="9" t="n">
        <v>95656.89999999999</v>
      </c>
      <c r="F621" s="9" t="n">
        <v>-2487.14</v>
      </c>
      <c r="G621" s="9" t="n">
        <v>0</v>
      </c>
      <c r="H621" s="9">
        <f>IF(D621="USD",E621*$N$1,E621)</f>
        <v/>
      </c>
      <c r="I621" s="9">
        <f>IF(D621="USD",F621*$N$1,F621)</f>
        <v/>
      </c>
      <c r="J621" s="9">
        <f>IF(D621="USD",G621*$N$1,G621)</f>
        <v/>
      </c>
      <c r="K621" s="9">
        <f>H621+I621</f>
        <v/>
      </c>
    </row>
    <row r="622">
      <c r="A622" s="8" t="n">
        <v>46079</v>
      </c>
      <c r="B622" t="inlineStr">
        <is>
          <t>2026-W09</t>
        </is>
      </c>
      <c r="C622" t="inlineStr">
        <is>
          <t>Adyen</t>
        </is>
      </c>
      <c r="D622" t="inlineStr">
        <is>
          <t>EUR</t>
        </is>
      </c>
      <c r="E622" s="9" t="n">
        <v>0</v>
      </c>
      <c r="F622" s="9" t="n">
        <v>0</v>
      </c>
      <c r="G622" s="9" t="n">
        <v>-500167.85</v>
      </c>
      <c r="H622" s="9">
        <f>IF(D622="USD",E622*$N$1,E622)</f>
        <v/>
      </c>
      <c r="I622" s="9">
        <f>IF(D622="USD",F622*$N$1,F622)</f>
        <v/>
      </c>
      <c r="J622" s="9">
        <f>IF(D622="USD",G622*$N$1,G622)</f>
        <v/>
      </c>
      <c r="K622" s="9">
        <f>H622+I622</f>
        <v/>
      </c>
    </row>
    <row r="623">
      <c r="A623" s="8" t="n">
        <v>46079</v>
      </c>
      <c r="B623" t="inlineStr">
        <is>
          <t>2026-W09</t>
        </is>
      </c>
      <c r="C623" t="inlineStr">
        <is>
          <t>Adyen</t>
        </is>
      </c>
      <c r="D623" t="inlineStr">
        <is>
          <t>EUR</t>
        </is>
      </c>
      <c r="E623" s="9" t="n">
        <v>445708.4</v>
      </c>
      <c r="F623" s="9" t="n">
        <v>-4562.710000000021</v>
      </c>
      <c r="G623" s="9" t="n">
        <v>0</v>
      </c>
      <c r="H623" s="9">
        <f>IF(D623="USD",E623*$N$1,E623)</f>
        <v/>
      </c>
      <c r="I623" s="9">
        <f>IF(D623="USD",F623*$N$1,F623)</f>
        <v/>
      </c>
      <c r="J623" s="9">
        <f>IF(D623="USD",G623*$N$1,G623)</f>
        <v/>
      </c>
      <c r="K623" s="9">
        <f>H623+I623</f>
        <v/>
      </c>
    </row>
    <row r="624">
      <c r="A624" s="8" t="n">
        <v>46079</v>
      </c>
      <c r="B624" t="inlineStr">
        <is>
          <t>2026-W09</t>
        </is>
      </c>
      <c r="C624" t="inlineStr">
        <is>
          <t>Adyen</t>
        </is>
      </c>
      <c r="D624" t="inlineStr">
        <is>
          <t>EUR</t>
        </is>
      </c>
      <c r="E624" s="9" t="n">
        <v>38307.45</v>
      </c>
      <c r="F624" s="9" t="n">
        <v>0</v>
      </c>
      <c r="G624" s="9" t="n">
        <v>0</v>
      </c>
      <c r="H624" s="9">
        <f>IF(D624="USD",E624*$N$1,E624)</f>
        <v/>
      </c>
      <c r="I624" s="9">
        <f>IF(D624="USD",F624*$N$1,F624)</f>
        <v/>
      </c>
      <c r="J624" s="9">
        <f>IF(D624="USD",G624*$N$1,G624)</f>
        <v/>
      </c>
      <c r="K624" s="9">
        <f>H624+I624</f>
        <v/>
      </c>
    </row>
    <row r="625">
      <c r="A625" s="8" t="n">
        <v>46079</v>
      </c>
      <c r="B625" t="inlineStr">
        <is>
          <t>2026-W09</t>
        </is>
      </c>
      <c r="C625" t="inlineStr">
        <is>
          <t>Nuvei</t>
        </is>
      </c>
      <c r="D625" t="inlineStr">
        <is>
          <t>EUR</t>
        </is>
      </c>
      <c r="E625" s="9" t="n">
        <v>0</v>
      </c>
      <c r="F625" s="9" t="n">
        <v>0</v>
      </c>
      <c r="G625" s="9" t="n">
        <v>-713646.51</v>
      </c>
      <c r="H625" s="9">
        <f>IF(D625="USD",E625*$N$1,E625)</f>
        <v/>
      </c>
      <c r="I625" s="9">
        <f>IF(D625="USD",F625*$N$1,F625)</f>
        <v/>
      </c>
      <c r="J625" s="9">
        <f>IF(D625="USD",G625*$N$1,G625)</f>
        <v/>
      </c>
      <c r="K625" s="9">
        <f>H625+I625</f>
        <v/>
      </c>
    </row>
    <row r="626">
      <c r="A626" s="8" t="n">
        <v>46079</v>
      </c>
      <c r="B626" t="inlineStr">
        <is>
          <t>2026-W09</t>
        </is>
      </c>
      <c r="C626" t="inlineStr">
        <is>
          <t>Nuvei</t>
        </is>
      </c>
      <c r="D626" t="inlineStr">
        <is>
          <t>EUR</t>
        </is>
      </c>
      <c r="E626" s="9" t="n">
        <v>0</v>
      </c>
      <c r="F626" s="9" t="n">
        <v>0</v>
      </c>
      <c r="G626" s="9" t="n">
        <v>-63790.99</v>
      </c>
      <c r="H626" s="9">
        <f>IF(D626="USD",E626*$N$1,E626)</f>
        <v/>
      </c>
      <c r="I626" s="9">
        <f>IF(D626="USD",F626*$N$1,F626)</f>
        <v/>
      </c>
      <c r="J626" s="9">
        <f>IF(D626="USD",G626*$N$1,G626)</f>
        <v/>
      </c>
      <c r="K626" s="9">
        <f>H626+I626</f>
        <v/>
      </c>
    </row>
    <row r="627">
      <c r="A627" s="8" t="n">
        <v>46079</v>
      </c>
      <c r="B627" t="inlineStr">
        <is>
          <t>2026-W09</t>
        </is>
      </c>
      <c r="C627" t="inlineStr">
        <is>
          <t>Nuvei</t>
        </is>
      </c>
      <c r="D627" t="inlineStr">
        <is>
          <t>EUR</t>
        </is>
      </c>
      <c r="E627" s="9" t="n">
        <v>918831.15</v>
      </c>
      <c r="F627" s="9" t="n">
        <v>-11551.1</v>
      </c>
      <c r="G627" s="9" t="n">
        <v>0</v>
      </c>
      <c r="H627" s="9">
        <f>IF(D627="USD",E627*$N$1,E627)</f>
        <v/>
      </c>
      <c r="I627" s="9">
        <f>IF(D627="USD",F627*$N$1,F627)</f>
        <v/>
      </c>
      <c r="J627" s="9">
        <f>IF(D627="USD",G627*$N$1,G627)</f>
        <v/>
      </c>
      <c r="K627" s="9">
        <f>H627+I627</f>
        <v/>
      </c>
    </row>
    <row r="628">
      <c r="A628" s="8" t="n">
        <v>46079</v>
      </c>
      <c r="B628" t="inlineStr">
        <is>
          <t>2026-W09</t>
        </is>
      </c>
      <c r="C628" t="inlineStr">
        <is>
          <t>Nuvei</t>
        </is>
      </c>
      <c r="D628" t="inlineStr">
        <is>
          <t>EUR</t>
        </is>
      </c>
      <c r="E628" s="9" t="n">
        <v>74674.07000000001</v>
      </c>
      <c r="F628" s="9" t="n">
        <v>-1969.46</v>
      </c>
      <c r="G628" s="9" t="n">
        <v>0</v>
      </c>
      <c r="H628" s="9">
        <f>IF(D628="USD",E628*$N$1,E628)</f>
        <v/>
      </c>
      <c r="I628" s="9">
        <f>IF(D628="USD",F628*$N$1,F628)</f>
        <v/>
      </c>
      <c r="J628" s="9">
        <f>IF(D628="USD",G628*$N$1,G628)</f>
        <v/>
      </c>
      <c r="K628" s="9">
        <f>H628+I628</f>
        <v/>
      </c>
    </row>
    <row r="629">
      <c r="A629" s="8" t="n">
        <v>46080</v>
      </c>
      <c r="B629" t="inlineStr">
        <is>
          <t>2026-W09</t>
        </is>
      </c>
      <c r="C629" t="inlineStr">
        <is>
          <t>Adyen</t>
        </is>
      </c>
      <c r="D629" t="inlineStr">
        <is>
          <t>EUR</t>
        </is>
      </c>
      <c r="E629" s="9" t="n">
        <v>0</v>
      </c>
      <c r="F629" s="9" t="n">
        <v>0</v>
      </c>
      <c r="G629" s="9" t="n">
        <v>-511832.92</v>
      </c>
      <c r="H629" s="9">
        <f>IF(D629="USD",E629*$N$1,E629)</f>
        <v/>
      </c>
      <c r="I629" s="9">
        <f>IF(D629="USD",F629*$N$1,F629)</f>
        <v/>
      </c>
      <c r="J629" s="9">
        <f>IF(D629="USD",G629*$N$1,G629)</f>
        <v/>
      </c>
      <c r="K629" s="9">
        <f>H629+I629</f>
        <v/>
      </c>
    </row>
    <row r="630">
      <c r="A630" s="8" t="n">
        <v>46080</v>
      </c>
      <c r="B630" t="inlineStr">
        <is>
          <t>2026-W09</t>
        </is>
      </c>
      <c r="C630" t="inlineStr">
        <is>
          <t>Adyen</t>
        </is>
      </c>
      <c r="D630" t="inlineStr">
        <is>
          <t>EUR</t>
        </is>
      </c>
      <c r="E630" s="9" t="n">
        <v>454688.9</v>
      </c>
      <c r="F630" s="9" t="n">
        <v>-6713.880000000121</v>
      </c>
      <c r="G630" s="9" t="n">
        <v>0</v>
      </c>
      <c r="H630" s="9">
        <f>IF(D630="USD",E630*$N$1,E630)</f>
        <v/>
      </c>
      <c r="I630" s="9">
        <f>IF(D630="USD",F630*$N$1,F630)</f>
        <v/>
      </c>
      <c r="J630" s="9">
        <f>IF(D630="USD",G630*$N$1,G630)</f>
        <v/>
      </c>
      <c r="K630" s="9">
        <f>H630+I630</f>
        <v/>
      </c>
    </row>
    <row r="631">
      <c r="A631" s="8" t="n">
        <v>46080</v>
      </c>
      <c r="B631" t="inlineStr">
        <is>
          <t>2026-W09</t>
        </is>
      </c>
      <c r="C631" t="inlineStr">
        <is>
          <t>Adyen</t>
        </is>
      </c>
      <c r="D631" t="inlineStr">
        <is>
          <t>EUR</t>
        </is>
      </c>
      <c r="E631" s="9" t="n">
        <v>58555.58</v>
      </c>
      <c r="F631" s="9" t="n">
        <v>0</v>
      </c>
      <c r="G631" s="9" t="n">
        <v>0</v>
      </c>
      <c r="H631" s="9">
        <f>IF(D631="USD",E631*$N$1,E631)</f>
        <v/>
      </c>
      <c r="I631" s="9">
        <f>IF(D631="USD",F631*$N$1,F631)</f>
        <v/>
      </c>
      <c r="J631" s="9">
        <f>IF(D631="USD",G631*$N$1,G631)</f>
        <v/>
      </c>
      <c r="K631" s="9">
        <f>H631+I631</f>
        <v/>
      </c>
    </row>
    <row r="632">
      <c r="A632" s="8" t="n">
        <v>46080</v>
      </c>
      <c r="B632" t="inlineStr">
        <is>
          <t>2026-W09</t>
        </is>
      </c>
      <c r="C632" t="inlineStr">
        <is>
          <t>Nuvei</t>
        </is>
      </c>
      <c r="D632" t="inlineStr">
        <is>
          <t>EUR</t>
        </is>
      </c>
      <c r="E632" s="9" t="n">
        <v>0</v>
      </c>
      <c r="F632" s="9" t="n">
        <v>0</v>
      </c>
      <c r="G632" s="9" t="n">
        <v>-2261766.75</v>
      </c>
      <c r="H632" s="9">
        <f>IF(D632="USD",E632*$N$1,E632)</f>
        <v/>
      </c>
      <c r="I632" s="9">
        <f>IF(D632="USD",F632*$N$1,F632)</f>
        <v/>
      </c>
      <c r="J632" s="9">
        <f>IF(D632="USD",G632*$N$1,G632)</f>
        <v/>
      </c>
      <c r="K632" s="9">
        <f>H632+I632</f>
        <v/>
      </c>
    </row>
    <row r="633">
      <c r="A633" s="8" t="n">
        <v>46080</v>
      </c>
      <c r="B633" t="inlineStr">
        <is>
          <t>2026-W09</t>
        </is>
      </c>
      <c r="C633" t="inlineStr">
        <is>
          <t>Nuvei</t>
        </is>
      </c>
      <c r="D633" t="inlineStr">
        <is>
          <t>EUR</t>
        </is>
      </c>
      <c r="E633" s="9" t="n">
        <v>0</v>
      </c>
      <c r="F633" s="9" t="n">
        <v>0</v>
      </c>
      <c r="G633" s="9" t="n">
        <v>-192557.01</v>
      </c>
      <c r="H633" s="9">
        <f>IF(D633="USD",E633*$N$1,E633)</f>
        <v/>
      </c>
      <c r="I633" s="9">
        <f>IF(D633="USD",F633*$N$1,F633)</f>
        <v/>
      </c>
      <c r="J633" s="9">
        <f>IF(D633="USD",G633*$N$1,G633)</f>
        <v/>
      </c>
      <c r="K633" s="9">
        <f>H633+I633</f>
        <v/>
      </c>
    </row>
    <row r="634">
      <c r="A634" s="8" t="n">
        <v>46080</v>
      </c>
      <c r="B634" t="inlineStr">
        <is>
          <t>2026-W09</t>
        </is>
      </c>
      <c r="C634" t="inlineStr">
        <is>
          <t>Nuvei</t>
        </is>
      </c>
      <c r="D634" t="inlineStr">
        <is>
          <t>EUR</t>
        </is>
      </c>
      <c r="E634" s="9" t="n">
        <v>757539.36</v>
      </c>
      <c r="F634" s="9" t="n">
        <v>-9880.5</v>
      </c>
      <c r="G634" s="9" t="n">
        <v>0</v>
      </c>
      <c r="H634" s="9">
        <f>IF(D634="USD",E634*$N$1,E634)</f>
        <v/>
      </c>
      <c r="I634" s="9">
        <f>IF(D634="USD",F634*$N$1,F634)</f>
        <v/>
      </c>
      <c r="J634" s="9">
        <f>IF(D634="USD",G634*$N$1,G634)</f>
        <v/>
      </c>
      <c r="K634" s="9">
        <f>H634+I634</f>
        <v/>
      </c>
    </row>
    <row r="635">
      <c r="A635" s="8" t="n">
        <v>46080</v>
      </c>
      <c r="B635" t="inlineStr">
        <is>
          <t>2026-W09</t>
        </is>
      </c>
      <c r="C635" t="inlineStr">
        <is>
          <t>Nuvei</t>
        </is>
      </c>
      <c r="D635" t="inlineStr">
        <is>
          <t>EUR</t>
        </is>
      </c>
      <c r="E635" s="9" t="n">
        <v>114724.06</v>
      </c>
      <c r="F635" s="9" t="n">
        <v>-3075.65</v>
      </c>
      <c r="G635" s="9" t="n">
        <v>0</v>
      </c>
      <c r="H635" s="9">
        <f>IF(D635="USD",E635*$N$1,E635)</f>
        <v/>
      </c>
      <c r="I635" s="9">
        <f>IF(D635="USD",F635*$N$1,F635)</f>
        <v/>
      </c>
      <c r="J635" s="9">
        <f>IF(D635="USD",G635*$N$1,G635)</f>
        <v/>
      </c>
      <c r="K635" s="9">
        <f>H635+I635</f>
        <v/>
      </c>
    </row>
    <row r="636">
      <c r="A636" s="8" t="n">
        <v>46081</v>
      </c>
      <c r="B636" t="inlineStr">
        <is>
          <t>2026-W09</t>
        </is>
      </c>
      <c r="C636" t="inlineStr">
        <is>
          <t>Adyen</t>
        </is>
      </c>
      <c r="D636" t="inlineStr">
        <is>
          <t>EUR</t>
        </is>
      </c>
      <c r="E636" s="9" t="n">
        <v>299358.09</v>
      </c>
      <c r="F636" s="9" t="n">
        <v>0</v>
      </c>
      <c r="G636" s="9" t="n">
        <v>0</v>
      </c>
      <c r="H636" s="9">
        <f>IF(D636="USD",E636*$N$1,E636)</f>
        <v/>
      </c>
      <c r="I636" s="9">
        <f>IF(D636="USD",F636*$N$1,F636)</f>
        <v/>
      </c>
      <c r="J636" s="9">
        <f>IF(D636="USD",G636*$N$1,G636)</f>
        <v/>
      </c>
      <c r="K636" s="9">
        <f>H636+I636</f>
        <v/>
      </c>
    </row>
    <row r="637">
      <c r="A637" s="8" t="n">
        <v>46081</v>
      </c>
      <c r="B637" t="inlineStr">
        <is>
          <t>2026-W09</t>
        </is>
      </c>
      <c r="C637" t="inlineStr">
        <is>
          <t>Adyen</t>
        </is>
      </c>
      <c r="D637" t="inlineStr">
        <is>
          <t>EUR</t>
        </is>
      </c>
      <c r="E637" s="9" t="n">
        <v>33525.96</v>
      </c>
      <c r="F637" s="9" t="n">
        <v>0</v>
      </c>
      <c r="G637" s="9" t="n">
        <v>0</v>
      </c>
      <c r="H637" s="9">
        <f>IF(D637="USD",E637*$N$1,E637)</f>
        <v/>
      </c>
      <c r="I637" s="9">
        <f>IF(D637="USD",F637*$N$1,F637)</f>
        <v/>
      </c>
      <c r="J637" s="9">
        <f>IF(D637="USD",G637*$N$1,G637)</f>
        <v/>
      </c>
      <c r="K637" s="9">
        <f>H637+I637</f>
        <v/>
      </c>
    </row>
    <row r="638">
      <c r="A638" s="8" t="n">
        <v>46081</v>
      </c>
      <c r="B638" t="inlineStr">
        <is>
          <t>2026-W09</t>
        </is>
      </c>
      <c r="C638" t="inlineStr">
        <is>
          <t>Nuvei</t>
        </is>
      </c>
      <c r="D638" t="inlineStr">
        <is>
          <t>EUR</t>
        </is>
      </c>
      <c r="E638" s="9" t="n">
        <v>824321.2</v>
      </c>
      <c r="F638" s="9" t="n">
        <v>-10313.29</v>
      </c>
      <c r="G638" s="9" t="n">
        <v>0</v>
      </c>
      <c r="H638" s="9">
        <f>IF(D638="USD",E638*$N$1,E638)</f>
        <v/>
      </c>
      <c r="I638" s="9">
        <f>IF(D638="USD",F638*$N$1,F638)</f>
        <v/>
      </c>
      <c r="J638" s="9">
        <f>IF(D638="USD",G638*$N$1,G638)</f>
        <v/>
      </c>
      <c r="K638" s="9">
        <f>H638+I638</f>
        <v/>
      </c>
    </row>
    <row r="639">
      <c r="A639" s="8" t="n">
        <v>46081</v>
      </c>
      <c r="B639" t="inlineStr">
        <is>
          <t>2026-W09</t>
        </is>
      </c>
      <c r="C639" t="inlineStr">
        <is>
          <t>Nuvei</t>
        </is>
      </c>
      <c r="D639" t="inlineStr">
        <is>
          <t>EUR</t>
        </is>
      </c>
      <c r="E639" s="9" t="n">
        <v>108838.26</v>
      </c>
      <c r="F639" s="9" t="n">
        <v>-2855.34</v>
      </c>
      <c r="G639" s="9" t="n">
        <v>0</v>
      </c>
      <c r="H639" s="9">
        <f>IF(D639="USD",E639*$N$1,E639)</f>
        <v/>
      </c>
      <c r="I639" s="9">
        <f>IF(D639="USD",F639*$N$1,F639)</f>
        <v/>
      </c>
      <c r="J639" s="9">
        <f>IF(D639="USD",G639*$N$1,G639)</f>
        <v/>
      </c>
      <c r="K639" s="9">
        <f>H639+I639</f>
        <v/>
      </c>
    </row>
    <row r="640">
      <c r="A640" s="8" t="n">
        <v>46082</v>
      </c>
      <c r="B640" t="inlineStr">
        <is>
          <t>2026-W09</t>
        </is>
      </c>
      <c r="C640" t="inlineStr">
        <is>
          <t>Adyen</t>
        </is>
      </c>
      <c r="D640" t="inlineStr">
        <is>
          <t>EUR</t>
        </is>
      </c>
      <c r="E640" s="9" t="n">
        <v>358589.7</v>
      </c>
      <c r="F640" s="9" t="n">
        <v>0</v>
      </c>
      <c r="G640" s="9" t="n">
        <v>0</v>
      </c>
      <c r="H640" s="9">
        <f>IF(D640="USD",E640*$N$1,E640)</f>
        <v/>
      </c>
      <c r="I640" s="9">
        <f>IF(D640="USD",F640*$N$1,F640)</f>
        <v/>
      </c>
      <c r="J640" s="9">
        <f>IF(D640="USD",G640*$N$1,G640)</f>
        <v/>
      </c>
      <c r="K640" s="9">
        <f>H640+I640</f>
        <v/>
      </c>
    </row>
    <row r="641">
      <c r="A641" s="8" t="n">
        <v>46082</v>
      </c>
      <c r="B641" t="inlineStr">
        <is>
          <t>2026-W09</t>
        </is>
      </c>
      <c r="C641" t="inlineStr">
        <is>
          <t>Adyen</t>
        </is>
      </c>
      <c r="D641" t="inlineStr">
        <is>
          <t>EUR</t>
        </is>
      </c>
      <c r="E641" s="9" t="n">
        <v>31396.11</v>
      </c>
      <c r="F641" s="9" t="n">
        <v>0</v>
      </c>
      <c r="G641" s="9" t="n">
        <v>0</v>
      </c>
      <c r="H641" s="9">
        <f>IF(D641="USD",E641*$N$1,E641)</f>
        <v/>
      </c>
      <c r="I641" s="9">
        <f>IF(D641="USD",F641*$N$1,F641)</f>
        <v/>
      </c>
      <c r="J641" s="9">
        <f>IF(D641="USD",G641*$N$1,G641)</f>
        <v/>
      </c>
      <c r="K641" s="9">
        <f>H641+I641</f>
        <v/>
      </c>
    </row>
    <row r="642">
      <c r="A642" s="8" t="n">
        <v>46082</v>
      </c>
      <c r="B642" t="inlineStr">
        <is>
          <t>2026-W09</t>
        </is>
      </c>
      <c r="C642" t="inlineStr">
        <is>
          <t>Nuvei</t>
        </is>
      </c>
      <c r="D642" t="inlineStr">
        <is>
          <t>EUR</t>
        </is>
      </c>
      <c r="E642" s="9" t="n">
        <v>783593.8100000001</v>
      </c>
      <c r="F642" s="9" t="n">
        <v>-9891.35</v>
      </c>
      <c r="G642" s="9" t="n">
        <v>0</v>
      </c>
      <c r="H642" s="9">
        <f>IF(D642="USD",E642*$N$1,E642)</f>
        <v/>
      </c>
      <c r="I642" s="9">
        <f>IF(D642="USD",F642*$N$1,F642)</f>
        <v/>
      </c>
      <c r="J642" s="9">
        <f>IF(D642="USD",G642*$N$1,G642)</f>
        <v/>
      </c>
      <c r="K642" s="9">
        <f>H642+I642</f>
        <v/>
      </c>
    </row>
    <row r="643">
      <c r="A643" s="8" t="n">
        <v>46082</v>
      </c>
      <c r="B643" t="inlineStr">
        <is>
          <t>2026-W09</t>
        </is>
      </c>
      <c r="C643" t="inlineStr">
        <is>
          <t>Nuvei</t>
        </is>
      </c>
      <c r="D643" t="inlineStr">
        <is>
          <t>EUR</t>
        </is>
      </c>
      <c r="E643" s="9" t="n">
        <v>79484.2</v>
      </c>
      <c r="F643" s="9" t="n">
        <v>-2104.14</v>
      </c>
      <c r="G643" s="9" t="n">
        <v>0</v>
      </c>
      <c r="H643" s="9">
        <f>IF(D643="USD",E643*$N$1,E643)</f>
        <v/>
      </c>
      <c r="I643" s="9">
        <f>IF(D643="USD",F643*$N$1,F643)</f>
        <v/>
      </c>
      <c r="J643" s="9">
        <f>IF(D643="USD",G643*$N$1,G643)</f>
        <v/>
      </c>
      <c r="K643" s="9">
        <f>H643+I643</f>
        <v/>
      </c>
    </row>
    <row r="644">
      <c r="A644" s="8" t="n">
        <v>46083</v>
      </c>
      <c r="B644" t="inlineStr">
        <is>
          <t>2026-W10</t>
        </is>
      </c>
      <c r="C644" t="inlineStr">
        <is>
          <t>Adyen</t>
        </is>
      </c>
      <c r="D644" t="inlineStr">
        <is>
          <t>EUR</t>
        </is>
      </c>
      <c r="E644" s="9" t="n">
        <v>0</v>
      </c>
      <c r="F644" s="9" t="n">
        <v>0</v>
      </c>
      <c r="G644" s="9" t="n">
        <v>-479453.14</v>
      </c>
      <c r="H644" s="9">
        <f>IF(D644="USD",E644*$N$1,E644)</f>
        <v/>
      </c>
      <c r="I644" s="9">
        <f>IF(D644="USD",F644*$N$1,F644)</f>
        <v/>
      </c>
      <c r="J644" s="9">
        <f>IF(D644="USD",G644*$N$1,G644)</f>
        <v/>
      </c>
      <c r="K644" s="9">
        <f>H644+I644</f>
        <v/>
      </c>
    </row>
    <row r="645">
      <c r="A645" s="8" t="n">
        <v>46083</v>
      </c>
      <c r="B645" t="inlineStr">
        <is>
          <t>2026-W10</t>
        </is>
      </c>
      <c r="C645" t="inlineStr">
        <is>
          <t>Adyen</t>
        </is>
      </c>
      <c r="D645" t="inlineStr">
        <is>
          <t>EUR</t>
        </is>
      </c>
      <c r="E645" s="9" t="n">
        <v>567748.66</v>
      </c>
      <c r="F645" s="9" t="n">
        <v>-5339.810000000056</v>
      </c>
      <c r="G645" s="9" t="n">
        <v>0</v>
      </c>
      <c r="H645" s="9">
        <f>IF(D645="USD",E645*$N$1,E645)</f>
        <v/>
      </c>
      <c r="I645" s="9">
        <f>IF(D645="USD",F645*$N$1,F645)</f>
        <v/>
      </c>
      <c r="J645" s="9">
        <f>IF(D645="USD",G645*$N$1,G645)</f>
        <v/>
      </c>
      <c r="K645" s="9">
        <f>H645+I645</f>
        <v/>
      </c>
    </row>
    <row r="646">
      <c r="A646" s="8" t="n">
        <v>46083</v>
      </c>
      <c r="B646" t="inlineStr">
        <is>
          <t>2026-W10</t>
        </is>
      </c>
      <c r="C646" t="inlineStr">
        <is>
          <t>Adyen</t>
        </is>
      </c>
      <c r="D646" t="inlineStr">
        <is>
          <t>EUR</t>
        </is>
      </c>
      <c r="E646" s="9" t="n">
        <v>76586.91</v>
      </c>
      <c r="F646" s="9" t="n">
        <v>0</v>
      </c>
      <c r="G646" s="9" t="n">
        <v>0</v>
      </c>
      <c r="H646" s="9">
        <f>IF(D646="USD",E646*$N$1,E646)</f>
        <v/>
      </c>
      <c r="I646" s="9">
        <f>IF(D646="USD",F646*$N$1,F646)</f>
        <v/>
      </c>
      <c r="J646" s="9">
        <f>IF(D646="USD",G646*$N$1,G646)</f>
        <v/>
      </c>
      <c r="K646" s="9">
        <f>H646+I646</f>
        <v/>
      </c>
    </row>
    <row r="647">
      <c r="A647" s="8" t="n">
        <v>46083</v>
      </c>
      <c r="B647" t="inlineStr">
        <is>
          <t>2026-W10</t>
        </is>
      </c>
      <c r="C647" t="inlineStr">
        <is>
          <t>Nuvei</t>
        </is>
      </c>
      <c r="D647" t="inlineStr">
        <is>
          <t>EUR</t>
        </is>
      </c>
      <c r="E647" s="9" t="n">
        <v>0</v>
      </c>
      <c r="F647" s="9" t="n">
        <v>0</v>
      </c>
      <c r="G647" s="9" t="n">
        <v>-834869.0600000001</v>
      </c>
      <c r="H647" s="9">
        <f>IF(D647="USD",E647*$N$1,E647)</f>
        <v/>
      </c>
      <c r="I647" s="9">
        <f>IF(D647="USD",F647*$N$1,F647)</f>
        <v/>
      </c>
      <c r="J647" s="9">
        <f>IF(D647="USD",G647*$N$1,G647)</f>
        <v/>
      </c>
      <c r="K647" s="9">
        <f>H647+I647</f>
        <v/>
      </c>
    </row>
    <row r="648">
      <c r="A648" s="8" t="n">
        <v>46083</v>
      </c>
      <c r="B648" t="inlineStr">
        <is>
          <t>2026-W10</t>
        </is>
      </c>
      <c r="C648" t="inlineStr">
        <is>
          <t>Nuvei</t>
        </is>
      </c>
      <c r="D648" t="inlineStr">
        <is>
          <t>EUR</t>
        </is>
      </c>
      <c r="E648" s="9" t="n">
        <v>0</v>
      </c>
      <c r="F648" s="9" t="n">
        <v>0</v>
      </c>
      <c r="G648" s="9" t="n">
        <v>-88456.8</v>
      </c>
      <c r="H648" s="9">
        <f>IF(D648="USD",E648*$N$1,E648)</f>
        <v/>
      </c>
      <c r="I648" s="9">
        <f>IF(D648="USD",F648*$N$1,F648)</f>
        <v/>
      </c>
      <c r="J648" s="9">
        <f>IF(D648="USD",G648*$N$1,G648)</f>
        <v/>
      </c>
      <c r="K648" s="9">
        <f>H648+I648</f>
        <v/>
      </c>
    </row>
    <row r="649">
      <c r="A649" s="8" t="n">
        <v>46083</v>
      </c>
      <c r="B649" t="inlineStr">
        <is>
          <t>2026-W10</t>
        </is>
      </c>
      <c r="C649" t="inlineStr">
        <is>
          <t>Nuvei</t>
        </is>
      </c>
      <c r="D649" t="inlineStr">
        <is>
          <t>EUR</t>
        </is>
      </c>
      <c r="E649" s="9" t="n">
        <v>988976.3199999999</v>
      </c>
      <c r="F649" s="9" t="n">
        <v>-12649.29</v>
      </c>
      <c r="G649" s="9" t="n">
        <v>0</v>
      </c>
      <c r="H649" s="9">
        <f>IF(D649="USD",E649*$N$1,E649)</f>
        <v/>
      </c>
      <c r="I649" s="9">
        <f>IF(D649="USD",F649*$N$1,F649)</f>
        <v/>
      </c>
      <c r="J649" s="9">
        <f>IF(D649="USD",G649*$N$1,G649)</f>
        <v/>
      </c>
      <c r="K649" s="9">
        <f>H649+I649</f>
        <v/>
      </c>
    </row>
    <row r="650">
      <c r="A650" s="8" t="n">
        <v>46083</v>
      </c>
      <c r="B650" t="inlineStr">
        <is>
          <t>2026-W10</t>
        </is>
      </c>
      <c r="C650" t="inlineStr">
        <is>
          <t>Nuvei</t>
        </is>
      </c>
      <c r="D650" t="inlineStr">
        <is>
          <t>EUR</t>
        </is>
      </c>
      <c r="E650" s="9" t="n">
        <v>99385.89</v>
      </c>
      <c r="F650" s="9" t="n">
        <v>-2646.92</v>
      </c>
      <c r="G650" s="9" t="n">
        <v>0</v>
      </c>
      <c r="H650" s="9">
        <f>IF(D650="USD",E650*$N$1,E650)</f>
        <v/>
      </c>
      <c r="I650" s="9">
        <f>IF(D650="USD",F650*$N$1,F650)</f>
        <v/>
      </c>
      <c r="J650" s="9">
        <f>IF(D650="USD",G650*$N$1,G650)</f>
        <v/>
      </c>
      <c r="K650" s="9">
        <f>H650+I650</f>
        <v/>
      </c>
    </row>
    <row r="651">
      <c r="A651" s="8" t="n">
        <v>46084</v>
      </c>
      <c r="B651" t="inlineStr">
        <is>
          <t>2026-W10</t>
        </is>
      </c>
      <c r="C651" t="inlineStr">
        <is>
          <t>Adyen</t>
        </is>
      </c>
      <c r="D651" t="inlineStr">
        <is>
          <t>EUR</t>
        </is>
      </c>
      <c r="E651" s="9" t="n">
        <v>0</v>
      </c>
      <c r="F651" s="9" t="n">
        <v>0</v>
      </c>
      <c r="G651" s="9" t="n">
        <v>-1229400.46</v>
      </c>
      <c r="H651" s="9">
        <f>IF(D651="USD",E651*$N$1,E651)</f>
        <v/>
      </c>
      <c r="I651" s="9">
        <f>IF(D651="USD",F651*$N$1,F651)</f>
        <v/>
      </c>
      <c r="J651" s="9">
        <f>IF(D651="USD",G651*$N$1,G651)</f>
        <v/>
      </c>
      <c r="K651" s="9">
        <f>H651+I651</f>
        <v/>
      </c>
    </row>
    <row r="652">
      <c r="A652" s="8" t="n">
        <v>46084</v>
      </c>
      <c r="B652" t="inlineStr">
        <is>
          <t>2026-W10</t>
        </is>
      </c>
      <c r="C652" t="inlineStr">
        <is>
          <t>Adyen</t>
        </is>
      </c>
      <c r="D652" t="inlineStr">
        <is>
          <t>EUR</t>
        </is>
      </c>
      <c r="E652" s="9" t="n">
        <v>582717.87</v>
      </c>
      <c r="F652" s="9" t="n">
        <v>-5146.880000000121</v>
      </c>
      <c r="G652" s="9" t="n">
        <v>0</v>
      </c>
      <c r="H652" s="9">
        <f>IF(D652="USD",E652*$N$1,E652)</f>
        <v/>
      </c>
      <c r="I652" s="9">
        <f>IF(D652="USD",F652*$N$1,F652)</f>
        <v/>
      </c>
      <c r="J652" s="9">
        <f>IF(D652="USD",G652*$N$1,G652)</f>
        <v/>
      </c>
      <c r="K652" s="9">
        <f>H652+I652</f>
        <v/>
      </c>
    </row>
    <row r="653">
      <c r="A653" s="8" t="n">
        <v>46084</v>
      </c>
      <c r="B653" t="inlineStr">
        <is>
          <t>2026-W10</t>
        </is>
      </c>
      <c r="C653" t="inlineStr">
        <is>
          <t>Adyen</t>
        </is>
      </c>
      <c r="D653" t="inlineStr">
        <is>
          <t>EUR</t>
        </is>
      </c>
      <c r="E653" s="9" t="n">
        <v>66730.94</v>
      </c>
      <c r="F653" s="9" t="n">
        <v>0</v>
      </c>
      <c r="G653" s="9" t="n">
        <v>0</v>
      </c>
      <c r="H653" s="9">
        <f>IF(D653="USD",E653*$N$1,E653)</f>
        <v/>
      </c>
      <c r="I653" s="9">
        <f>IF(D653="USD",F653*$N$1,F653)</f>
        <v/>
      </c>
      <c r="J653" s="9">
        <f>IF(D653="USD",G653*$N$1,G653)</f>
        <v/>
      </c>
      <c r="K653" s="9">
        <f>H653+I653</f>
        <v/>
      </c>
    </row>
    <row r="654">
      <c r="A654" s="8" t="n">
        <v>46084</v>
      </c>
      <c r="B654" t="inlineStr">
        <is>
          <t>2026-W10</t>
        </is>
      </c>
      <c r="C654" t="inlineStr">
        <is>
          <t>Nuvei</t>
        </is>
      </c>
      <c r="D654" t="inlineStr">
        <is>
          <t>EUR</t>
        </is>
      </c>
      <c r="E654" s="9" t="n">
        <v>0</v>
      </c>
      <c r="F654" s="9" t="n">
        <v>0</v>
      </c>
      <c r="G654" s="9" t="n">
        <v>-833334.6899999999</v>
      </c>
      <c r="H654" s="9">
        <f>IF(D654="USD",E654*$N$1,E654)</f>
        <v/>
      </c>
      <c r="I654" s="9">
        <f>IF(D654="USD",F654*$N$1,F654)</f>
        <v/>
      </c>
      <c r="J654" s="9">
        <f>IF(D654="USD",G654*$N$1,G654)</f>
        <v/>
      </c>
      <c r="K654" s="9">
        <f>H654+I654</f>
        <v/>
      </c>
    </row>
    <row r="655">
      <c r="A655" s="8" t="n">
        <v>46084</v>
      </c>
      <c r="B655" t="inlineStr">
        <is>
          <t>2026-W10</t>
        </is>
      </c>
      <c r="C655" t="inlineStr">
        <is>
          <t>Nuvei</t>
        </is>
      </c>
      <c r="D655" t="inlineStr">
        <is>
          <t>EUR</t>
        </is>
      </c>
      <c r="E655" s="9" t="n">
        <v>0</v>
      </c>
      <c r="F655" s="9" t="n">
        <v>0</v>
      </c>
      <c r="G655" s="9" t="n">
        <v>-94216.67999999999</v>
      </c>
      <c r="H655" s="9">
        <f>IF(D655="USD",E655*$N$1,E655)</f>
        <v/>
      </c>
      <c r="I655" s="9">
        <f>IF(D655="USD",F655*$N$1,F655)</f>
        <v/>
      </c>
      <c r="J655" s="9">
        <f>IF(D655="USD",G655*$N$1,G655)</f>
        <v/>
      </c>
      <c r="K655" s="9">
        <f>H655+I655</f>
        <v/>
      </c>
    </row>
    <row r="656">
      <c r="A656" s="8" t="n">
        <v>46084</v>
      </c>
      <c r="B656" t="inlineStr">
        <is>
          <t>2026-W10</t>
        </is>
      </c>
      <c r="C656" t="inlineStr">
        <is>
          <t>Nuvei</t>
        </is>
      </c>
      <c r="D656" t="inlineStr">
        <is>
          <t>EUR</t>
        </is>
      </c>
      <c r="E656" s="9" t="n">
        <v>906807.92</v>
      </c>
      <c r="F656" s="9" t="n">
        <v>-13017.92</v>
      </c>
      <c r="G656" s="9" t="n">
        <v>0</v>
      </c>
      <c r="H656" s="9">
        <f>IF(D656="USD",E656*$N$1,E656)</f>
        <v/>
      </c>
      <c r="I656" s="9">
        <f>IF(D656="USD",F656*$N$1,F656)</f>
        <v/>
      </c>
      <c r="J656" s="9">
        <f>IF(D656="USD",G656*$N$1,G656)</f>
        <v/>
      </c>
      <c r="K656" s="9">
        <f>H656+I656</f>
        <v/>
      </c>
    </row>
    <row r="657">
      <c r="A657" s="8" t="n">
        <v>46084</v>
      </c>
      <c r="B657" t="inlineStr">
        <is>
          <t>2026-W10</t>
        </is>
      </c>
      <c r="C657" t="inlineStr">
        <is>
          <t>Nuvei</t>
        </is>
      </c>
      <c r="D657" t="inlineStr">
        <is>
          <t>EUR</t>
        </is>
      </c>
      <c r="E657" s="9" t="n">
        <v>68842.69</v>
      </c>
      <c r="F657" s="9" t="n">
        <v>-1866.95</v>
      </c>
      <c r="G657" s="9" t="n">
        <v>0</v>
      </c>
      <c r="H657" s="9">
        <f>IF(D657="USD",E657*$N$1,E657)</f>
        <v/>
      </c>
      <c r="I657" s="9">
        <f>IF(D657="USD",F657*$N$1,F657)</f>
        <v/>
      </c>
      <c r="J657" s="9">
        <f>IF(D657="USD",G657*$N$1,G657)</f>
        <v/>
      </c>
      <c r="K657" s="9">
        <f>H657+I657</f>
        <v/>
      </c>
    </row>
    <row r="658">
      <c r="A658" s="8" t="n">
        <v>46085</v>
      </c>
      <c r="B658" t="inlineStr">
        <is>
          <t>2026-W10</t>
        </is>
      </c>
      <c r="C658" t="inlineStr">
        <is>
          <t>Adyen</t>
        </is>
      </c>
      <c r="D658" t="inlineStr">
        <is>
          <t>EUR</t>
        </is>
      </c>
      <c r="E658" s="9" t="n">
        <v>0</v>
      </c>
      <c r="F658" s="9" t="n">
        <v>0</v>
      </c>
      <c r="G658" s="9" t="n">
        <v>-638995.76</v>
      </c>
      <c r="H658" s="9">
        <f>IF(D658="USD",E658*$N$1,E658)</f>
        <v/>
      </c>
      <c r="I658" s="9">
        <f>IF(D658="USD",F658*$N$1,F658)</f>
        <v/>
      </c>
      <c r="J658" s="9">
        <f>IF(D658="USD",G658*$N$1,G658)</f>
        <v/>
      </c>
      <c r="K658" s="9">
        <f>H658+I658</f>
        <v/>
      </c>
    </row>
    <row r="659">
      <c r="A659" s="8" t="n">
        <v>46085</v>
      </c>
      <c r="B659" t="inlineStr">
        <is>
          <t>2026-W10</t>
        </is>
      </c>
      <c r="C659" t="inlineStr">
        <is>
          <t>Adyen</t>
        </is>
      </c>
      <c r="D659" t="inlineStr">
        <is>
          <t>EUR</t>
        </is>
      </c>
      <c r="E659" s="9" t="n">
        <v>574439.9399999999</v>
      </c>
      <c r="F659" s="9" t="n">
        <v>-6137.150000000023</v>
      </c>
      <c r="G659" s="9" t="n">
        <v>0</v>
      </c>
      <c r="H659" s="9">
        <f>IF(D659="USD",E659*$N$1,E659)</f>
        <v/>
      </c>
      <c r="I659" s="9">
        <f>IF(D659="USD",F659*$N$1,F659)</f>
        <v/>
      </c>
      <c r="J659" s="9">
        <f>IF(D659="USD",G659*$N$1,G659)</f>
        <v/>
      </c>
      <c r="K659" s="9">
        <f>H659+I659</f>
        <v/>
      </c>
    </row>
    <row r="660">
      <c r="A660" s="8" t="n">
        <v>46085</v>
      </c>
      <c r="B660" t="inlineStr">
        <is>
          <t>2026-W10</t>
        </is>
      </c>
      <c r="C660" t="inlineStr">
        <is>
          <t>Adyen</t>
        </is>
      </c>
      <c r="D660" t="inlineStr">
        <is>
          <t>EUR</t>
        </is>
      </c>
      <c r="E660" s="9" t="n">
        <v>74631.82000000001</v>
      </c>
      <c r="F660" s="9" t="n">
        <v>0</v>
      </c>
      <c r="G660" s="9" t="n">
        <v>0</v>
      </c>
      <c r="H660" s="9">
        <f>IF(D660="USD",E660*$N$1,E660)</f>
        <v/>
      </c>
      <c r="I660" s="9">
        <f>IF(D660="USD",F660*$N$1,F660)</f>
        <v/>
      </c>
      <c r="J660" s="9">
        <f>IF(D660="USD",G660*$N$1,G660)</f>
        <v/>
      </c>
      <c r="K660" s="9">
        <f>H660+I660</f>
        <v/>
      </c>
    </row>
    <row r="661">
      <c r="A661" s="8" t="n">
        <v>46085</v>
      </c>
      <c r="B661" t="inlineStr">
        <is>
          <t>2026-W10</t>
        </is>
      </c>
      <c r="C661" t="inlineStr">
        <is>
          <t>Nuvei</t>
        </is>
      </c>
      <c r="D661" t="inlineStr">
        <is>
          <t>EUR</t>
        </is>
      </c>
      <c r="E661" s="9" t="n">
        <v>0</v>
      </c>
      <c r="F661" s="9" t="n">
        <v>0</v>
      </c>
      <c r="G661" s="9" t="n">
        <v>-907276.55</v>
      </c>
      <c r="H661" s="9">
        <f>IF(D661="USD",E661*$N$1,E661)</f>
        <v/>
      </c>
      <c r="I661" s="9">
        <f>IF(D661="USD",F661*$N$1,F661)</f>
        <v/>
      </c>
      <c r="J661" s="9">
        <f>IF(D661="USD",G661*$N$1,G661)</f>
        <v/>
      </c>
      <c r="K661" s="9">
        <f>H661+I661</f>
        <v/>
      </c>
    </row>
    <row r="662">
      <c r="A662" s="8" t="n">
        <v>46085</v>
      </c>
      <c r="B662" t="inlineStr">
        <is>
          <t>2026-W10</t>
        </is>
      </c>
      <c r="C662" t="inlineStr">
        <is>
          <t>Nuvei</t>
        </is>
      </c>
      <c r="D662" t="inlineStr">
        <is>
          <t>EUR</t>
        </is>
      </c>
      <c r="E662" s="9" t="n">
        <v>0</v>
      </c>
      <c r="F662" s="9" t="n">
        <v>0</v>
      </c>
      <c r="G662" s="9" t="n">
        <v>-72701.12</v>
      </c>
      <c r="H662" s="9">
        <f>IF(D662="USD",E662*$N$1,E662)</f>
        <v/>
      </c>
      <c r="I662" s="9">
        <f>IF(D662="USD",F662*$N$1,F662)</f>
        <v/>
      </c>
      <c r="J662" s="9">
        <f>IF(D662="USD",G662*$N$1,G662)</f>
        <v/>
      </c>
      <c r="K662" s="9">
        <f>H662+I662</f>
        <v/>
      </c>
    </row>
    <row r="663">
      <c r="A663" s="8" t="n">
        <v>46085</v>
      </c>
      <c r="B663" t="inlineStr">
        <is>
          <t>2026-W10</t>
        </is>
      </c>
      <c r="C663" t="inlineStr">
        <is>
          <t>Nuvei</t>
        </is>
      </c>
      <c r="D663" t="inlineStr">
        <is>
          <t>EUR</t>
        </is>
      </c>
      <c r="E663" s="9" t="n">
        <v>1026313.14</v>
      </c>
      <c r="F663" s="9" t="n">
        <v>-13879.31</v>
      </c>
      <c r="G663" s="9" t="n">
        <v>0</v>
      </c>
      <c r="H663" s="9">
        <f>IF(D663="USD",E663*$N$1,E663)</f>
        <v/>
      </c>
      <c r="I663" s="9">
        <f>IF(D663="USD",F663*$N$1,F663)</f>
        <v/>
      </c>
      <c r="J663" s="9">
        <f>IF(D663="USD",G663*$N$1,G663)</f>
        <v/>
      </c>
      <c r="K663" s="9">
        <f>H663+I663</f>
        <v/>
      </c>
    </row>
    <row r="664">
      <c r="A664" s="8" t="n">
        <v>46085</v>
      </c>
      <c r="B664" t="inlineStr">
        <is>
          <t>2026-W10</t>
        </is>
      </c>
      <c r="C664" t="inlineStr">
        <is>
          <t>Nuvei</t>
        </is>
      </c>
      <c r="D664" t="inlineStr">
        <is>
          <t>EUR</t>
        </is>
      </c>
      <c r="E664" s="9" t="n">
        <v>64116.93</v>
      </c>
      <c r="F664" s="9" t="n">
        <v>-1728.45</v>
      </c>
      <c r="G664" s="9" t="n">
        <v>0</v>
      </c>
      <c r="H664" s="9">
        <f>IF(D664="USD",E664*$N$1,E664)</f>
        <v/>
      </c>
      <c r="I664" s="9">
        <f>IF(D664="USD",F664*$N$1,F664)</f>
        <v/>
      </c>
      <c r="J664" s="9">
        <f>IF(D664="USD",G664*$N$1,G664)</f>
        <v/>
      </c>
      <c r="K664" s="9">
        <f>H664+I664</f>
        <v/>
      </c>
    </row>
    <row r="665">
      <c r="A665" s="8" t="n">
        <v>46086</v>
      </c>
      <c r="B665" t="inlineStr">
        <is>
          <t>2026-W10</t>
        </is>
      </c>
      <c r="C665" t="inlineStr">
        <is>
          <t>Adyen</t>
        </is>
      </c>
      <c r="D665" t="inlineStr">
        <is>
          <t>EUR</t>
        </is>
      </c>
      <c r="E665" s="9" t="n">
        <v>0</v>
      </c>
      <c r="F665" s="9" t="n">
        <v>0</v>
      </c>
      <c r="G665" s="9" t="n">
        <v>-644301.9299999999</v>
      </c>
      <c r="H665" s="9">
        <f>IF(D665="USD",E665*$N$1,E665)</f>
        <v/>
      </c>
      <c r="I665" s="9">
        <f>IF(D665="USD",F665*$N$1,F665)</f>
        <v/>
      </c>
      <c r="J665" s="9">
        <f>IF(D665="USD",G665*$N$1,G665)</f>
        <v/>
      </c>
      <c r="K665" s="9">
        <f>H665+I665</f>
        <v/>
      </c>
    </row>
    <row r="666">
      <c r="A666" s="8" t="n">
        <v>46086</v>
      </c>
      <c r="B666" t="inlineStr">
        <is>
          <t>2026-W10</t>
        </is>
      </c>
      <c r="C666" t="inlineStr">
        <is>
          <t>Adyen</t>
        </is>
      </c>
      <c r="D666" t="inlineStr">
        <is>
          <t>EUR</t>
        </is>
      </c>
      <c r="E666" s="9" t="n">
        <v>544428.76</v>
      </c>
      <c r="F666" s="9" t="n">
        <v>-9464.160000000033</v>
      </c>
      <c r="G666" s="9" t="n">
        <v>0</v>
      </c>
      <c r="H666" s="9">
        <f>IF(D666="USD",E666*$N$1,E666)</f>
        <v/>
      </c>
      <c r="I666" s="9">
        <f>IF(D666="USD",F666*$N$1,F666)</f>
        <v/>
      </c>
      <c r="J666" s="9">
        <f>IF(D666="USD",G666*$N$1,G666)</f>
        <v/>
      </c>
      <c r="K666" s="9">
        <f>H666+I666</f>
        <v/>
      </c>
    </row>
    <row r="667">
      <c r="A667" s="8" t="n">
        <v>46086</v>
      </c>
      <c r="B667" t="inlineStr">
        <is>
          <t>2026-W10</t>
        </is>
      </c>
      <c r="C667" t="inlineStr">
        <is>
          <t>Adyen</t>
        </is>
      </c>
      <c r="D667" t="inlineStr">
        <is>
          <t>EUR</t>
        </is>
      </c>
      <c r="E667" s="9" t="n">
        <v>71892.14</v>
      </c>
      <c r="F667" s="9" t="n">
        <v>0</v>
      </c>
      <c r="G667" s="9" t="n">
        <v>0</v>
      </c>
      <c r="H667" s="9">
        <f>IF(D667="USD",E667*$N$1,E667)</f>
        <v/>
      </c>
      <c r="I667" s="9">
        <f>IF(D667="USD",F667*$N$1,F667)</f>
        <v/>
      </c>
      <c r="J667" s="9">
        <f>IF(D667="USD",G667*$N$1,G667)</f>
        <v/>
      </c>
      <c r="K667" s="9">
        <f>H667+I667</f>
        <v/>
      </c>
    </row>
    <row r="668">
      <c r="A668" s="8" t="n">
        <v>46086</v>
      </c>
      <c r="B668" t="inlineStr">
        <is>
          <t>2026-W10</t>
        </is>
      </c>
      <c r="C668" t="inlineStr">
        <is>
          <t>Nuvei</t>
        </is>
      </c>
      <c r="D668" t="inlineStr">
        <is>
          <t>EUR</t>
        </is>
      </c>
      <c r="E668" s="9" t="n">
        <v>0</v>
      </c>
      <c r="F668" s="9" t="n">
        <v>0</v>
      </c>
      <c r="G668" s="9" t="n">
        <v>-747655.36</v>
      </c>
      <c r="H668" s="9">
        <f>IF(D668="USD",E668*$N$1,E668)</f>
        <v/>
      </c>
      <c r="I668" s="9">
        <f>IF(D668="USD",F668*$N$1,F668)</f>
        <v/>
      </c>
      <c r="J668" s="9">
        <f>IF(D668="USD",G668*$N$1,G668)</f>
        <v/>
      </c>
      <c r="K668" s="9">
        <f>H668+I668</f>
        <v/>
      </c>
    </row>
    <row r="669">
      <c r="A669" s="8" t="n">
        <v>46086</v>
      </c>
      <c r="B669" t="inlineStr">
        <is>
          <t>2026-W10</t>
        </is>
      </c>
      <c r="C669" t="inlineStr">
        <is>
          <t>Nuvei</t>
        </is>
      </c>
      <c r="D669" t="inlineStr">
        <is>
          <t>EUR</t>
        </is>
      </c>
      <c r="E669" s="9" t="n">
        <v>0</v>
      </c>
      <c r="F669" s="9" t="n">
        <v>0</v>
      </c>
      <c r="G669" s="9" t="n">
        <v>-111644.92</v>
      </c>
      <c r="H669" s="9">
        <f>IF(D669="USD",E669*$N$1,E669)</f>
        <v/>
      </c>
      <c r="I669" s="9">
        <f>IF(D669="USD",F669*$N$1,F669)</f>
        <v/>
      </c>
      <c r="J669" s="9">
        <f>IF(D669="USD",G669*$N$1,G669)</f>
        <v/>
      </c>
      <c r="K669" s="9">
        <f>H669+I669</f>
        <v/>
      </c>
    </row>
    <row r="670">
      <c r="A670" s="8" t="n">
        <v>46086</v>
      </c>
      <c r="B670" t="inlineStr">
        <is>
          <t>2026-W10</t>
        </is>
      </c>
      <c r="C670" t="inlineStr">
        <is>
          <t>Nuvei</t>
        </is>
      </c>
      <c r="D670" t="inlineStr">
        <is>
          <t>EUR</t>
        </is>
      </c>
      <c r="E670" s="9" t="n">
        <v>1086054.67</v>
      </c>
      <c r="F670" s="9" t="n">
        <v>-13600.89</v>
      </c>
      <c r="G670" s="9" t="n">
        <v>0</v>
      </c>
      <c r="H670" s="9">
        <f>IF(D670="USD",E670*$N$1,E670)</f>
        <v/>
      </c>
      <c r="I670" s="9">
        <f>IF(D670="USD",F670*$N$1,F670)</f>
        <v/>
      </c>
      <c r="J670" s="9">
        <f>IF(D670="USD",G670*$N$1,G670)</f>
        <v/>
      </c>
      <c r="K670" s="9">
        <f>H670+I670</f>
        <v/>
      </c>
    </row>
    <row r="671">
      <c r="A671" s="8" t="n">
        <v>46086</v>
      </c>
      <c r="B671" t="inlineStr">
        <is>
          <t>2026-W10</t>
        </is>
      </c>
      <c r="C671" t="inlineStr">
        <is>
          <t>Nuvei</t>
        </is>
      </c>
      <c r="D671" t="inlineStr">
        <is>
          <t>EUR</t>
        </is>
      </c>
      <c r="E671" s="9" t="n">
        <v>62911.44</v>
      </c>
      <c r="F671" s="9" t="n">
        <v>-1697.11</v>
      </c>
      <c r="G671" s="9" t="n">
        <v>0</v>
      </c>
      <c r="H671" s="9">
        <f>IF(D671="USD",E671*$N$1,E671)</f>
        <v/>
      </c>
      <c r="I671" s="9">
        <f>IF(D671="USD",F671*$N$1,F671)</f>
        <v/>
      </c>
      <c r="J671" s="9">
        <f>IF(D671="USD",G671*$N$1,G671)</f>
        <v/>
      </c>
      <c r="K671" s="9">
        <f>H671+I671</f>
        <v/>
      </c>
    </row>
    <row r="672">
      <c r="A672" s="8" t="n">
        <v>46087</v>
      </c>
      <c r="B672" t="inlineStr">
        <is>
          <t>2026-W10</t>
        </is>
      </c>
      <c r="C672" t="inlineStr">
        <is>
          <t>Adyen</t>
        </is>
      </c>
      <c r="D672" t="inlineStr">
        <is>
          <t>EUR</t>
        </is>
      </c>
      <c r="E672" s="9" t="n">
        <v>0</v>
      </c>
      <c r="F672" s="9" t="n">
        <v>0</v>
      </c>
      <c r="G672" s="9" t="n">
        <v>-642934.61</v>
      </c>
      <c r="H672" s="9">
        <f>IF(D672="USD",E672*$N$1,E672)</f>
        <v/>
      </c>
      <c r="I672" s="9">
        <f>IF(D672="USD",F672*$N$1,F672)</f>
        <v/>
      </c>
      <c r="J672" s="9">
        <f>IF(D672="USD",G672*$N$1,G672)</f>
        <v/>
      </c>
      <c r="K672" s="9">
        <f>H672+I672</f>
        <v/>
      </c>
    </row>
    <row r="673">
      <c r="A673" s="8" t="n">
        <v>46087</v>
      </c>
      <c r="B673" t="inlineStr">
        <is>
          <t>2026-W10</t>
        </is>
      </c>
      <c r="C673" t="inlineStr">
        <is>
          <t>Adyen</t>
        </is>
      </c>
      <c r="D673" t="inlineStr">
        <is>
          <t>EUR</t>
        </is>
      </c>
      <c r="E673" s="9" t="n">
        <v>511778.74</v>
      </c>
      <c r="F673" s="9" t="n">
        <v>-11022.85000000033</v>
      </c>
      <c r="G673" s="9" t="n">
        <v>0</v>
      </c>
      <c r="H673" s="9">
        <f>IF(D673="USD",E673*$N$1,E673)</f>
        <v/>
      </c>
      <c r="I673" s="9">
        <f>IF(D673="USD",F673*$N$1,F673)</f>
        <v/>
      </c>
      <c r="J673" s="9">
        <f>IF(D673="USD",G673*$N$1,G673)</f>
        <v/>
      </c>
      <c r="K673" s="9">
        <f>H673+I673</f>
        <v/>
      </c>
    </row>
    <row r="674">
      <c r="A674" s="8" t="n">
        <v>46087</v>
      </c>
      <c r="B674" t="inlineStr">
        <is>
          <t>2026-W10</t>
        </is>
      </c>
      <c r="C674" t="inlineStr">
        <is>
          <t>Adyen</t>
        </is>
      </c>
      <c r="D674" t="inlineStr">
        <is>
          <t>EUR</t>
        </is>
      </c>
      <c r="E674" s="9" t="n">
        <v>68584.53999999999</v>
      </c>
      <c r="F674" s="9" t="n">
        <v>0</v>
      </c>
      <c r="G674" s="9" t="n">
        <v>0</v>
      </c>
      <c r="H674" s="9">
        <f>IF(D674="USD",E674*$N$1,E674)</f>
        <v/>
      </c>
      <c r="I674" s="9">
        <f>IF(D674="USD",F674*$N$1,F674)</f>
        <v/>
      </c>
      <c r="J674" s="9">
        <f>IF(D674="USD",G674*$N$1,G674)</f>
        <v/>
      </c>
      <c r="K674" s="9">
        <f>H674+I674</f>
        <v/>
      </c>
    </row>
    <row r="675">
      <c r="A675" s="8" t="n">
        <v>46087</v>
      </c>
      <c r="B675" t="inlineStr">
        <is>
          <t>2026-W10</t>
        </is>
      </c>
      <c r="C675" t="inlineStr">
        <is>
          <t>Nuvei</t>
        </is>
      </c>
      <c r="D675" t="inlineStr">
        <is>
          <t>EUR</t>
        </is>
      </c>
      <c r="E675" s="9" t="n">
        <v>0</v>
      </c>
      <c r="F675" s="9" t="n">
        <v>0</v>
      </c>
      <c r="G675" s="9" t="n">
        <v>-2564033.91</v>
      </c>
      <c r="H675" s="9">
        <f>IF(D675="USD",E675*$N$1,E675)</f>
        <v/>
      </c>
      <c r="I675" s="9">
        <f>IF(D675="USD",F675*$N$1,F675)</f>
        <v/>
      </c>
      <c r="J675" s="9">
        <f>IF(D675="USD",G675*$N$1,G675)</f>
        <v/>
      </c>
      <c r="K675" s="9">
        <f>H675+I675</f>
        <v/>
      </c>
    </row>
    <row r="676">
      <c r="A676" s="8" t="n">
        <v>46087</v>
      </c>
      <c r="B676" t="inlineStr">
        <is>
          <t>2026-W10</t>
        </is>
      </c>
      <c r="C676" t="inlineStr">
        <is>
          <t>Nuvei</t>
        </is>
      </c>
      <c r="D676" t="inlineStr">
        <is>
          <t>EUR</t>
        </is>
      </c>
      <c r="E676" s="9" t="n">
        <v>0</v>
      </c>
      <c r="F676" s="9" t="n">
        <v>0</v>
      </c>
      <c r="G676" s="9" t="n">
        <v>-280098.45</v>
      </c>
      <c r="H676" s="9">
        <f>IF(D676="USD",E676*$N$1,E676)</f>
        <v/>
      </c>
      <c r="I676" s="9">
        <f>IF(D676="USD",F676*$N$1,F676)</f>
        <v/>
      </c>
      <c r="J676" s="9">
        <f>IF(D676="USD",G676*$N$1,G676)</f>
        <v/>
      </c>
      <c r="K676" s="9">
        <f>H676+I676</f>
        <v/>
      </c>
    </row>
    <row r="677">
      <c r="A677" s="8" t="n">
        <v>46087</v>
      </c>
      <c r="B677" t="inlineStr">
        <is>
          <t>2026-W10</t>
        </is>
      </c>
      <c r="C677" t="inlineStr">
        <is>
          <t>Nuvei</t>
        </is>
      </c>
      <c r="D677" t="inlineStr">
        <is>
          <t>EUR</t>
        </is>
      </c>
      <c r="E677" s="9" t="n">
        <v>928953.97</v>
      </c>
      <c r="F677" s="9" t="n">
        <v>-12409.49</v>
      </c>
      <c r="G677" s="9" t="n">
        <v>0</v>
      </c>
      <c r="H677" s="9">
        <f>IF(D677="USD",E677*$N$1,E677)</f>
        <v/>
      </c>
      <c r="I677" s="9">
        <f>IF(D677="USD",F677*$N$1,F677)</f>
        <v/>
      </c>
      <c r="J677" s="9">
        <f>IF(D677="USD",G677*$N$1,G677)</f>
        <v/>
      </c>
      <c r="K677" s="9">
        <f>H677+I677</f>
        <v/>
      </c>
    </row>
    <row r="678">
      <c r="A678" s="8" t="n">
        <v>46087</v>
      </c>
      <c r="B678" t="inlineStr">
        <is>
          <t>2026-W10</t>
        </is>
      </c>
      <c r="C678" t="inlineStr">
        <is>
          <t>Nuvei</t>
        </is>
      </c>
      <c r="D678" t="inlineStr">
        <is>
          <t>EUR</t>
        </is>
      </c>
      <c r="E678" s="9" t="n">
        <v>65380.88</v>
      </c>
      <c r="F678" s="9" t="n">
        <v>-1674.77</v>
      </c>
      <c r="G678" s="9" t="n">
        <v>0</v>
      </c>
      <c r="H678" s="9">
        <f>IF(D678="USD",E678*$N$1,E678)</f>
        <v/>
      </c>
      <c r="I678" s="9">
        <f>IF(D678="USD",F678*$N$1,F678)</f>
        <v/>
      </c>
      <c r="J678" s="9">
        <f>IF(D678="USD",G678*$N$1,G678)</f>
        <v/>
      </c>
      <c r="K678" s="9">
        <f>H678+I678</f>
        <v/>
      </c>
    </row>
    <row r="679">
      <c r="A679" s="8" t="n">
        <v>46088</v>
      </c>
      <c r="B679" t="inlineStr">
        <is>
          <t>2026-W10</t>
        </is>
      </c>
      <c r="C679" t="inlineStr">
        <is>
          <t>Adyen</t>
        </is>
      </c>
      <c r="D679" t="inlineStr">
        <is>
          <t>EUR</t>
        </is>
      </c>
      <c r="E679" s="9" t="n">
        <v>335935.09</v>
      </c>
      <c r="F679" s="9" t="n">
        <v>0</v>
      </c>
      <c r="G679" s="9" t="n">
        <v>0</v>
      </c>
      <c r="H679" s="9">
        <f>IF(D679="USD",E679*$N$1,E679)</f>
        <v/>
      </c>
      <c r="I679" s="9">
        <f>IF(D679="USD",F679*$N$1,F679)</f>
        <v/>
      </c>
      <c r="J679" s="9">
        <f>IF(D679="USD",G679*$N$1,G679)</f>
        <v/>
      </c>
      <c r="K679" s="9">
        <f>H679+I679</f>
        <v/>
      </c>
    </row>
    <row r="680">
      <c r="A680" s="8" t="n">
        <v>46088</v>
      </c>
      <c r="B680" t="inlineStr">
        <is>
          <t>2026-W10</t>
        </is>
      </c>
      <c r="C680" t="inlineStr">
        <is>
          <t>Adyen</t>
        </is>
      </c>
      <c r="D680" t="inlineStr">
        <is>
          <t>EUR</t>
        </is>
      </c>
      <c r="E680" s="9" t="n">
        <v>58833.78</v>
      </c>
      <c r="F680" s="9" t="n">
        <v>0</v>
      </c>
      <c r="G680" s="9" t="n">
        <v>0</v>
      </c>
      <c r="H680" s="9">
        <f>IF(D680="USD",E680*$N$1,E680)</f>
        <v/>
      </c>
      <c r="I680" s="9">
        <f>IF(D680="USD",F680*$N$1,F680)</f>
        <v/>
      </c>
      <c r="J680" s="9">
        <f>IF(D680="USD",G680*$N$1,G680)</f>
        <v/>
      </c>
      <c r="K680" s="9">
        <f>H680+I680</f>
        <v/>
      </c>
    </row>
    <row r="681">
      <c r="A681" s="8" t="n">
        <v>46088</v>
      </c>
      <c r="B681" t="inlineStr">
        <is>
          <t>2026-W10</t>
        </is>
      </c>
      <c r="C681" t="inlineStr">
        <is>
          <t>Nuvei</t>
        </is>
      </c>
      <c r="D681" t="inlineStr">
        <is>
          <t>EUR</t>
        </is>
      </c>
      <c r="E681" s="9" t="n">
        <v>878132.0600000001</v>
      </c>
      <c r="F681" s="9" t="n">
        <v>-11177.71</v>
      </c>
      <c r="G681" s="9" t="n">
        <v>0</v>
      </c>
      <c r="H681" s="9">
        <f>IF(D681="USD",E681*$N$1,E681)</f>
        <v/>
      </c>
      <c r="I681" s="9">
        <f>IF(D681="USD",F681*$N$1,F681)</f>
        <v/>
      </c>
      <c r="J681" s="9">
        <f>IF(D681="USD",G681*$N$1,G681)</f>
        <v/>
      </c>
      <c r="K681" s="9">
        <f>H681+I681</f>
        <v/>
      </c>
    </row>
    <row r="682">
      <c r="A682" s="8" t="n">
        <v>46088</v>
      </c>
      <c r="B682" t="inlineStr">
        <is>
          <t>2026-W10</t>
        </is>
      </c>
      <c r="C682" t="inlineStr">
        <is>
          <t>Nuvei</t>
        </is>
      </c>
      <c r="D682" t="inlineStr">
        <is>
          <t>EUR</t>
        </is>
      </c>
      <c r="E682" s="9" t="n">
        <v>50330.94</v>
      </c>
      <c r="F682" s="9" t="n">
        <v>-1271.26</v>
      </c>
      <c r="G682" s="9" t="n">
        <v>0</v>
      </c>
      <c r="H682" s="9">
        <f>IF(D682="USD",E682*$N$1,E682)</f>
        <v/>
      </c>
      <c r="I682" s="9">
        <f>IF(D682="USD",F682*$N$1,F682)</f>
        <v/>
      </c>
      <c r="J682" s="9">
        <f>IF(D682="USD",G682*$N$1,G682)</f>
        <v/>
      </c>
      <c r="K682" s="9">
        <f>H682+I682</f>
        <v/>
      </c>
    </row>
    <row r="683">
      <c r="A683" s="8" t="n">
        <v>46089</v>
      </c>
      <c r="B683" t="inlineStr">
        <is>
          <t>2026-W10</t>
        </is>
      </c>
      <c r="C683" t="inlineStr">
        <is>
          <t>Adyen</t>
        </is>
      </c>
      <c r="D683" t="inlineStr">
        <is>
          <t>EUR</t>
        </is>
      </c>
      <c r="E683" s="9" t="n">
        <v>356966.86</v>
      </c>
      <c r="F683" s="9" t="n">
        <v>0</v>
      </c>
      <c r="G683" s="9" t="n">
        <v>0</v>
      </c>
      <c r="H683" s="9">
        <f>IF(D683="USD",E683*$N$1,E683)</f>
        <v/>
      </c>
      <c r="I683" s="9">
        <f>IF(D683="USD",F683*$N$1,F683)</f>
        <v/>
      </c>
      <c r="J683" s="9">
        <f>IF(D683="USD",G683*$N$1,G683)</f>
        <v/>
      </c>
      <c r="K683" s="9">
        <f>H683+I683</f>
        <v/>
      </c>
    </row>
    <row r="684">
      <c r="A684" s="8" t="n">
        <v>46089</v>
      </c>
      <c r="B684" t="inlineStr">
        <is>
          <t>2026-W10</t>
        </is>
      </c>
      <c r="C684" t="inlineStr">
        <is>
          <t>Adyen</t>
        </is>
      </c>
      <c r="D684" t="inlineStr">
        <is>
          <t>EUR</t>
        </is>
      </c>
      <c r="E684" s="9" t="n">
        <v>40691.29</v>
      </c>
      <c r="F684" s="9" t="n">
        <v>0</v>
      </c>
      <c r="G684" s="9" t="n">
        <v>0</v>
      </c>
      <c r="H684" s="9">
        <f>IF(D684="USD",E684*$N$1,E684)</f>
        <v/>
      </c>
      <c r="I684" s="9">
        <f>IF(D684="USD",F684*$N$1,F684)</f>
        <v/>
      </c>
      <c r="J684" s="9">
        <f>IF(D684="USD",G684*$N$1,G684)</f>
        <v/>
      </c>
      <c r="K684" s="9">
        <f>H684+I684</f>
        <v/>
      </c>
    </row>
    <row r="685">
      <c r="A685" s="8" t="n">
        <v>46089</v>
      </c>
      <c r="B685" t="inlineStr">
        <is>
          <t>2026-W10</t>
        </is>
      </c>
      <c r="C685" t="inlineStr">
        <is>
          <t>Nuvei</t>
        </is>
      </c>
      <c r="D685" t="inlineStr">
        <is>
          <t>EUR</t>
        </is>
      </c>
      <c r="E685" s="9" t="n">
        <v>831969.2</v>
      </c>
      <c r="F685" s="9" t="n">
        <v>-9750.629999999999</v>
      </c>
      <c r="G685" s="9" t="n">
        <v>0</v>
      </c>
      <c r="H685" s="9">
        <f>IF(D685="USD",E685*$N$1,E685)</f>
        <v/>
      </c>
      <c r="I685" s="9">
        <f>IF(D685="USD",F685*$N$1,F685)</f>
        <v/>
      </c>
      <c r="J685" s="9">
        <f>IF(D685="USD",G685*$N$1,G685)</f>
        <v/>
      </c>
      <c r="K685" s="9">
        <f>H685+I685</f>
        <v/>
      </c>
    </row>
    <row r="686">
      <c r="A686" s="8" t="n">
        <v>46089</v>
      </c>
      <c r="B686" t="inlineStr">
        <is>
          <t>2026-W10</t>
        </is>
      </c>
      <c r="C686" t="inlineStr">
        <is>
          <t>Nuvei</t>
        </is>
      </c>
      <c r="D686" t="inlineStr">
        <is>
          <t>EUR</t>
        </is>
      </c>
      <c r="E686" s="9" t="n">
        <v>24321.09</v>
      </c>
      <c r="F686" s="9" t="n">
        <v>-639.14</v>
      </c>
      <c r="G686" s="9" t="n">
        <v>0</v>
      </c>
      <c r="H686" s="9">
        <f>IF(D686="USD",E686*$N$1,E686)</f>
        <v/>
      </c>
      <c r="I686" s="9">
        <f>IF(D686="USD",F686*$N$1,F686)</f>
        <v/>
      </c>
      <c r="J686" s="9">
        <f>IF(D686="USD",G686*$N$1,G686)</f>
        <v/>
      </c>
      <c r="K686" s="9">
        <f>H686+I686</f>
        <v/>
      </c>
    </row>
    <row r="687">
      <c r="A687" s="8" t="n">
        <v>46090</v>
      </c>
      <c r="B687" t="inlineStr">
        <is>
          <t>2026-W11</t>
        </is>
      </c>
      <c r="C687" t="inlineStr">
        <is>
          <t>Adyen</t>
        </is>
      </c>
      <c r="D687" t="inlineStr">
        <is>
          <t>EUR</t>
        </is>
      </c>
      <c r="E687" s="9" t="n">
        <v>0</v>
      </c>
      <c r="F687" s="9" t="n">
        <v>0</v>
      </c>
      <c r="G687" s="9" t="n">
        <v>-606856.74</v>
      </c>
      <c r="H687" s="9">
        <f>IF(D687="USD",E687*$N$1,E687)</f>
        <v/>
      </c>
      <c r="I687" s="9">
        <f>IF(D687="USD",F687*$N$1,F687)</f>
        <v/>
      </c>
      <c r="J687" s="9">
        <f>IF(D687="USD",G687*$N$1,G687)</f>
        <v/>
      </c>
      <c r="K687" s="9">
        <f>H687+I687</f>
        <v/>
      </c>
    </row>
    <row r="688">
      <c r="A688" s="8" t="n">
        <v>46090</v>
      </c>
      <c r="B688" t="inlineStr">
        <is>
          <t>2026-W11</t>
        </is>
      </c>
      <c r="C688" t="inlineStr">
        <is>
          <t>Adyen</t>
        </is>
      </c>
      <c r="D688" t="inlineStr">
        <is>
          <t>EUR</t>
        </is>
      </c>
      <c r="E688" s="9" t="n">
        <v>583494.61</v>
      </c>
      <c r="F688" s="9" t="n">
        <v>-7461.190000000061</v>
      </c>
      <c r="G688" s="9" t="n">
        <v>0</v>
      </c>
      <c r="H688" s="9">
        <f>IF(D688="USD",E688*$N$1,E688)</f>
        <v/>
      </c>
      <c r="I688" s="9">
        <f>IF(D688="USD",F688*$N$1,F688)</f>
        <v/>
      </c>
      <c r="J688" s="9">
        <f>IF(D688="USD",G688*$N$1,G688)</f>
        <v/>
      </c>
      <c r="K688" s="9">
        <f>H688+I688</f>
        <v/>
      </c>
    </row>
    <row r="689">
      <c r="A689" s="8" t="n">
        <v>46090</v>
      </c>
      <c r="B689" t="inlineStr">
        <is>
          <t>2026-W11</t>
        </is>
      </c>
      <c r="C689" t="inlineStr">
        <is>
          <t>Adyen</t>
        </is>
      </c>
      <c r="D689" t="inlineStr">
        <is>
          <t>EUR</t>
        </is>
      </c>
      <c r="E689" s="9" t="n">
        <v>90734.41</v>
      </c>
      <c r="F689" s="9" t="n">
        <v>0</v>
      </c>
      <c r="G689" s="9" t="n">
        <v>0</v>
      </c>
      <c r="H689" s="9">
        <f>IF(D689="USD",E689*$N$1,E689)</f>
        <v/>
      </c>
      <c r="I689" s="9">
        <f>IF(D689="USD",F689*$N$1,F689)</f>
        <v/>
      </c>
      <c r="J689" s="9">
        <f>IF(D689="USD",G689*$N$1,G689)</f>
        <v/>
      </c>
      <c r="K689" s="9">
        <f>H689+I689</f>
        <v/>
      </c>
    </row>
    <row r="690">
      <c r="A690" s="8" t="n">
        <v>46090</v>
      </c>
      <c r="B690" t="inlineStr">
        <is>
          <t>2026-W11</t>
        </is>
      </c>
      <c r="C690" t="inlineStr">
        <is>
          <t>Nuvei</t>
        </is>
      </c>
      <c r="D690" t="inlineStr">
        <is>
          <t>EUR</t>
        </is>
      </c>
      <c r="E690" s="9" t="n">
        <v>0</v>
      </c>
      <c r="F690" s="9" t="n">
        <v>0</v>
      </c>
      <c r="G690" s="9" t="n">
        <v>-893786.5</v>
      </c>
      <c r="H690" s="9">
        <f>IF(D690="USD",E690*$N$1,E690)</f>
        <v/>
      </c>
      <c r="I690" s="9">
        <f>IF(D690="USD",F690*$N$1,F690)</f>
        <v/>
      </c>
      <c r="J690" s="9">
        <f>IF(D690="USD",G690*$N$1,G690)</f>
        <v/>
      </c>
      <c r="K690" s="9">
        <f>H690+I690</f>
        <v/>
      </c>
    </row>
    <row r="691">
      <c r="A691" s="8" t="n">
        <v>46090</v>
      </c>
      <c r="B691" t="inlineStr">
        <is>
          <t>2026-W11</t>
        </is>
      </c>
      <c r="C691" t="inlineStr">
        <is>
          <t>Nuvei</t>
        </is>
      </c>
      <c r="D691" t="inlineStr">
        <is>
          <t>EUR</t>
        </is>
      </c>
      <c r="E691" s="9" t="n">
        <v>0</v>
      </c>
      <c r="F691" s="9" t="n">
        <v>0</v>
      </c>
      <c r="G691" s="9" t="n">
        <v>-66972.24000000001</v>
      </c>
      <c r="H691" s="9">
        <f>IF(D691="USD",E691*$N$1,E691)</f>
        <v/>
      </c>
      <c r="I691" s="9">
        <f>IF(D691="USD",F691*$N$1,F691)</f>
        <v/>
      </c>
      <c r="J691" s="9">
        <f>IF(D691="USD",G691*$N$1,G691)</f>
        <v/>
      </c>
      <c r="K691" s="9">
        <f>H691+I691</f>
        <v/>
      </c>
    </row>
    <row r="692">
      <c r="A692" s="8" t="n">
        <v>46090</v>
      </c>
      <c r="B692" t="inlineStr">
        <is>
          <t>2026-W11</t>
        </is>
      </c>
      <c r="C692" t="inlineStr">
        <is>
          <t>Nuvei</t>
        </is>
      </c>
      <c r="D692" t="inlineStr">
        <is>
          <t>EUR</t>
        </is>
      </c>
      <c r="E692" s="9" t="n">
        <v>939543.46</v>
      </c>
      <c r="F692" s="9" t="n">
        <v>-12285.55</v>
      </c>
      <c r="G692" s="9" t="n">
        <v>0</v>
      </c>
      <c r="H692" s="9">
        <f>IF(D692="USD",E692*$N$1,E692)</f>
        <v/>
      </c>
      <c r="I692" s="9">
        <f>IF(D692="USD",F692*$N$1,F692)</f>
        <v/>
      </c>
      <c r="J692" s="9">
        <f>IF(D692="USD",G692*$N$1,G692)</f>
        <v/>
      </c>
      <c r="K692" s="9">
        <f>H692+I692</f>
        <v/>
      </c>
    </row>
    <row r="693">
      <c r="A693" s="8" t="n">
        <v>46090</v>
      </c>
      <c r="B693" t="inlineStr">
        <is>
          <t>2026-W11</t>
        </is>
      </c>
      <c r="C693" t="inlineStr">
        <is>
          <t>Nuvei</t>
        </is>
      </c>
      <c r="D693" t="inlineStr">
        <is>
          <t>EUR</t>
        </is>
      </c>
      <c r="E693" s="9" t="n">
        <v>59229.15</v>
      </c>
      <c r="F693" s="9" t="n">
        <v>-1509.66</v>
      </c>
      <c r="G693" s="9" t="n">
        <v>0</v>
      </c>
      <c r="H693" s="9">
        <f>IF(D693="USD",E693*$N$1,E693)</f>
        <v/>
      </c>
      <c r="I693" s="9">
        <f>IF(D693="USD",F693*$N$1,F693)</f>
        <v/>
      </c>
      <c r="J693" s="9">
        <f>IF(D693="USD",G693*$N$1,G693)</f>
        <v/>
      </c>
      <c r="K693" s="9">
        <f>H693+I693</f>
        <v/>
      </c>
    </row>
    <row r="694">
      <c r="A694" s="8" t="n">
        <v>46091</v>
      </c>
      <c r="B694" t="inlineStr">
        <is>
          <t>2026-W11</t>
        </is>
      </c>
      <c r="C694" t="inlineStr">
        <is>
          <t>Adyen</t>
        </is>
      </c>
      <c r="D694" t="inlineStr">
        <is>
          <t>EUR</t>
        </is>
      </c>
      <c r="E694" s="9" t="n">
        <v>0</v>
      </c>
      <c r="F694" s="9" t="n">
        <v>0</v>
      </c>
      <c r="G694" s="9" t="n">
        <v>-1361767.45</v>
      </c>
      <c r="H694" s="9">
        <f>IF(D694="USD",E694*$N$1,E694)</f>
        <v/>
      </c>
      <c r="I694" s="9">
        <f>IF(D694="USD",F694*$N$1,F694)</f>
        <v/>
      </c>
      <c r="J694" s="9">
        <f>IF(D694="USD",G694*$N$1,G694)</f>
        <v/>
      </c>
      <c r="K694" s="9">
        <f>H694+I694</f>
        <v/>
      </c>
    </row>
    <row r="695">
      <c r="A695" s="8" t="n">
        <v>46091</v>
      </c>
      <c r="B695" t="inlineStr">
        <is>
          <t>2026-W11</t>
        </is>
      </c>
      <c r="C695" t="inlineStr">
        <is>
          <t>Adyen</t>
        </is>
      </c>
      <c r="D695" t="inlineStr">
        <is>
          <t>EUR</t>
        </is>
      </c>
      <c r="E695" s="9" t="n">
        <v>646317.3100000001</v>
      </c>
      <c r="F695" s="9" t="n">
        <v>-6791.229999999981</v>
      </c>
      <c r="G695" s="9" t="n">
        <v>0</v>
      </c>
      <c r="H695" s="9">
        <f>IF(D695="USD",E695*$N$1,E695)</f>
        <v/>
      </c>
      <c r="I695" s="9">
        <f>IF(D695="USD",F695*$N$1,F695)</f>
        <v/>
      </c>
      <c r="J695" s="9">
        <f>IF(D695="USD",G695*$N$1,G695)</f>
        <v/>
      </c>
      <c r="K695" s="9">
        <f>H695+I695</f>
        <v/>
      </c>
    </row>
    <row r="696">
      <c r="A696" s="8" t="n">
        <v>46091</v>
      </c>
      <c r="B696" t="inlineStr">
        <is>
          <t>2026-W11</t>
        </is>
      </c>
      <c r="C696" t="inlineStr">
        <is>
          <t>Adyen</t>
        </is>
      </c>
      <c r="D696" t="inlineStr">
        <is>
          <t>EUR</t>
        </is>
      </c>
      <c r="E696" s="9" t="n">
        <v>81643.48</v>
      </c>
      <c r="F696" s="9" t="n">
        <v>0</v>
      </c>
      <c r="G696" s="9" t="n">
        <v>0</v>
      </c>
      <c r="H696" s="9">
        <f>IF(D696="USD",E696*$N$1,E696)</f>
        <v/>
      </c>
      <c r="I696" s="9">
        <f>IF(D696="USD",F696*$N$1,F696)</f>
        <v/>
      </c>
      <c r="J696" s="9">
        <f>IF(D696="USD",G696*$N$1,G696)</f>
        <v/>
      </c>
      <c r="K696" s="9">
        <f>H696+I696</f>
        <v/>
      </c>
    </row>
    <row r="697">
      <c r="A697" s="8" t="n">
        <v>46091</v>
      </c>
      <c r="B697" t="inlineStr">
        <is>
          <t>2026-W11</t>
        </is>
      </c>
      <c r="C697" t="inlineStr">
        <is>
          <t>Nuvei</t>
        </is>
      </c>
      <c r="D697" t="inlineStr">
        <is>
          <t>EUR</t>
        </is>
      </c>
      <c r="E697" s="9" t="n">
        <v>0</v>
      </c>
      <c r="F697" s="9" t="n">
        <v>0</v>
      </c>
      <c r="G697" s="9" t="n">
        <v>-1012430.33</v>
      </c>
      <c r="H697" s="9">
        <f>IF(D697="USD",E697*$N$1,E697)</f>
        <v/>
      </c>
      <c r="I697" s="9">
        <f>IF(D697="USD",F697*$N$1,F697)</f>
        <v/>
      </c>
      <c r="J697" s="9">
        <f>IF(D697="USD",G697*$N$1,G697)</f>
        <v/>
      </c>
      <c r="K697" s="9">
        <f>H697+I697</f>
        <v/>
      </c>
    </row>
    <row r="698">
      <c r="A698" s="8" t="n">
        <v>46091</v>
      </c>
      <c r="B698" t="inlineStr">
        <is>
          <t>2026-W11</t>
        </is>
      </c>
      <c r="C698" t="inlineStr">
        <is>
          <t>Nuvei</t>
        </is>
      </c>
      <c r="D698" t="inlineStr">
        <is>
          <t>EUR</t>
        </is>
      </c>
      <c r="E698" s="9" t="n">
        <v>0</v>
      </c>
      <c r="F698" s="9" t="n">
        <v>0</v>
      </c>
      <c r="G698" s="9" t="n">
        <v>-62384.98</v>
      </c>
      <c r="H698" s="9">
        <f>IF(D698="USD",E698*$N$1,E698)</f>
        <v/>
      </c>
      <c r="I698" s="9">
        <f>IF(D698="USD",F698*$N$1,F698)</f>
        <v/>
      </c>
      <c r="J698" s="9">
        <f>IF(D698="USD",G698*$N$1,G698)</f>
        <v/>
      </c>
      <c r="K698" s="9">
        <f>H698+I698</f>
        <v/>
      </c>
    </row>
    <row r="699">
      <c r="A699" s="8" t="n">
        <v>46091</v>
      </c>
      <c r="B699" t="inlineStr">
        <is>
          <t>2026-W11</t>
        </is>
      </c>
      <c r="C699" t="inlineStr">
        <is>
          <t>Nuvei</t>
        </is>
      </c>
      <c r="D699" t="inlineStr">
        <is>
          <t>EUR</t>
        </is>
      </c>
      <c r="E699" s="9" t="n">
        <v>951361.4</v>
      </c>
      <c r="F699" s="9" t="n">
        <v>-12233.03</v>
      </c>
      <c r="G699" s="9" t="n">
        <v>0</v>
      </c>
      <c r="H699" s="9">
        <f>IF(D699="USD",E699*$N$1,E699)</f>
        <v/>
      </c>
      <c r="I699" s="9">
        <f>IF(D699="USD",F699*$N$1,F699)</f>
        <v/>
      </c>
      <c r="J699" s="9">
        <f>IF(D699="USD",G699*$N$1,G699)</f>
        <v/>
      </c>
      <c r="K699" s="9">
        <f>H699+I699</f>
        <v/>
      </c>
    </row>
    <row r="700">
      <c r="A700" s="8" t="n">
        <v>46091</v>
      </c>
      <c r="B700" t="inlineStr">
        <is>
          <t>2026-W11</t>
        </is>
      </c>
      <c r="C700" t="inlineStr">
        <is>
          <t>Nuvei</t>
        </is>
      </c>
      <c r="D700" t="inlineStr">
        <is>
          <t>EUR</t>
        </is>
      </c>
      <c r="E700" s="9" t="n">
        <v>75058.12</v>
      </c>
      <c r="F700" s="9" t="n">
        <v>-1877.7</v>
      </c>
      <c r="G700" s="9" t="n">
        <v>0</v>
      </c>
      <c r="H700" s="9">
        <f>IF(D700="USD",E700*$N$1,E700)</f>
        <v/>
      </c>
      <c r="I700" s="9">
        <f>IF(D700="USD",F700*$N$1,F700)</f>
        <v/>
      </c>
      <c r="J700" s="9">
        <f>IF(D700="USD",G700*$N$1,G700)</f>
        <v/>
      </c>
      <c r="K700" s="9">
        <f>H700+I700</f>
        <v/>
      </c>
    </row>
    <row r="701">
      <c r="A701" s="8" t="n">
        <v>46092</v>
      </c>
      <c r="B701" t="inlineStr">
        <is>
          <t>2026-W11</t>
        </is>
      </c>
      <c r="C701" t="inlineStr">
        <is>
          <t>Adyen</t>
        </is>
      </c>
      <c r="D701" t="inlineStr">
        <is>
          <t>EUR</t>
        </is>
      </c>
      <c r="E701" s="9" t="n">
        <v>0</v>
      </c>
      <c r="F701" s="9" t="n">
        <v>0</v>
      </c>
      <c r="G701" s="9" t="n">
        <v>-666767.83</v>
      </c>
      <c r="H701" s="9">
        <f>IF(D701="USD",E701*$N$1,E701)</f>
        <v/>
      </c>
      <c r="I701" s="9">
        <f>IF(D701="USD",F701*$N$1,F701)</f>
        <v/>
      </c>
      <c r="J701" s="9">
        <f>IF(D701="USD",G701*$N$1,G701)</f>
        <v/>
      </c>
      <c r="K701" s="9">
        <f>H701+I701</f>
        <v/>
      </c>
    </row>
    <row r="702">
      <c r="A702" s="8" t="n">
        <v>46092</v>
      </c>
      <c r="B702" t="inlineStr">
        <is>
          <t>2026-W11</t>
        </is>
      </c>
      <c r="C702" t="inlineStr">
        <is>
          <t>Adyen</t>
        </is>
      </c>
      <c r="D702" t="inlineStr">
        <is>
          <t>EUR</t>
        </is>
      </c>
      <c r="E702" s="9" t="n">
        <v>617543.72</v>
      </c>
      <c r="F702" s="9" t="n">
        <v>-7213.139999999898</v>
      </c>
      <c r="G702" s="9" t="n">
        <v>0</v>
      </c>
      <c r="H702" s="9">
        <f>IF(D702="USD",E702*$N$1,E702)</f>
        <v/>
      </c>
      <c r="I702" s="9">
        <f>IF(D702="USD",F702*$N$1,F702)</f>
        <v/>
      </c>
      <c r="J702" s="9">
        <f>IF(D702="USD",G702*$N$1,G702)</f>
        <v/>
      </c>
      <c r="K702" s="9">
        <f>H702+I702</f>
        <v/>
      </c>
    </row>
    <row r="703">
      <c r="A703" s="8" t="n">
        <v>46092</v>
      </c>
      <c r="B703" t="inlineStr">
        <is>
          <t>2026-W11</t>
        </is>
      </c>
      <c r="C703" t="inlineStr">
        <is>
          <t>Adyen</t>
        </is>
      </c>
      <c r="D703" t="inlineStr">
        <is>
          <t>EUR</t>
        </is>
      </c>
      <c r="E703" s="9" t="n">
        <v>97173.94</v>
      </c>
      <c r="F703" s="9" t="n">
        <v>0</v>
      </c>
      <c r="G703" s="9" t="n">
        <v>0</v>
      </c>
      <c r="H703" s="9">
        <f>IF(D703="USD",E703*$N$1,E703)</f>
        <v/>
      </c>
      <c r="I703" s="9">
        <f>IF(D703="USD",F703*$N$1,F703)</f>
        <v/>
      </c>
      <c r="J703" s="9">
        <f>IF(D703="USD",G703*$N$1,G703)</f>
        <v/>
      </c>
      <c r="K703" s="9">
        <f>H703+I703</f>
        <v/>
      </c>
    </row>
    <row r="704">
      <c r="A704" s="8" t="n">
        <v>46092</v>
      </c>
      <c r="B704" t="inlineStr">
        <is>
          <t>2026-W11</t>
        </is>
      </c>
      <c r="C704" t="inlineStr">
        <is>
          <t>Nuvei</t>
        </is>
      </c>
      <c r="D704" t="inlineStr">
        <is>
          <t>EUR</t>
        </is>
      </c>
      <c r="E704" s="9" t="n">
        <v>0</v>
      </c>
      <c r="F704" s="9" t="n">
        <v>0</v>
      </c>
      <c r="G704" s="9" t="n">
        <v>-1072450.29</v>
      </c>
      <c r="H704" s="9">
        <f>IF(D704="USD",E704*$N$1,E704)</f>
        <v/>
      </c>
      <c r="I704" s="9">
        <f>IF(D704="USD",F704*$N$1,F704)</f>
        <v/>
      </c>
      <c r="J704" s="9">
        <f>IF(D704="USD",G704*$N$1,G704)</f>
        <v/>
      </c>
      <c r="K704" s="9">
        <f>H704+I704</f>
        <v/>
      </c>
    </row>
    <row r="705">
      <c r="A705" s="8" t="n">
        <v>46092</v>
      </c>
      <c r="B705" t="inlineStr">
        <is>
          <t>2026-W11</t>
        </is>
      </c>
      <c r="C705" t="inlineStr">
        <is>
          <t>Nuvei</t>
        </is>
      </c>
      <c r="D705" t="inlineStr">
        <is>
          <t>EUR</t>
        </is>
      </c>
      <c r="E705" s="9" t="n">
        <v>0</v>
      </c>
      <c r="F705" s="9" t="n">
        <v>0</v>
      </c>
      <c r="G705" s="9" t="n">
        <v>-61210.83</v>
      </c>
      <c r="H705" s="9">
        <f>IF(D705="USD",E705*$N$1,E705)</f>
        <v/>
      </c>
      <c r="I705" s="9">
        <f>IF(D705="USD",F705*$N$1,F705)</f>
        <v/>
      </c>
      <c r="J705" s="9">
        <f>IF(D705="USD",G705*$N$1,G705)</f>
        <v/>
      </c>
      <c r="K705" s="9">
        <f>H705+I705</f>
        <v/>
      </c>
    </row>
    <row r="706">
      <c r="A706" s="8" t="n">
        <v>46092</v>
      </c>
      <c r="B706" t="inlineStr">
        <is>
          <t>2026-W11</t>
        </is>
      </c>
      <c r="C706" t="inlineStr">
        <is>
          <t>Nuvei</t>
        </is>
      </c>
      <c r="D706" t="inlineStr">
        <is>
          <t>EUR</t>
        </is>
      </c>
      <c r="E706" s="9" t="n">
        <v>1010959.85</v>
      </c>
      <c r="F706" s="9" t="n">
        <v>-12526.1</v>
      </c>
      <c r="G706" s="9" t="n">
        <v>0</v>
      </c>
      <c r="H706" s="9">
        <f>IF(D706="USD",E706*$N$1,E706)</f>
        <v/>
      </c>
      <c r="I706" s="9">
        <f>IF(D706="USD",F706*$N$1,F706)</f>
        <v/>
      </c>
      <c r="J706" s="9">
        <f>IF(D706="USD",G706*$N$1,G706)</f>
        <v/>
      </c>
      <c r="K706" s="9">
        <f>H706+I706</f>
        <v/>
      </c>
    </row>
    <row r="707">
      <c r="A707" s="8" t="n">
        <v>46092</v>
      </c>
      <c r="B707" t="inlineStr">
        <is>
          <t>2026-W11</t>
        </is>
      </c>
      <c r="C707" t="inlineStr">
        <is>
          <t>Nuvei</t>
        </is>
      </c>
      <c r="D707" t="inlineStr">
        <is>
          <t>EUR</t>
        </is>
      </c>
      <c r="E707" s="9" t="n">
        <v>82190.25</v>
      </c>
      <c r="F707" s="9" t="n">
        <v>-2171.61</v>
      </c>
      <c r="G707" s="9" t="n">
        <v>0</v>
      </c>
      <c r="H707" s="9">
        <f>IF(D707="USD",E707*$N$1,E707)</f>
        <v/>
      </c>
      <c r="I707" s="9">
        <f>IF(D707="USD",F707*$N$1,F707)</f>
        <v/>
      </c>
      <c r="J707" s="9">
        <f>IF(D707="USD",G707*$N$1,G707)</f>
        <v/>
      </c>
      <c r="K707" s="9">
        <f>H707+I707</f>
        <v/>
      </c>
    </row>
    <row r="708">
      <c r="A708" s="8" t="n">
        <v>46093</v>
      </c>
      <c r="B708" t="inlineStr">
        <is>
          <t>2026-W11</t>
        </is>
      </c>
      <c r="C708" t="inlineStr">
        <is>
          <t>Adyen</t>
        </is>
      </c>
      <c r="D708" t="inlineStr">
        <is>
          <t>EUR</t>
        </is>
      </c>
      <c r="E708" s="9" t="n">
        <v>0</v>
      </c>
      <c r="F708" s="9" t="n">
        <v>0</v>
      </c>
      <c r="G708" s="9" t="n">
        <v>-721169.5600000001</v>
      </c>
      <c r="H708" s="9">
        <f>IF(D708="USD",E708*$N$1,E708)</f>
        <v/>
      </c>
      <c r="I708" s="9">
        <f>IF(D708="USD",F708*$N$1,F708)</f>
        <v/>
      </c>
      <c r="J708" s="9">
        <f>IF(D708="USD",G708*$N$1,G708)</f>
        <v/>
      </c>
      <c r="K708" s="9">
        <f>H708+I708</f>
        <v/>
      </c>
    </row>
    <row r="709">
      <c r="A709" s="8" t="n">
        <v>46093</v>
      </c>
      <c r="B709" t="inlineStr">
        <is>
          <t>2026-W11</t>
        </is>
      </c>
      <c r="C709" t="inlineStr">
        <is>
          <t>Adyen</t>
        </is>
      </c>
      <c r="D709" t="inlineStr">
        <is>
          <t>EUR</t>
        </is>
      </c>
      <c r="E709" s="9" t="n">
        <v>561401.46</v>
      </c>
      <c r="F709" s="9" t="n">
        <v>-10017.80000000005</v>
      </c>
      <c r="G709" s="9" t="n">
        <v>0</v>
      </c>
      <c r="H709" s="9">
        <f>IF(D709="USD",E709*$N$1,E709)</f>
        <v/>
      </c>
      <c r="I709" s="9">
        <f>IF(D709="USD",F709*$N$1,F709)</f>
        <v/>
      </c>
      <c r="J709" s="9">
        <f>IF(D709="USD",G709*$N$1,G709)</f>
        <v/>
      </c>
      <c r="K709" s="9">
        <f>H709+I709</f>
        <v/>
      </c>
    </row>
    <row r="710">
      <c r="A710" s="8" t="n">
        <v>46093</v>
      </c>
      <c r="B710" t="inlineStr">
        <is>
          <t>2026-W11</t>
        </is>
      </c>
      <c r="C710" t="inlineStr">
        <is>
          <t>Adyen</t>
        </is>
      </c>
      <c r="D710" t="inlineStr">
        <is>
          <t>EUR</t>
        </is>
      </c>
      <c r="E710" s="9" t="n">
        <v>70254.00999999999</v>
      </c>
      <c r="F710" s="9" t="n">
        <v>0</v>
      </c>
      <c r="G710" s="9" t="n">
        <v>0</v>
      </c>
      <c r="H710" s="9">
        <f>IF(D710="USD",E710*$N$1,E710)</f>
        <v/>
      </c>
      <c r="I710" s="9">
        <f>IF(D710="USD",F710*$N$1,F710)</f>
        <v/>
      </c>
      <c r="J710" s="9">
        <f>IF(D710="USD",G710*$N$1,G710)</f>
        <v/>
      </c>
      <c r="K710" s="9">
        <f>H710+I710</f>
        <v/>
      </c>
    </row>
    <row r="711">
      <c r="A711" s="8" t="n">
        <v>46093</v>
      </c>
      <c r="B711" t="inlineStr">
        <is>
          <t>2026-W11</t>
        </is>
      </c>
      <c r="C711" t="inlineStr">
        <is>
          <t>Nuvei</t>
        </is>
      </c>
      <c r="D711" t="inlineStr">
        <is>
          <t>EUR</t>
        </is>
      </c>
      <c r="E711" s="9" t="n">
        <v>0</v>
      </c>
      <c r="F711" s="9" t="n">
        <v>0</v>
      </c>
      <c r="G711" s="9" t="n">
        <v>-916540.99</v>
      </c>
      <c r="H711" s="9">
        <f>IF(D711="USD",E711*$N$1,E711)</f>
        <v/>
      </c>
      <c r="I711" s="9">
        <f>IF(D711="USD",F711*$N$1,F711)</f>
        <v/>
      </c>
      <c r="J711" s="9">
        <f>IF(D711="USD",G711*$N$1,G711)</f>
        <v/>
      </c>
      <c r="K711" s="9">
        <f>H711+I711</f>
        <v/>
      </c>
    </row>
    <row r="712">
      <c r="A712" s="8" t="n">
        <v>46093</v>
      </c>
      <c r="B712" t="inlineStr">
        <is>
          <t>2026-W11</t>
        </is>
      </c>
      <c r="C712" t="inlineStr">
        <is>
          <t>Nuvei</t>
        </is>
      </c>
      <c r="D712" t="inlineStr">
        <is>
          <t>EUR</t>
        </is>
      </c>
      <c r="E712" s="9" t="n">
        <v>0</v>
      </c>
      <c r="F712" s="9" t="n">
        <v>0</v>
      </c>
      <c r="G712" s="9" t="n">
        <v>-63702.61</v>
      </c>
      <c r="H712" s="9">
        <f>IF(D712="USD",E712*$N$1,E712)</f>
        <v/>
      </c>
      <c r="I712" s="9">
        <f>IF(D712="USD",F712*$N$1,F712)</f>
        <v/>
      </c>
      <c r="J712" s="9">
        <f>IF(D712="USD",G712*$N$1,G712)</f>
        <v/>
      </c>
      <c r="K712" s="9">
        <f>H712+I712</f>
        <v/>
      </c>
    </row>
    <row r="713">
      <c r="A713" s="8" t="n">
        <v>46093</v>
      </c>
      <c r="B713" t="inlineStr">
        <is>
          <t>2026-W11</t>
        </is>
      </c>
      <c r="C713" t="inlineStr">
        <is>
          <t>Nuvei</t>
        </is>
      </c>
      <c r="D713" t="inlineStr">
        <is>
          <t>EUR</t>
        </is>
      </c>
      <c r="E713" s="9" t="n">
        <v>989295.02</v>
      </c>
      <c r="F713" s="9" t="n">
        <v>-11836.18</v>
      </c>
      <c r="G713" s="9" t="n">
        <v>0</v>
      </c>
      <c r="H713" s="9">
        <f>IF(D713="USD",E713*$N$1,E713)</f>
        <v/>
      </c>
      <c r="I713" s="9">
        <f>IF(D713="USD",F713*$N$1,F713)</f>
        <v/>
      </c>
      <c r="J713" s="9">
        <f>IF(D713="USD",G713*$N$1,G713)</f>
        <v/>
      </c>
      <c r="K713" s="9">
        <f>H713+I713</f>
        <v/>
      </c>
    </row>
    <row r="714">
      <c r="A714" s="8" t="n">
        <v>46093</v>
      </c>
      <c r="B714" t="inlineStr">
        <is>
          <t>2026-W11</t>
        </is>
      </c>
      <c r="C714" t="inlineStr">
        <is>
          <t>Nuvei</t>
        </is>
      </c>
      <c r="D714" t="inlineStr">
        <is>
          <t>EUR</t>
        </is>
      </c>
      <c r="E714" s="9" t="n">
        <v>59139.68</v>
      </c>
      <c r="F714" s="9" t="n">
        <v>-1502.14</v>
      </c>
      <c r="G714" s="9" t="n">
        <v>0</v>
      </c>
      <c r="H714" s="9">
        <f>IF(D714="USD",E714*$N$1,E714)</f>
        <v/>
      </c>
      <c r="I714" s="9">
        <f>IF(D714="USD",F714*$N$1,F714)</f>
        <v/>
      </c>
      <c r="J714" s="9">
        <f>IF(D714="USD",G714*$N$1,G714)</f>
        <v/>
      </c>
      <c r="K714" s="9">
        <f>H714+I714</f>
        <v/>
      </c>
    </row>
    <row r="715">
      <c r="A715" s="8" t="n">
        <v>46094</v>
      </c>
      <c r="B715" t="inlineStr">
        <is>
          <t>2026-W11</t>
        </is>
      </c>
      <c r="C715" t="inlineStr">
        <is>
          <t>Adyen</t>
        </is>
      </c>
      <c r="D715" t="inlineStr">
        <is>
          <t>EUR</t>
        </is>
      </c>
      <c r="E715" s="9" t="n">
        <v>0</v>
      </c>
      <c r="F715" s="9" t="n">
        <v>0</v>
      </c>
      <c r="G715" s="9" t="n">
        <v>-707504.52</v>
      </c>
      <c r="H715" s="9">
        <f>IF(D715="USD",E715*$N$1,E715)</f>
        <v/>
      </c>
      <c r="I715" s="9">
        <f>IF(D715="USD",F715*$N$1,F715)</f>
        <v/>
      </c>
      <c r="J715" s="9">
        <f>IF(D715="USD",G715*$N$1,G715)</f>
        <v/>
      </c>
      <c r="K715" s="9">
        <f>H715+I715</f>
        <v/>
      </c>
    </row>
    <row r="716">
      <c r="A716" s="8" t="n">
        <v>46094</v>
      </c>
      <c r="B716" t="inlineStr">
        <is>
          <t>2026-W11</t>
        </is>
      </c>
      <c r="C716" t="inlineStr">
        <is>
          <t>Adyen</t>
        </is>
      </c>
      <c r="D716" t="inlineStr">
        <is>
          <t>EUR</t>
        </is>
      </c>
      <c r="E716" s="9" t="n">
        <v>496389.5</v>
      </c>
      <c r="F716" s="9" t="n">
        <v>-33447.93999999994</v>
      </c>
      <c r="G716" s="9" t="n">
        <v>0</v>
      </c>
      <c r="H716" s="9">
        <f>IF(D716="USD",E716*$N$1,E716)</f>
        <v/>
      </c>
      <c r="I716" s="9">
        <f>IF(D716="USD",F716*$N$1,F716)</f>
        <v/>
      </c>
      <c r="J716" s="9">
        <f>IF(D716="USD",G716*$N$1,G716)</f>
        <v/>
      </c>
      <c r="K716" s="9">
        <f>H716+I716</f>
        <v/>
      </c>
    </row>
    <row r="717">
      <c r="A717" s="8" t="n">
        <v>46094</v>
      </c>
      <c r="B717" t="inlineStr">
        <is>
          <t>2026-W11</t>
        </is>
      </c>
      <c r="C717" t="inlineStr">
        <is>
          <t>Adyen</t>
        </is>
      </c>
      <c r="D717" t="inlineStr">
        <is>
          <t>EUR</t>
        </is>
      </c>
      <c r="E717" s="9" t="n">
        <v>78857.56</v>
      </c>
      <c r="F717" s="9" t="n">
        <v>0</v>
      </c>
      <c r="G717" s="9" t="n">
        <v>0</v>
      </c>
      <c r="H717" s="9">
        <f>IF(D717="USD",E717*$N$1,E717)</f>
        <v/>
      </c>
      <c r="I717" s="9">
        <f>IF(D717="USD",F717*$N$1,F717)</f>
        <v/>
      </c>
      <c r="J717" s="9">
        <f>IF(D717="USD",G717*$N$1,G717)</f>
        <v/>
      </c>
      <c r="K717" s="9">
        <f>H717+I717</f>
        <v/>
      </c>
    </row>
    <row r="718">
      <c r="A718" s="8" t="n">
        <v>46094</v>
      </c>
      <c r="B718" t="inlineStr">
        <is>
          <t>2026-W11</t>
        </is>
      </c>
      <c r="C718" t="inlineStr">
        <is>
          <t>Nuvei</t>
        </is>
      </c>
      <c r="D718" t="inlineStr">
        <is>
          <t>EUR</t>
        </is>
      </c>
      <c r="E718" s="9" t="n">
        <v>0</v>
      </c>
      <c r="F718" s="9" t="n">
        <v>0</v>
      </c>
      <c r="G718" s="9" t="n">
        <v>-2616427.33</v>
      </c>
      <c r="H718" s="9">
        <f>IF(D718="USD",E718*$N$1,E718)</f>
        <v/>
      </c>
      <c r="I718" s="9">
        <f>IF(D718="USD",F718*$N$1,F718)</f>
        <v/>
      </c>
      <c r="J718" s="9">
        <f>IF(D718="USD",G718*$N$1,G718)</f>
        <v/>
      </c>
      <c r="K718" s="9">
        <f>H718+I718</f>
        <v/>
      </c>
    </row>
    <row r="719">
      <c r="A719" s="8" t="n">
        <v>46094</v>
      </c>
      <c r="B719" t="inlineStr">
        <is>
          <t>2026-W11</t>
        </is>
      </c>
      <c r="C719" t="inlineStr">
        <is>
          <t>Nuvei</t>
        </is>
      </c>
      <c r="D719" t="inlineStr">
        <is>
          <t>EUR</t>
        </is>
      </c>
      <c r="E719" s="9" t="n">
        <v>0</v>
      </c>
      <c r="F719" s="9" t="n">
        <v>0</v>
      </c>
      <c r="G719" s="9" t="n">
        <v>-130457.63</v>
      </c>
      <c r="H719" s="9">
        <f>IF(D719="USD",E719*$N$1,E719)</f>
        <v/>
      </c>
      <c r="I719" s="9">
        <f>IF(D719="USD",F719*$N$1,F719)</f>
        <v/>
      </c>
      <c r="J719" s="9">
        <f>IF(D719="USD",G719*$N$1,G719)</f>
        <v/>
      </c>
      <c r="K719" s="9">
        <f>H719+I719</f>
        <v/>
      </c>
    </row>
    <row r="720">
      <c r="A720" s="8" t="n">
        <v>46094</v>
      </c>
      <c r="B720" t="inlineStr">
        <is>
          <t>2026-W11</t>
        </is>
      </c>
      <c r="C720" t="inlineStr">
        <is>
          <t>Nuvei</t>
        </is>
      </c>
      <c r="D720" t="inlineStr">
        <is>
          <t>EUR</t>
        </is>
      </c>
      <c r="E720" s="9" t="n">
        <v>777907.58</v>
      </c>
      <c r="F720" s="9" t="n">
        <v>-10139.88</v>
      </c>
      <c r="G720" s="9" t="n">
        <v>0</v>
      </c>
      <c r="H720" s="9">
        <f>IF(D720="USD",E720*$N$1,E720)</f>
        <v/>
      </c>
      <c r="I720" s="9">
        <f>IF(D720="USD",F720*$N$1,F720)</f>
        <v/>
      </c>
      <c r="J720" s="9">
        <f>IF(D720="USD",G720*$N$1,G720)</f>
        <v/>
      </c>
      <c r="K720" s="9">
        <f>H720+I720</f>
        <v/>
      </c>
    </row>
    <row r="721">
      <c r="A721" s="8" t="n">
        <v>46094</v>
      </c>
      <c r="B721" t="inlineStr">
        <is>
          <t>2026-W11</t>
        </is>
      </c>
      <c r="C721" t="inlineStr">
        <is>
          <t>Nuvei</t>
        </is>
      </c>
      <c r="D721" t="inlineStr">
        <is>
          <t>EUR</t>
        </is>
      </c>
      <c r="E721" s="9" t="n">
        <v>50485.23</v>
      </c>
      <c r="F721" s="9" t="n">
        <v>-1383.37</v>
      </c>
      <c r="G721" s="9" t="n">
        <v>0</v>
      </c>
      <c r="H721" s="9">
        <f>IF(D721="USD",E721*$N$1,E721)</f>
        <v/>
      </c>
      <c r="I721" s="9">
        <f>IF(D721="USD",F721*$N$1,F721)</f>
        <v/>
      </c>
      <c r="J721" s="9">
        <f>IF(D721="USD",G721*$N$1,G721)</f>
        <v/>
      </c>
      <c r="K721" s="9">
        <f>H721+I721</f>
        <v/>
      </c>
    </row>
    <row r="722">
      <c r="A722" s="8" t="n">
        <v>46095</v>
      </c>
      <c r="B722" t="inlineStr">
        <is>
          <t>2026-W11</t>
        </is>
      </c>
      <c r="C722" t="inlineStr">
        <is>
          <t>Adyen</t>
        </is>
      </c>
      <c r="D722" t="inlineStr">
        <is>
          <t>EUR</t>
        </is>
      </c>
      <c r="E722" s="9" t="n">
        <v>354573.12</v>
      </c>
      <c r="F722" s="9" t="n">
        <v>0</v>
      </c>
      <c r="G722" s="9" t="n">
        <v>0</v>
      </c>
      <c r="H722" s="9">
        <f>IF(D722="USD",E722*$N$1,E722)</f>
        <v/>
      </c>
      <c r="I722" s="9">
        <f>IF(D722="USD",F722*$N$1,F722)</f>
        <v/>
      </c>
      <c r="J722" s="9">
        <f>IF(D722="USD",G722*$N$1,G722)</f>
        <v/>
      </c>
      <c r="K722" s="9">
        <f>H722+I722</f>
        <v/>
      </c>
    </row>
    <row r="723">
      <c r="A723" s="8" t="n">
        <v>46095</v>
      </c>
      <c r="B723" t="inlineStr">
        <is>
          <t>2026-W11</t>
        </is>
      </c>
      <c r="C723" t="inlineStr">
        <is>
          <t>Adyen</t>
        </is>
      </c>
      <c r="D723" t="inlineStr">
        <is>
          <t>EUR</t>
        </is>
      </c>
      <c r="E723" s="9" t="n">
        <v>53200.25</v>
      </c>
      <c r="F723" s="9" t="n">
        <v>0</v>
      </c>
      <c r="G723" s="9" t="n">
        <v>0</v>
      </c>
      <c r="H723" s="9">
        <f>IF(D723="USD",E723*$N$1,E723)</f>
        <v/>
      </c>
      <c r="I723" s="9">
        <f>IF(D723="USD",F723*$N$1,F723)</f>
        <v/>
      </c>
      <c r="J723" s="9">
        <f>IF(D723="USD",G723*$N$1,G723)</f>
        <v/>
      </c>
      <c r="K723" s="9">
        <f>H723+I723</f>
        <v/>
      </c>
    </row>
    <row r="724">
      <c r="A724" s="8" t="n">
        <v>46095</v>
      </c>
      <c r="B724" t="inlineStr">
        <is>
          <t>2026-W11</t>
        </is>
      </c>
      <c r="C724" t="inlineStr">
        <is>
          <t>Nuvei</t>
        </is>
      </c>
      <c r="D724" t="inlineStr">
        <is>
          <t>EUR</t>
        </is>
      </c>
      <c r="E724" s="9" t="n">
        <v>292190.93</v>
      </c>
      <c r="F724" s="9" t="n">
        <v>-8940.719999999999</v>
      </c>
      <c r="G724" s="9" t="n">
        <v>0</v>
      </c>
      <c r="H724" s="9">
        <f>IF(D724="USD",E724*$N$1,E724)</f>
        <v/>
      </c>
      <c r="I724" s="9">
        <f>IF(D724="USD",F724*$N$1,F724)</f>
        <v/>
      </c>
      <c r="J724" s="9">
        <f>IF(D724="USD",G724*$N$1,G724)</f>
        <v/>
      </c>
      <c r="K724" s="9">
        <f>H724+I724</f>
        <v/>
      </c>
    </row>
    <row r="725">
      <c r="A725" s="8" t="n">
        <v>46095</v>
      </c>
      <c r="B725" t="inlineStr">
        <is>
          <t>2026-W11</t>
        </is>
      </c>
      <c r="C725" t="inlineStr">
        <is>
          <t>Nuvei</t>
        </is>
      </c>
      <c r="D725" t="inlineStr">
        <is>
          <t>EUR</t>
        </is>
      </c>
      <c r="E725" s="9" t="n">
        <v>36328.84</v>
      </c>
      <c r="F725" s="9" t="n">
        <v>-1496.29</v>
      </c>
      <c r="G725" s="9" t="n">
        <v>0</v>
      </c>
      <c r="H725" s="9">
        <f>IF(D725="USD",E725*$N$1,E725)</f>
        <v/>
      </c>
      <c r="I725" s="9">
        <f>IF(D725="USD",F725*$N$1,F725)</f>
        <v/>
      </c>
      <c r="J725" s="9">
        <f>IF(D725="USD",G725*$N$1,G725)</f>
        <v/>
      </c>
      <c r="K725" s="9">
        <f>H725+I725</f>
        <v/>
      </c>
    </row>
    <row r="726">
      <c r="A726" s="8" t="n">
        <v>46096</v>
      </c>
      <c r="B726" t="inlineStr">
        <is>
          <t>2026-W11</t>
        </is>
      </c>
      <c r="C726" t="inlineStr">
        <is>
          <t>Adyen</t>
        </is>
      </c>
      <c r="D726" t="inlineStr">
        <is>
          <t>EUR</t>
        </is>
      </c>
      <c r="E726" s="9" t="n">
        <v>358195.23</v>
      </c>
      <c r="F726" s="9" t="n">
        <v>0</v>
      </c>
      <c r="G726" s="9" t="n">
        <v>0</v>
      </c>
      <c r="H726" s="9">
        <f>IF(D726="USD",E726*$N$1,E726)</f>
        <v/>
      </c>
      <c r="I726" s="9">
        <f>IF(D726="USD",F726*$N$1,F726)</f>
        <v/>
      </c>
      <c r="J726" s="9">
        <f>IF(D726="USD",G726*$N$1,G726)</f>
        <v/>
      </c>
      <c r="K726" s="9">
        <f>H726+I726</f>
        <v/>
      </c>
    </row>
    <row r="727">
      <c r="A727" s="8" t="n">
        <v>46096</v>
      </c>
      <c r="B727" t="inlineStr">
        <is>
          <t>2026-W11</t>
        </is>
      </c>
      <c r="C727" t="inlineStr">
        <is>
          <t>Adyen</t>
        </is>
      </c>
      <c r="D727" t="inlineStr">
        <is>
          <t>EUR</t>
        </is>
      </c>
      <c r="E727" s="9" t="n">
        <v>44199.43</v>
      </c>
      <c r="F727" s="9" t="n">
        <v>0</v>
      </c>
      <c r="G727" s="9" t="n">
        <v>0</v>
      </c>
      <c r="H727" s="9">
        <f>IF(D727="USD",E727*$N$1,E727)</f>
        <v/>
      </c>
      <c r="I727" s="9">
        <f>IF(D727="USD",F727*$N$1,F727)</f>
        <v/>
      </c>
      <c r="J727" s="9">
        <f>IF(D727="USD",G727*$N$1,G727)</f>
        <v/>
      </c>
      <c r="K727" s="9">
        <f>H727+I727</f>
        <v/>
      </c>
    </row>
    <row r="728">
      <c r="A728" s="8" t="n">
        <v>46096</v>
      </c>
      <c r="B728" t="inlineStr">
        <is>
          <t>2026-W11</t>
        </is>
      </c>
      <c r="C728" t="inlineStr">
        <is>
          <t>Nuvei</t>
        </is>
      </c>
      <c r="D728" t="inlineStr">
        <is>
          <t>EUR</t>
        </is>
      </c>
      <c r="E728" s="9" t="n">
        <v>699281.24</v>
      </c>
      <c r="F728" s="9" t="n">
        <v>-10324.58</v>
      </c>
      <c r="G728" s="9" t="n">
        <v>0</v>
      </c>
      <c r="H728" s="9">
        <f>IF(D728="USD",E728*$N$1,E728)</f>
        <v/>
      </c>
      <c r="I728" s="9">
        <f>IF(D728="USD",F728*$N$1,F728)</f>
        <v/>
      </c>
      <c r="J728" s="9">
        <f>IF(D728="USD",G728*$N$1,G728)</f>
        <v/>
      </c>
      <c r="K728" s="9">
        <f>H728+I728</f>
        <v/>
      </c>
    </row>
    <row r="729">
      <c r="A729" s="8" t="n">
        <v>46096</v>
      </c>
      <c r="B729" t="inlineStr">
        <is>
          <t>2026-W11</t>
        </is>
      </c>
      <c r="C729" t="inlineStr">
        <is>
          <t>Nuvei</t>
        </is>
      </c>
      <c r="D729" t="inlineStr">
        <is>
          <t>EUR</t>
        </is>
      </c>
      <c r="E729" s="9" t="n">
        <v>28978.49</v>
      </c>
      <c r="F729" s="9" t="n">
        <v>-987.64</v>
      </c>
      <c r="G729" s="9" t="n">
        <v>0</v>
      </c>
      <c r="H729" s="9">
        <f>IF(D729="USD",E729*$N$1,E729)</f>
        <v/>
      </c>
      <c r="I729" s="9">
        <f>IF(D729="USD",F729*$N$1,F729)</f>
        <v/>
      </c>
      <c r="J729" s="9">
        <f>IF(D729="USD",G729*$N$1,G729)</f>
        <v/>
      </c>
      <c r="K729" s="9">
        <f>H729+I729</f>
        <v/>
      </c>
    </row>
    <row r="730">
      <c r="A730" s="8" t="n">
        <v>46097</v>
      </c>
      <c r="B730" t="inlineStr">
        <is>
          <t>2026-W12</t>
        </is>
      </c>
      <c r="C730" t="inlineStr">
        <is>
          <t>Adyen</t>
        </is>
      </c>
      <c r="D730" t="inlineStr">
        <is>
          <t>EUR</t>
        </is>
      </c>
      <c r="E730" s="9" t="n">
        <v>0</v>
      </c>
      <c r="F730" s="9" t="n">
        <v>0</v>
      </c>
      <c r="G730" s="9" t="n">
        <v>-621637.6699999999</v>
      </c>
      <c r="H730" s="9">
        <f>IF(D730="USD",E730*$N$1,E730)</f>
        <v/>
      </c>
      <c r="I730" s="9">
        <f>IF(D730="USD",F730*$N$1,F730)</f>
        <v/>
      </c>
      <c r="J730" s="9">
        <f>IF(D730="USD",G730*$N$1,G730)</f>
        <v/>
      </c>
      <c r="K730" s="9">
        <f>H730+I730</f>
        <v/>
      </c>
    </row>
    <row r="731">
      <c r="A731" s="8" t="n">
        <v>46097</v>
      </c>
      <c r="B731" t="inlineStr">
        <is>
          <t>2026-W12</t>
        </is>
      </c>
      <c r="C731" t="inlineStr">
        <is>
          <t>Adyen</t>
        </is>
      </c>
      <c r="D731" t="inlineStr">
        <is>
          <t>EUR</t>
        </is>
      </c>
      <c r="E731" s="9" t="n">
        <v>506998.04</v>
      </c>
      <c r="F731" s="9" t="n">
        <v>-11951.52000000002</v>
      </c>
      <c r="G731" s="9" t="n">
        <v>0</v>
      </c>
      <c r="H731" s="9">
        <f>IF(D731="USD",E731*$N$1,E731)</f>
        <v/>
      </c>
      <c r="I731" s="9">
        <f>IF(D731="USD",F731*$N$1,F731)</f>
        <v/>
      </c>
      <c r="J731" s="9">
        <f>IF(D731="USD",G731*$N$1,G731)</f>
        <v/>
      </c>
      <c r="K731" s="9">
        <f>H731+I731</f>
        <v/>
      </c>
    </row>
    <row r="732">
      <c r="A732" s="8" t="n">
        <v>46097</v>
      </c>
      <c r="B732" t="inlineStr">
        <is>
          <t>2026-W12</t>
        </is>
      </c>
      <c r="C732" t="inlineStr">
        <is>
          <t>Adyen</t>
        </is>
      </c>
      <c r="D732" t="inlineStr">
        <is>
          <t>EUR</t>
        </is>
      </c>
      <c r="E732" s="9" t="n">
        <v>61018.84</v>
      </c>
      <c r="F732" s="9" t="n">
        <v>0</v>
      </c>
      <c r="G732" s="9" t="n">
        <v>0</v>
      </c>
      <c r="H732" s="9">
        <f>IF(D732="USD",E732*$N$1,E732)</f>
        <v/>
      </c>
      <c r="I732" s="9">
        <f>IF(D732="USD",F732*$N$1,F732)</f>
        <v/>
      </c>
      <c r="J732" s="9">
        <f>IF(D732="USD",G732*$N$1,G732)</f>
        <v/>
      </c>
      <c r="K732" s="9">
        <f>H732+I732</f>
        <v/>
      </c>
    </row>
    <row r="733">
      <c r="A733" s="8" t="n">
        <v>46097</v>
      </c>
      <c r="B733" t="inlineStr">
        <is>
          <t>2026-W12</t>
        </is>
      </c>
      <c r="C733" t="inlineStr">
        <is>
          <t>Nuvei</t>
        </is>
      </c>
      <c r="D733" t="inlineStr">
        <is>
          <t>EUR</t>
        </is>
      </c>
      <c r="E733" s="9" t="n">
        <v>0</v>
      </c>
      <c r="F733" s="9" t="n">
        <v>0</v>
      </c>
      <c r="G733" s="9" t="n">
        <v>-939124.87</v>
      </c>
      <c r="H733" s="9">
        <f>IF(D733="USD",E733*$N$1,E733)</f>
        <v/>
      </c>
      <c r="I733" s="9">
        <f>IF(D733="USD",F733*$N$1,F733)</f>
        <v/>
      </c>
      <c r="J733" s="9">
        <f>IF(D733="USD",G733*$N$1,G733)</f>
        <v/>
      </c>
      <c r="K733" s="9">
        <f>H733+I733</f>
        <v/>
      </c>
    </row>
    <row r="734">
      <c r="A734" s="8" t="n">
        <v>46097</v>
      </c>
      <c r="B734" t="inlineStr">
        <is>
          <t>2026-W12</t>
        </is>
      </c>
      <c r="C734" t="inlineStr">
        <is>
          <t>Nuvei</t>
        </is>
      </c>
      <c r="D734" t="inlineStr">
        <is>
          <t>EUR</t>
        </is>
      </c>
      <c r="E734" s="9" t="n">
        <v>0</v>
      </c>
      <c r="F734" s="9" t="n">
        <v>0</v>
      </c>
      <c r="G734" s="9" t="n">
        <v>-73176.86</v>
      </c>
      <c r="H734" s="9">
        <f>IF(D734="USD",E734*$N$1,E734)</f>
        <v/>
      </c>
      <c r="I734" s="9">
        <f>IF(D734="USD",F734*$N$1,F734)</f>
        <v/>
      </c>
      <c r="J734" s="9">
        <f>IF(D734="USD",G734*$N$1,G734)</f>
        <v/>
      </c>
      <c r="K734" s="9">
        <f>H734+I734</f>
        <v/>
      </c>
    </row>
    <row r="735">
      <c r="A735" s="8" t="n">
        <v>46097</v>
      </c>
      <c r="B735" t="inlineStr">
        <is>
          <t>2026-W12</t>
        </is>
      </c>
      <c r="C735" t="inlineStr">
        <is>
          <t>Nuvei</t>
        </is>
      </c>
      <c r="D735" t="inlineStr">
        <is>
          <t>EUR</t>
        </is>
      </c>
      <c r="E735" s="9" t="n">
        <v>752933.11</v>
      </c>
      <c r="F735" s="9" t="n">
        <v>-10732.82</v>
      </c>
      <c r="G735" s="9" t="n">
        <v>0</v>
      </c>
      <c r="H735" s="9">
        <f>IF(D735="USD",E735*$N$1,E735)</f>
        <v/>
      </c>
      <c r="I735" s="9">
        <f>IF(D735="USD",F735*$N$1,F735)</f>
        <v/>
      </c>
      <c r="J735" s="9">
        <f>IF(D735="USD",G735*$N$1,G735)</f>
        <v/>
      </c>
      <c r="K735" s="9">
        <f>H735+I735</f>
        <v/>
      </c>
    </row>
    <row r="736">
      <c r="A736" s="8" t="n">
        <v>46097</v>
      </c>
      <c r="B736" t="inlineStr">
        <is>
          <t>2026-W12</t>
        </is>
      </c>
      <c r="C736" t="inlineStr">
        <is>
          <t>Nuvei</t>
        </is>
      </c>
      <c r="D736" t="inlineStr">
        <is>
          <t>EUR</t>
        </is>
      </c>
      <c r="E736" s="9" t="n">
        <v>67670.92999999999</v>
      </c>
      <c r="F736" s="9" t="n">
        <v>-1843.81</v>
      </c>
      <c r="G736" s="9" t="n">
        <v>0</v>
      </c>
      <c r="H736" s="9">
        <f>IF(D736="USD",E736*$N$1,E736)</f>
        <v/>
      </c>
      <c r="I736" s="9">
        <f>IF(D736="USD",F736*$N$1,F736)</f>
        <v/>
      </c>
      <c r="J736" s="9">
        <f>IF(D736="USD",G736*$N$1,G736)</f>
        <v/>
      </c>
      <c r="K736" s="9">
        <f>H736+I736</f>
        <v/>
      </c>
    </row>
    <row r="737">
      <c r="A737" s="8" t="n">
        <v>46098</v>
      </c>
      <c r="B737" t="inlineStr">
        <is>
          <t>2026-W12</t>
        </is>
      </c>
      <c r="C737" t="inlineStr">
        <is>
          <t>Adyen</t>
        </is>
      </c>
      <c r="D737" t="inlineStr">
        <is>
          <t>EUR</t>
        </is>
      </c>
      <c r="E737" s="9" t="n">
        <v>0</v>
      </c>
      <c r="F737" s="9" t="n">
        <v>0</v>
      </c>
      <c r="G737" s="9" t="n">
        <v>-1351967.15</v>
      </c>
      <c r="H737" s="9">
        <f>IF(D737="USD",E737*$N$1,E737)</f>
        <v/>
      </c>
      <c r="I737" s="9">
        <f>IF(D737="USD",F737*$N$1,F737)</f>
        <v/>
      </c>
      <c r="J737" s="9">
        <f>IF(D737="USD",G737*$N$1,G737)</f>
        <v/>
      </c>
      <c r="K737" s="9">
        <f>H737+I737</f>
        <v/>
      </c>
    </row>
    <row r="738">
      <c r="A738" s="8" t="n">
        <v>46098</v>
      </c>
      <c r="B738" t="inlineStr">
        <is>
          <t>2026-W12</t>
        </is>
      </c>
      <c r="C738" t="inlineStr">
        <is>
          <t>Adyen</t>
        </is>
      </c>
      <c r="D738" t="inlineStr">
        <is>
          <t>EUR</t>
        </is>
      </c>
      <c r="E738" s="9" t="n">
        <v>597566.72</v>
      </c>
      <c r="F738" s="9" t="n">
        <v>-6589.149999999907</v>
      </c>
      <c r="G738" s="9" t="n">
        <v>0</v>
      </c>
      <c r="H738" s="9">
        <f>IF(D738="USD",E738*$N$1,E738)</f>
        <v/>
      </c>
      <c r="I738" s="9">
        <f>IF(D738="USD",F738*$N$1,F738)</f>
        <v/>
      </c>
      <c r="J738" s="9">
        <f>IF(D738="USD",G738*$N$1,G738)</f>
        <v/>
      </c>
      <c r="K738" s="9">
        <f>H738+I738</f>
        <v/>
      </c>
    </row>
    <row r="739">
      <c r="A739" s="8" t="n">
        <v>46098</v>
      </c>
      <c r="B739" t="inlineStr">
        <is>
          <t>2026-W12</t>
        </is>
      </c>
      <c r="C739" t="inlineStr">
        <is>
          <t>Adyen</t>
        </is>
      </c>
      <c r="D739" t="inlineStr">
        <is>
          <t>EUR</t>
        </is>
      </c>
      <c r="E739" s="9" t="n">
        <v>87973.05</v>
      </c>
      <c r="F739" s="9" t="n">
        <v>0</v>
      </c>
      <c r="G739" s="9" t="n">
        <v>0</v>
      </c>
      <c r="H739" s="9">
        <f>IF(D739="USD",E739*$N$1,E739)</f>
        <v/>
      </c>
      <c r="I739" s="9">
        <f>IF(D739="USD",F739*$N$1,F739)</f>
        <v/>
      </c>
      <c r="J739" s="9">
        <f>IF(D739="USD",G739*$N$1,G739)</f>
        <v/>
      </c>
      <c r="K739" s="9">
        <f>H739+I739</f>
        <v/>
      </c>
    </row>
    <row r="740">
      <c r="A740" s="8" t="n">
        <v>46098</v>
      </c>
      <c r="B740" t="inlineStr">
        <is>
          <t>2026-W12</t>
        </is>
      </c>
      <c r="C740" t="inlineStr">
        <is>
          <t>Nuvei</t>
        </is>
      </c>
      <c r="D740" t="inlineStr">
        <is>
          <t>EUR</t>
        </is>
      </c>
      <c r="E740" s="9" t="n">
        <v>0</v>
      </c>
      <c r="F740" s="9" t="n">
        <v>0</v>
      </c>
      <c r="G740" s="9" t="n">
        <v>-998430.25</v>
      </c>
      <c r="H740" s="9">
        <f>IF(D740="USD",E740*$N$1,E740)</f>
        <v/>
      </c>
      <c r="I740" s="9">
        <f>IF(D740="USD",F740*$N$1,F740)</f>
        <v/>
      </c>
      <c r="J740" s="9">
        <f>IF(D740="USD",G740*$N$1,G740)</f>
        <v/>
      </c>
      <c r="K740" s="9">
        <f>H740+I740</f>
        <v/>
      </c>
    </row>
    <row r="741">
      <c r="A741" s="8" t="n">
        <v>46098</v>
      </c>
      <c r="B741" t="inlineStr">
        <is>
          <t>2026-W12</t>
        </is>
      </c>
      <c r="C741" t="inlineStr">
        <is>
          <t>Nuvei</t>
        </is>
      </c>
      <c r="D741" t="inlineStr">
        <is>
          <t>EUR</t>
        </is>
      </c>
      <c r="E741" s="9" t="n">
        <v>0</v>
      </c>
      <c r="F741" s="9" t="n">
        <v>0</v>
      </c>
      <c r="G741" s="9" t="n">
        <v>-80015.2</v>
      </c>
      <c r="H741" s="9">
        <f>IF(D741="USD",E741*$N$1,E741)</f>
        <v/>
      </c>
      <c r="I741" s="9">
        <f>IF(D741="USD",F741*$N$1,F741)</f>
        <v/>
      </c>
      <c r="J741" s="9">
        <f>IF(D741="USD",G741*$N$1,G741)</f>
        <v/>
      </c>
      <c r="K741" s="9">
        <f>H741+I741</f>
        <v/>
      </c>
    </row>
    <row r="742">
      <c r="A742" s="8" t="n">
        <v>46098</v>
      </c>
      <c r="B742" t="inlineStr">
        <is>
          <t>2026-W12</t>
        </is>
      </c>
      <c r="C742" t="inlineStr">
        <is>
          <t>Nuvei</t>
        </is>
      </c>
      <c r="D742" t="inlineStr">
        <is>
          <t>EUR</t>
        </is>
      </c>
      <c r="E742" s="9" t="n">
        <v>691779.8100000001</v>
      </c>
      <c r="F742" s="9" t="n">
        <v>-9910.559999999999</v>
      </c>
      <c r="G742" s="9" t="n">
        <v>0</v>
      </c>
      <c r="H742" s="9">
        <f>IF(D742="USD",E742*$N$1,E742)</f>
        <v/>
      </c>
      <c r="I742" s="9">
        <f>IF(D742="USD",F742*$N$1,F742)</f>
        <v/>
      </c>
      <c r="J742" s="9">
        <f>IF(D742="USD",G742*$N$1,G742)</f>
        <v/>
      </c>
      <c r="K742" s="9">
        <f>H742+I742</f>
        <v/>
      </c>
    </row>
    <row r="743">
      <c r="A743" s="8" t="n">
        <v>46098</v>
      </c>
      <c r="B743" t="inlineStr">
        <is>
          <t>2026-W12</t>
        </is>
      </c>
      <c r="C743" t="inlineStr">
        <is>
          <t>Nuvei</t>
        </is>
      </c>
      <c r="D743" t="inlineStr">
        <is>
          <t>EUR</t>
        </is>
      </c>
      <c r="E743" s="9" t="n">
        <v>87138.2</v>
      </c>
      <c r="F743" s="9" t="n">
        <v>-2244.34</v>
      </c>
      <c r="G743" s="9" t="n">
        <v>0</v>
      </c>
      <c r="H743" s="9">
        <f>IF(D743="USD",E743*$N$1,E743)</f>
        <v/>
      </c>
      <c r="I743" s="9">
        <f>IF(D743="USD",F743*$N$1,F743)</f>
        <v/>
      </c>
      <c r="J743" s="9">
        <f>IF(D743="USD",G743*$N$1,G743)</f>
        <v/>
      </c>
      <c r="K743" s="9">
        <f>H743+I743</f>
        <v/>
      </c>
    </row>
    <row r="744">
      <c r="A744" s="8" t="n">
        <v>46099</v>
      </c>
      <c r="B744" t="inlineStr">
        <is>
          <t>2026-W12</t>
        </is>
      </c>
      <c r="C744" t="inlineStr">
        <is>
          <t>Adyen</t>
        </is>
      </c>
      <c r="D744" t="inlineStr">
        <is>
          <t>EUR</t>
        </is>
      </c>
      <c r="E744" s="9" t="n">
        <v>0</v>
      </c>
      <c r="F744" s="9" t="n">
        <v>0</v>
      </c>
      <c r="G744" s="9" t="n">
        <v>-556065.36</v>
      </c>
      <c r="H744" s="9">
        <f>IF(D744="USD",E744*$N$1,E744)</f>
        <v/>
      </c>
      <c r="I744" s="9">
        <f>IF(D744="USD",F744*$N$1,F744)</f>
        <v/>
      </c>
      <c r="J744" s="9">
        <f>IF(D744="USD",G744*$N$1,G744)</f>
        <v/>
      </c>
      <c r="K744" s="9">
        <f>H744+I744</f>
        <v/>
      </c>
    </row>
    <row r="745">
      <c r="A745" s="8" t="n">
        <v>46099</v>
      </c>
      <c r="B745" t="inlineStr">
        <is>
          <t>2026-W12</t>
        </is>
      </c>
      <c r="C745" t="inlineStr">
        <is>
          <t>Adyen</t>
        </is>
      </c>
      <c r="D745" t="inlineStr">
        <is>
          <t>EUR</t>
        </is>
      </c>
      <c r="E745" s="9" t="n">
        <v>676838.02</v>
      </c>
      <c r="F745" s="9" t="n">
        <v>-4989.780000000028</v>
      </c>
      <c r="G745" s="9" t="n">
        <v>0</v>
      </c>
      <c r="H745" s="9">
        <f>IF(D745="USD",E745*$N$1,E745)</f>
        <v/>
      </c>
      <c r="I745" s="9">
        <f>IF(D745="USD",F745*$N$1,F745)</f>
        <v/>
      </c>
      <c r="J745" s="9">
        <f>IF(D745="USD",G745*$N$1,G745)</f>
        <v/>
      </c>
      <c r="K745" s="9">
        <f>H745+I745</f>
        <v/>
      </c>
    </row>
    <row r="746">
      <c r="A746" s="8" t="n">
        <v>46099</v>
      </c>
      <c r="B746" t="inlineStr">
        <is>
          <t>2026-W12</t>
        </is>
      </c>
      <c r="C746" t="inlineStr">
        <is>
          <t>Adyen</t>
        </is>
      </c>
      <c r="D746" t="inlineStr">
        <is>
          <t>EUR</t>
        </is>
      </c>
      <c r="E746" s="9" t="n">
        <v>95630.38</v>
      </c>
      <c r="F746" s="9" t="n">
        <v>0</v>
      </c>
      <c r="G746" s="9" t="n">
        <v>0</v>
      </c>
      <c r="H746" s="9">
        <f>IF(D746="USD",E746*$N$1,E746)</f>
        <v/>
      </c>
      <c r="I746" s="9">
        <f>IF(D746="USD",F746*$N$1,F746)</f>
        <v/>
      </c>
      <c r="J746" s="9">
        <f>IF(D746="USD",G746*$N$1,G746)</f>
        <v/>
      </c>
      <c r="K746" s="9">
        <f>H746+I746</f>
        <v/>
      </c>
    </row>
    <row r="747">
      <c r="A747" s="8" t="n">
        <v>46099</v>
      </c>
      <c r="B747" t="inlineStr">
        <is>
          <t>2026-W12</t>
        </is>
      </c>
      <c r="C747" t="inlineStr">
        <is>
          <t>Nuvei</t>
        </is>
      </c>
      <c r="D747" t="inlineStr">
        <is>
          <t>EUR</t>
        </is>
      </c>
      <c r="E747" s="9" t="n">
        <v>0</v>
      </c>
      <c r="F747" s="9" t="n">
        <v>0</v>
      </c>
      <c r="G747" s="9" t="n">
        <v>-977445.35</v>
      </c>
      <c r="H747" s="9">
        <f>IF(D747="USD",E747*$N$1,E747)</f>
        <v/>
      </c>
      <c r="I747" s="9">
        <f>IF(D747="USD",F747*$N$1,F747)</f>
        <v/>
      </c>
      <c r="J747" s="9">
        <f>IF(D747="USD",G747*$N$1,G747)</f>
        <v/>
      </c>
      <c r="K747" s="9">
        <f>H747+I747</f>
        <v/>
      </c>
    </row>
    <row r="748">
      <c r="A748" s="8" t="n">
        <v>46099</v>
      </c>
      <c r="B748" t="inlineStr">
        <is>
          <t>2026-W12</t>
        </is>
      </c>
      <c r="C748" t="inlineStr">
        <is>
          <t>Nuvei</t>
        </is>
      </c>
      <c r="D748" t="inlineStr">
        <is>
          <t>EUR</t>
        </is>
      </c>
      <c r="E748" s="9" t="n">
        <v>0</v>
      </c>
      <c r="F748" s="9" t="n">
        <v>0</v>
      </c>
      <c r="G748" s="9" t="n">
        <v>-57634.04</v>
      </c>
      <c r="H748" s="9">
        <f>IF(D748="USD",E748*$N$1,E748)</f>
        <v/>
      </c>
      <c r="I748" s="9">
        <f>IF(D748="USD",F748*$N$1,F748)</f>
        <v/>
      </c>
      <c r="J748" s="9">
        <f>IF(D748="USD",G748*$N$1,G748)</f>
        <v/>
      </c>
      <c r="K748" s="9">
        <f>H748+I748</f>
        <v/>
      </c>
    </row>
    <row r="749">
      <c r="A749" s="8" t="n">
        <v>46099</v>
      </c>
      <c r="B749" t="inlineStr">
        <is>
          <t>2026-W12</t>
        </is>
      </c>
      <c r="C749" t="inlineStr">
        <is>
          <t>Nuvei</t>
        </is>
      </c>
      <c r="D749" t="inlineStr">
        <is>
          <t>EUR</t>
        </is>
      </c>
      <c r="E749" s="9" t="n">
        <v>818951.26</v>
      </c>
      <c r="F749" s="9" t="n">
        <v>-9976.65</v>
      </c>
      <c r="G749" s="9" t="n">
        <v>0</v>
      </c>
      <c r="H749" s="9">
        <f>IF(D749="USD",E749*$N$1,E749)</f>
        <v/>
      </c>
      <c r="I749" s="9">
        <f>IF(D749="USD",F749*$N$1,F749)</f>
        <v/>
      </c>
      <c r="J749" s="9">
        <f>IF(D749="USD",G749*$N$1,G749)</f>
        <v/>
      </c>
      <c r="K749" s="9">
        <f>H749+I749</f>
        <v/>
      </c>
    </row>
    <row r="750">
      <c r="A750" s="8" t="n">
        <v>46099</v>
      </c>
      <c r="B750" t="inlineStr">
        <is>
          <t>2026-W12</t>
        </is>
      </c>
      <c r="C750" t="inlineStr">
        <is>
          <t>Nuvei</t>
        </is>
      </c>
      <c r="D750" t="inlineStr">
        <is>
          <t>EUR</t>
        </is>
      </c>
      <c r="E750" s="9" t="n">
        <v>55886.07</v>
      </c>
      <c r="F750" s="9" t="n">
        <v>-1423.84</v>
      </c>
      <c r="G750" s="9" t="n">
        <v>0</v>
      </c>
      <c r="H750" s="9">
        <f>IF(D750="USD",E750*$N$1,E750)</f>
        <v/>
      </c>
      <c r="I750" s="9">
        <f>IF(D750="USD",F750*$N$1,F750)</f>
        <v/>
      </c>
      <c r="J750" s="9">
        <f>IF(D750="USD",G750*$N$1,G750)</f>
        <v/>
      </c>
      <c r="K750" s="9">
        <f>H750+I750</f>
        <v/>
      </c>
    </row>
    <row r="751">
      <c r="A751" s="8" t="n">
        <v>46100</v>
      </c>
      <c r="B751" t="inlineStr">
        <is>
          <t>2026-W12</t>
        </is>
      </c>
      <c r="C751" t="inlineStr">
        <is>
          <t>Adyen</t>
        </is>
      </c>
      <c r="D751" t="inlineStr">
        <is>
          <t>EUR</t>
        </is>
      </c>
      <c r="E751" s="9" t="n">
        <v>0</v>
      </c>
      <c r="F751" s="9" t="n">
        <v>0</v>
      </c>
      <c r="G751" s="9" t="n">
        <v>-678950.6200000001</v>
      </c>
      <c r="H751" s="9">
        <f>IF(D751="USD",E751*$N$1,E751)</f>
        <v/>
      </c>
      <c r="I751" s="9">
        <f>IF(D751="USD",F751*$N$1,F751)</f>
        <v/>
      </c>
      <c r="J751" s="9">
        <f>IF(D751="USD",G751*$N$1,G751)</f>
        <v/>
      </c>
      <c r="K751" s="9">
        <f>H751+I751</f>
        <v/>
      </c>
    </row>
    <row r="752">
      <c r="A752" s="8" t="n">
        <v>46100</v>
      </c>
      <c r="B752" t="inlineStr">
        <is>
          <t>2026-W12</t>
        </is>
      </c>
      <c r="C752" t="inlineStr">
        <is>
          <t>Adyen</t>
        </is>
      </c>
      <c r="D752" t="inlineStr">
        <is>
          <t>EUR</t>
        </is>
      </c>
      <c r="E752" s="9" t="n">
        <v>517552.84</v>
      </c>
      <c r="F752" s="9" t="n">
        <v>-3408.529999999912</v>
      </c>
      <c r="G752" s="9" t="n">
        <v>0</v>
      </c>
      <c r="H752" s="9">
        <f>IF(D752="USD",E752*$N$1,E752)</f>
        <v/>
      </c>
      <c r="I752" s="9">
        <f>IF(D752="USD",F752*$N$1,F752)</f>
        <v/>
      </c>
      <c r="J752" s="9">
        <f>IF(D752="USD",G752*$N$1,G752)</f>
        <v/>
      </c>
      <c r="K752" s="9">
        <f>H752+I752</f>
        <v/>
      </c>
    </row>
    <row r="753">
      <c r="A753" s="8" t="n">
        <v>46100</v>
      </c>
      <c r="B753" t="inlineStr">
        <is>
          <t>2026-W12</t>
        </is>
      </c>
      <c r="C753" t="inlineStr">
        <is>
          <t>Adyen</t>
        </is>
      </c>
      <c r="D753" t="inlineStr">
        <is>
          <t>EUR</t>
        </is>
      </c>
      <c r="E753" s="9" t="n">
        <v>73282.88</v>
      </c>
      <c r="F753" s="9" t="n">
        <v>0</v>
      </c>
      <c r="G753" s="9" t="n">
        <v>0</v>
      </c>
      <c r="H753" s="9">
        <f>IF(D753="USD",E753*$N$1,E753)</f>
        <v/>
      </c>
      <c r="I753" s="9">
        <f>IF(D753="USD",F753*$N$1,F753)</f>
        <v/>
      </c>
      <c r="J753" s="9">
        <f>IF(D753="USD",G753*$N$1,G753)</f>
        <v/>
      </c>
      <c r="K753" s="9">
        <f>H753+I753</f>
        <v/>
      </c>
    </row>
    <row r="754">
      <c r="A754" s="8" t="n">
        <v>46100</v>
      </c>
      <c r="B754" t="inlineStr">
        <is>
          <t>2026-W12</t>
        </is>
      </c>
      <c r="C754" t="inlineStr">
        <is>
          <t>Nuvei</t>
        </is>
      </c>
      <c r="D754" t="inlineStr">
        <is>
          <t>EUR</t>
        </is>
      </c>
      <c r="E754" s="9" t="n">
        <v>0</v>
      </c>
      <c r="F754" s="9" t="n">
        <v>0</v>
      </c>
      <c r="G754" s="9" t="n">
        <v>-767754.21</v>
      </c>
      <c r="H754" s="9">
        <f>IF(D754="USD",E754*$N$1,E754)</f>
        <v/>
      </c>
      <c r="I754" s="9">
        <f>IF(D754="USD",F754*$N$1,F754)</f>
        <v/>
      </c>
      <c r="J754" s="9">
        <f>IF(D754="USD",G754*$N$1,G754)</f>
        <v/>
      </c>
      <c r="K754" s="9">
        <f>H754+I754</f>
        <v/>
      </c>
    </row>
    <row r="755">
      <c r="A755" s="8" t="n">
        <v>46100</v>
      </c>
      <c r="B755" t="inlineStr">
        <is>
          <t>2026-W12</t>
        </is>
      </c>
      <c r="C755" t="inlineStr">
        <is>
          <t>Nuvei</t>
        </is>
      </c>
      <c r="D755" t="inlineStr">
        <is>
          <t>EUR</t>
        </is>
      </c>
      <c r="E755" s="9" t="n">
        <v>0</v>
      </c>
      <c r="F755" s="9" t="n">
        <v>0</v>
      </c>
      <c r="G755" s="9" t="n">
        <v>-49098.36</v>
      </c>
      <c r="H755" s="9">
        <f>IF(D755="USD",E755*$N$1,E755)</f>
        <v/>
      </c>
      <c r="I755" s="9">
        <f>IF(D755="USD",F755*$N$1,F755)</f>
        <v/>
      </c>
      <c r="J755" s="9">
        <f>IF(D755="USD",G755*$N$1,G755)</f>
        <v/>
      </c>
      <c r="K755" s="9">
        <f>H755+I755</f>
        <v/>
      </c>
    </row>
    <row r="756">
      <c r="A756" s="8" t="n">
        <v>46100</v>
      </c>
      <c r="B756" t="inlineStr">
        <is>
          <t>2026-W12</t>
        </is>
      </c>
      <c r="C756" t="inlineStr">
        <is>
          <t>Nuvei</t>
        </is>
      </c>
      <c r="D756" t="inlineStr">
        <is>
          <t>EUR</t>
        </is>
      </c>
      <c r="E756" s="9" t="n">
        <v>954803.63</v>
      </c>
      <c r="F756" s="9" t="n">
        <v>-11178.63</v>
      </c>
      <c r="G756" s="9" t="n">
        <v>0</v>
      </c>
      <c r="H756" s="9">
        <f>IF(D756="USD",E756*$N$1,E756)</f>
        <v/>
      </c>
      <c r="I756" s="9">
        <f>IF(D756="USD",F756*$N$1,F756)</f>
        <v/>
      </c>
      <c r="J756" s="9">
        <f>IF(D756="USD",G756*$N$1,G756)</f>
        <v/>
      </c>
      <c r="K756" s="9">
        <f>H756+I756</f>
        <v/>
      </c>
    </row>
    <row r="757">
      <c r="A757" s="8" t="n">
        <v>46100</v>
      </c>
      <c r="B757" t="inlineStr">
        <is>
          <t>2026-W12</t>
        </is>
      </c>
      <c r="C757" t="inlineStr">
        <is>
          <t>Nuvei</t>
        </is>
      </c>
      <c r="D757" t="inlineStr">
        <is>
          <t>EUR</t>
        </is>
      </c>
      <c r="E757" s="9" t="n">
        <v>65265.32</v>
      </c>
      <c r="F757" s="9" t="n">
        <v>-1758.09</v>
      </c>
      <c r="G757" s="9" t="n">
        <v>0</v>
      </c>
      <c r="H757" s="9">
        <f>IF(D757="USD",E757*$N$1,E757)</f>
        <v/>
      </c>
      <c r="I757" s="9">
        <f>IF(D757="USD",F757*$N$1,F757)</f>
        <v/>
      </c>
      <c r="J757" s="9">
        <f>IF(D757="USD",G757*$N$1,G757)</f>
        <v/>
      </c>
      <c r="K757" s="9">
        <f>H757+I757</f>
        <v/>
      </c>
    </row>
    <row r="758">
      <c r="A758" s="8" t="n">
        <v>46101</v>
      </c>
      <c r="B758" t="inlineStr">
        <is>
          <t>2026-W12</t>
        </is>
      </c>
      <c r="C758" t="inlineStr">
        <is>
          <t>Adyen</t>
        </is>
      </c>
      <c r="D758" t="inlineStr">
        <is>
          <t>EUR</t>
        </is>
      </c>
      <c r="E758" s="9" t="n">
        <v>0</v>
      </c>
      <c r="F758" s="9" t="n">
        <v>0</v>
      </c>
      <c r="G758" s="9" t="n">
        <v>-767478.62</v>
      </c>
      <c r="H758" s="9">
        <f>IF(D758="USD",E758*$N$1,E758)</f>
        <v/>
      </c>
      <c r="I758" s="9">
        <f>IF(D758="USD",F758*$N$1,F758)</f>
        <v/>
      </c>
      <c r="J758" s="9">
        <f>IF(D758="USD",G758*$N$1,G758)</f>
        <v/>
      </c>
      <c r="K758" s="9">
        <f>H758+I758</f>
        <v/>
      </c>
    </row>
    <row r="759">
      <c r="A759" s="8" t="n">
        <v>46101</v>
      </c>
      <c r="B759" t="inlineStr">
        <is>
          <t>2026-W12</t>
        </is>
      </c>
      <c r="C759" t="inlineStr">
        <is>
          <t>Adyen</t>
        </is>
      </c>
      <c r="D759" t="inlineStr">
        <is>
          <t>EUR</t>
        </is>
      </c>
      <c r="E759" s="9" t="n">
        <v>503898.11</v>
      </c>
      <c r="F759" s="9" t="n">
        <v>-20196.42000000016</v>
      </c>
      <c r="G759" s="9" t="n">
        <v>0</v>
      </c>
      <c r="H759" s="9">
        <f>IF(D759="USD",E759*$N$1,E759)</f>
        <v/>
      </c>
      <c r="I759" s="9">
        <f>IF(D759="USD",F759*$N$1,F759)</f>
        <v/>
      </c>
      <c r="J759" s="9">
        <f>IF(D759="USD",G759*$N$1,G759)</f>
        <v/>
      </c>
      <c r="K759" s="9">
        <f>H759+I759</f>
        <v/>
      </c>
    </row>
    <row r="760">
      <c r="A760" s="8" t="n">
        <v>46101</v>
      </c>
      <c r="B760" t="inlineStr">
        <is>
          <t>2026-W12</t>
        </is>
      </c>
      <c r="C760" t="inlineStr">
        <is>
          <t>Adyen</t>
        </is>
      </c>
      <c r="D760" t="inlineStr">
        <is>
          <t>EUR</t>
        </is>
      </c>
      <c r="E760" s="9" t="n">
        <v>86253.89</v>
      </c>
      <c r="F760" s="9" t="n">
        <v>0</v>
      </c>
      <c r="G760" s="9" t="n">
        <v>0</v>
      </c>
      <c r="H760" s="9">
        <f>IF(D760="USD",E760*$N$1,E760)</f>
        <v/>
      </c>
      <c r="I760" s="9">
        <f>IF(D760="USD",F760*$N$1,F760)</f>
        <v/>
      </c>
      <c r="J760" s="9">
        <f>IF(D760="USD",G760*$N$1,G760)</f>
        <v/>
      </c>
      <c r="K760" s="9">
        <f>H760+I760</f>
        <v/>
      </c>
    </row>
    <row r="761">
      <c r="A761" s="8" t="n">
        <v>46101</v>
      </c>
      <c r="B761" t="inlineStr">
        <is>
          <t>2026-W12</t>
        </is>
      </c>
      <c r="C761" t="inlineStr">
        <is>
          <t>Nuvei</t>
        </is>
      </c>
      <c r="D761" t="inlineStr">
        <is>
          <t>EUR</t>
        </is>
      </c>
      <c r="E761" s="9" t="n">
        <v>0</v>
      </c>
      <c r="F761" s="9" t="n">
        <v>0</v>
      </c>
      <c r="G761" s="9" t="n">
        <v>-1714403.68</v>
      </c>
      <c r="H761" s="9">
        <f>IF(D761="USD",E761*$N$1,E761)</f>
        <v/>
      </c>
      <c r="I761" s="9">
        <f>IF(D761="USD",F761*$N$1,F761)</f>
        <v/>
      </c>
      <c r="J761" s="9">
        <f>IF(D761="USD",G761*$N$1,G761)</f>
        <v/>
      </c>
      <c r="K761" s="9">
        <f>H761+I761</f>
        <v/>
      </c>
    </row>
    <row r="762">
      <c r="A762" s="8" t="n">
        <v>46101</v>
      </c>
      <c r="B762" t="inlineStr">
        <is>
          <t>2026-W12</t>
        </is>
      </c>
      <c r="C762" t="inlineStr">
        <is>
          <t>Nuvei</t>
        </is>
      </c>
      <c r="D762" t="inlineStr">
        <is>
          <t>EUR</t>
        </is>
      </c>
      <c r="E762" s="9" t="n">
        <v>0</v>
      </c>
      <c r="F762" s="9" t="n">
        <v>0</v>
      </c>
      <c r="G762" s="9" t="n">
        <v>-128647.02</v>
      </c>
      <c r="H762" s="9">
        <f>IF(D762="USD",E762*$N$1,E762)</f>
        <v/>
      </c>
      <c r="I762" s="9">
        <f>IF(D762="USD",F762*$N$1,F762)</f>
        <v/>
      </c>
      <c r="J762" s="9">
        <f>IF(D762="USD",G762*$N$1,G762)</f>
        <v/>
      </c>
      <c r="K762" s="9">
        <f>H762+I762</f>
        <v/>
      </c>
    </row>
    <row r="763">
      <c r="A763" s="8" t="n">
        <v>46101</v>
      </c>
      <c r="B763" t="inlineStr">
        <is>
          <t>2026-W12</t>
        </is>
      </c>
      <c r="C763" t="inlineStr">
        <is>
          <t>Nuvei</t>
        </is>
      </c>
      <c r="D763" t="inlineStr">
        <is>
          <t>EUR</t>
        </is>
      </c>
      <c r="E763" s="9" t="n">
        <v>702012.22</v>
      </c>
      <c r="F763" s="9" t="n">
        <v>-8826.059999999999</v>
      </c>
      <c r="G763" s="9" t="n">
        <v>0</v>
      </c>
      <c r="H763" s="9">
        <f>IF(D763="USD",E763*$N$1,E763)</f>
        <v/>
      </c>
      <c r="I763" s="9">
        <f>IF(D763="USD",F763*$N$1,F763)</f>
        <v/>
      </c>
      <c r="J763" s="9">
        <f>IF(D763="USD",G763*$N$1,G763)</f>
        <v/>
      </c>
      <c r="K763" s="9">
        <f>H763+I763</f>
        <v/>
      </c>
    </row>
    <row r="764">
      <c r="A764" s="8" t="n">
        <v>46101</v>
      </c>
      <c r="B764" t="inlineStr">
        <is>
          <t>2026-W12</t>
        </is>
      </c>
      <c r="C764" t="inlineStr">
        <is>
          <t>Nuvei</t>
        </is>
      </c>
      <c r="D764" t="inlineStr">
        <is>
          <t>EUR</t>
        </is>
      </c>
      <c r="E764" s="9" t="n">
        <v>44970.5</v>
      </c>
      <c r="F764" s="9" t="n">
        <v>-1313.78</v>
      </c>
      <c r="G764" s="9" t="n">
        <v>0</v>
      </c>
      <c r="H764" s="9">
        <f>IF(D764="USD",E764*$N$1,E764)</f>
        <v/>
      </c>
      <c r="I764" s="9">
        <f>IF(D764="USD",F764*$N$1,F764)</f>
        <v/>
      </c>
      <c r="J764" s="9">
        <f>IF(D764="USD",G764*$N$1,G764)</f>
        <v/>
      </c>
      <c r="K764" s="9">
        <f>H764+I764</f>
        <v/>
      </c>
    </row>
    <row r="765">
      <c r="A765" s="8" t="n">
        <v>46102</v>
      </c>
      <c r="B765" t="inlineStr">
        <is>
          <t>2026-W12</t>
        </is>
      </c>
      <c r="C765" t="inlineStr">
        <is>
          <t>Adyen</t>
        </is>
      </c>
      <c r="D765" t="inlineStr">
        <is>
          <t>EUR</t>
        </is>
      </c>
      <c r="E765" s="9" t="n">
        <v>322826.94</v>
      </c>
      <c r="F765" s="9" t="n">
        <v>0</v>
      </c>
      <c r="G765" s="9" t="n">
        <v>0</v>
      </c>
      <c r="H765" s="9">
        <f>IF(D765="USD",E765*$N$1,E765)</f>
        <v/>
      </c>
      <c r="I765" s="9">
        <f>IF(D765="USD",F765*$N$1,F765)</f>
        <v/>
      </c>
      <c r="J765" s="9">
        <f>IF(D765="USD",G765*$N$1,G765)</f>
        <v/>
      </c>
      <c r="K765" s="9">
        <f>H765+I765</f>
        <v/>
      </c>
    </row>
    <row r="766">
      <c r="A766" s="8" t="n">
        <v>46102</v>
      </c>
      <c r="B766" t="inlineStr">
        <is>
          <t>2026-W12</t>
        </is>
      </c>
      <c r="C766" t="inlineStr">
        <is>
          <t>Adyen</t>
        </is>
      </c>
      <c r="D766" t="inlineStr">
        <is>
          <t>EUR</t>
        </is>
      </c>
      <c r="E766" s="9" t="n">
        <v>56067.02</v>
      </c>
      <c r="F766" s="9" t="n">
        <v>0</v>
      </c>
      <c r="G766" s="9" t="n">
        <v>0</v>
      </c>
      <c r="H766" s="9">
        <f>IF(D766="USD",E766*$N$1,E766)</f>
        <v/>
      </c>
      <c r="I766" s="9">
        <f>IF(D766="USD",F766*$N$1,F766)</f>
        <v/>
      </c>
      <c r="J766" s="9">
        <f>IF(D766="USD",G766*$N$1,G766)</f>
        <v/>
      </c>
      <c r="K766" s="9">
        <f>H766+I766</f>
        <v/>
      </c>
    </row>
    <row r="767">
      <c r="A767" s="8" t="n">
        <v>46102</v>
      </c>
      <c r="B767" t="inlineStr">
        <is>
          <t>2026-W12</t>
        </is>
      </c>
      <c r="C767" t="inlineStr">
        <is>
          <t>Nuvei</t>
        </is>
      </c>
      <c r="D767" t="inlineStr">
        <is>
          <t>EUR</t>
        </is>
      </c>
      <c r="E767" s="9" t="n">
        <v>615910.6899999999</v>
      </c>
      <c r="F767" s="9" t="n">
        <v>-7967.91</v>
      </c>
      <c r="G767" s="9" t="n">
        <v>0</v>
      </c>
      <c r="H767" s="9">
        <f>IF(D767="USD",E767*$N$1,E767)</f>
        <v/>
      </c>
      <c r="I767" s="9">
        <f>IF(D767="USD",F767*$N$1,F767)</f>
        <v/>
      </c>
      <c r="J767" s="9">
        <f>IF(D767="USD",G767*$N$1,G767)</f>
        <v/>
      </c>
      <c r="K767" s="9">
        <f>H767+I767</f>
        <v/>
      </c>
    </row>
    <row r="768">
      <c r="A768" s="8" t="n">
        <v>46102</v>
      </c>
      <c r="B768" t="inlineStr">
        <is>
          <t>2026-W12</t>
        </is>
      </c>
      <c r="C768" t="inlineStr">
        <is>
          <t>Nuvei</t>
        </is>
      </c>
      <c r="D768" t="inlineStr">
        <is>
          <t>EUR</t>
        </is>
      </c>
      <c r="E768" s="9" t="n">
        <v>61709.01</v>
      </c>
      <c r="F768" s="9" t="n">
        <v>-1747.33</v>
      </c>
      <c r="G768" s="9" t="n">
        <v>0</v>
      </c>
      <c r="H768" s="9">
        <f>IF(D768="USD",E768*$N$1,E768)</f>
        <v/>
      </c>
      <c r="I768" s="9">
        <f>IF(D768="USD",F768*$N$1,F768)</f>
        <v/>
      </c>
      <c r="J768" s="9">
        <f>IF(D768="USD",G768*$N$1,G768)</f>
        <v/>
      </c>
      <c r="K768" s="9">
        <f>H768+I768</f>
        <v/>
      </c>
    </row>
    <row r="769">
      <c r="A769" s="8" t="n">
        <v>46103</v>
      </c>
      <c r="B769" t="inlineStr">
        <is>
          <t>2026-W12</t>
        </is>
      </c>
      <c r="C769" t="inlineStr">
        <is>
          <t>Adyen</t>
        </is>
      </c>
      <c r="D769" t="inlineStr">
        <is>
          <t>EUR</t>
        </is>
      </c>
      <c r="E769" s="9" t="n">
        <v>389564.95</v>
      </c>
      <c r="F769" s="9" t="n">
        <v>0</v>
      </c>
      <c r="G769" s="9" t="n">
        <v>0</v>
      </c>
      <c r="H769" s="9">
        <f>IF(D769="USD",E769*$N$1,E769)</f>
        <v/>
      </c>
      <c r="I769" s="9">
        <f>IF(D769="USD",F769*$N$1,F769)</f>
        <v/>
      </c>
      <c r="J769" s="9">
        <f>IF(D769="USD",G769*$N$1,G769)</f>
        <v/>
      </c>
      <c r="K769" s="9">
        <f>H769+I769</f>
        <v/>
      </c>
    </row>
    <row r="770">
      <c r="A770" s="8" t="n">
        <v>46103</v>
      </c>
      <c r="B770" t="inlineStr">
        <is>
          <t>2026-W12</t>
        </is>
      </c>
      <c r="C770" t="inlineStr">
        <is>
          <t>Adyen</t>
        </is>
      </c>
      <c r="D770" t="inlineStr">
        <is>
          <t>EUR</t>
        </is>
      </c>
      <c r="E770" s="9" t="n">
        <v>50531.77</v>
      </c>
      <c r="F770" s="9" t="n">
        <v>0</v>
      </c>
      <c r="G770" s="9" t="n">
        <v>0</v>
      </c>
      <c r="H770" s="9">
        <f>IF(D770="USD",E770*$N$1,E770)</f>
        <v/>
      </c>
      <c r="I770" s="9">
        <f>IF(D770="USD",F770*$N$1,F770)</f>
        <v/>
      </c>
      <c r="J770" s="9">
        <f>IF(D770="USD",G770*$N$1,G770)</f>
        <v/>
      </c>
      <c r="K770" s="9">
        <f>H770+I770</f>
        <v/>
      </c>
    </row>
    <row r="771">
      <c r="A771" s="8" t="n">
        <v>46103</v>
      </c>
      <c r="B771" t="inlineStr">
        <is>
          <t>2026-W12</t>
        </is>
      </c>
      <c r="C771" t="inlineStr">
        <is>
          <t>Nuvei</t>
        </is>
      </c>
      <c r="D771" t="inlineStr">
        <is>
          <t>EUR</t>
        </is>
      </c>
      <c r="E771" s="9" t="n">
        <v>762129.64</v>
      </c>
      <c r="F771" s="9" t="n">
        <v>-8939.18</v>
      </c>
      <c r="G771" s="9" t="n">
        <v>0</v>
      </c>
      <c r="H771" s="9">
        <f>IF(D771="USD",E771*$N$1,E771)</f>
        <v/>
      </c>
      <c r="I771" s="9">
        <f>IF(D771="USD",F771*$N$1,F771)</f>
        <v/>
      </c>
      <c r="J771" s="9">
        <f>IF(D771="USD",G771*$N$1,G771)</f>
        <v/>
      </c>
      <c r="K771" s="9">
        <f>H771+I771</f>
        <v/>
      </c>
    </row>
    <row r="772">
      <c r="A772" s="8" t="n">
        <v>46103</v>
      </c>
      <c r="B772" t="inlineStr">
        <is>
          <t>2026-W12</t>
        </is>
      </c>
      <c r="C772" t="inlineStr">
        <is>
          <t>Nuvei</t>
        </is>
      </c>
      <c r="D772" t="inlineStr">
        <is>
          <t>EUR</t>
        </is>
      </c>
      <c r="E772" s="9" t="n">
        <v>48951.28</v>
      </c>
      <c r="F772" s="9" t="n">
        <v>-1379.24</v>
      </c>
      <c r="G772" s="9" t="n">
        <v>0</v>
      </c>
      <c r="H772" s="9">
        <f>IF(D772="USD",E772*$N$1,E772)</f>
        <v/>
      </c>
      <c r="I772" s="9">
        <f>IF(D772="USD",F772*$N$1,F772)</f>
        <v/>
      </c>
      <c r="J772" s="9">
        <f>IF(D772="USD",G772*$N$1,G772)</f>
        <v/>
      </c>
      <c r="K772" s="9">
        <f>H772+I772</f>
        <v/>
      </c>
    </row>
    <row r="773">
      <c r="A773" s="8" t="n">
        <v>46104</v>
      </c>
      <c r="B773" t="inlineStr">
        <is>
          <t>2026-W13</t>
        </is>
      </c>
      <c r="C773" t="inlineStr">
        <is>
          <t>Adyen</t>
        </is>
      </c>
      <c r="D773" t="inlineStr">
        <is>
          <t>EUR</t>
        </is>
      </c>
      <c r="E773" s="9" t="n">
        <v>0</v>
      </c>
      <c r="F773" s="9" t="n">
        <v>0</v>
      </c>
      <c r="G773" s="9" t="n">
        <v>-587427.1900000001</v>
      </c>
      <c r="H773" s="9">
        <f>IF(D773="USD",E773*$N$1,E773)</f>
        <v/>
      </c>
      <c r="I773" s="9">
        <f>IF(D773="USD",F773*$N$1,F773)</f>
        <v/>
      </c>
      <c r="J773" s="9">
        <f>IF(D773="USD",G773*$N$1,G773)</f>
        <v/>
      </c>
      <c r="K773" s="9">
        <f>H773+I773</f>
        <v/>
      </c>
    </row>
    <row r="774">
      <c r="A774" s="8" t="n">
        <v>46104</v>
      </c>
      <c r="B774" t="inlineStr">
        <is>
          <t>2026-W13</t>
        </is>
      </c>
      <c r="C774" t="inlineStr">
        <is>
          <t>Adyen</t>
        </is>
      </c>
      <c r="D774" t="inlineStr">
        <is>
          <t>EUR</t>
        </is>
      </c>
      <c r="E774" s="9" t="n">
        <v>667732.27</v>
      </c>
      <c r="F774" s="9" t="n">
        <v>-3623.620000000112</v>
      </c>
      <c r="G774" s="9" t="n">
        <v>0</v>
      </c>
      <c r="H774" s="9">
        <f>IF(D774="USD",E774*$N$1,E774)</f>
        <v/>
      </c>
      <c r="I774" s="9">
        <f>IF(D774="USD",F774*$N$1,F774)</f>
        <v/>
      </c>
      <c r="J774" s="9">
        <f>IF(D774="USD",G774*$N$1,G774)</f>
        <v/>
      </c>
      <c r="K774" s="9">
        <f>H774+I774</f>
        <v/>
      </c>
    </row>
    <row r="775">
      <c r="A775" s="8" t="n">
        <v>46104</v>
      </c>
      <c r="B775" t="inlineStr">
        <is>
          <t>2026-W13</t>
        </is>
      </c>
      <c r="C775" t="inlineStr">
        <is>
          <t>Adyen</t>
        </is>
      </c>
      <c r="D775" t="inlineStr">
        <is>
          <t>EUR</t>
        </is>
      </c>
      <c r="E775" s="9" t="n">
        <v>10482.83</v>
      </c>
      <c r="F775" s="9" t="n">
        <v>-18832.77000000002</v>
      </c>
      <c r="G775" s="9" t="n">
        <v>0</v>
      </c>
      <c r="H775" s="9">
        <f>IF(D775="USD",E775*$N$1,E775)</f>
        <v/>
      </c>
      <c r="I775" s="9">
        <f>IF(D775="USD",F775*$N$1,F775)</f>
        <v/>
      </c>
      <c r="J775" s="9">
        <f>IF(D775="USD",G775*$N$1,G775)</f>
        <v/>
      </c>
      <c r="K775" s="9">
        <f>H775+I775</f>
        <v/>
      </c>
    </row>
    <row r="776">
      <c r="A776" s="8" t="n">
        <v>46104</v>
      </c>
      <c r="B776" t="inlineStr">
        <is>
          <t>2026-W13</t>
        </is>
      </c>
      <c r="C776" t="inlineStr">
        <is>
          <t>Nuvei</t>
        </is>
      </c>
      <c r="D776" t="inlineStr">
        <is>
          <t>EUR</t>
        </is>
      </c>
      <c r="E776" s="9" t="n">
        <v>0</v>
      </c>
      <c r="F776" s="9" t="n">
        <v>0</v>
      </c>
      <c r="G776" s="9" t="n">
        <v>-681865.76</v>
      </c>
      <c r="H776" s="9">
        <f>IF(D776="USD",E776*$N$1,E776)</f>
        <v/>
      </c>
      <c r="I776" s="9">
        <f>IF(D776="USD",F776*$N$1,F776)</f>
        <v/>
      </c>
      <c r="J776" s="9">
        <f>IF(D776="USD",G776*$N$1,G776)</f>
        <v/>
      </c>
      <c r="K776" s="9">
        <f>H776+I776</f>
        <v/>
      </c>
    </row>
    <row r="777">
      <c r="A777" s="8" t="n">
        <v>46104</v>
      </c>
      <c r="B777" t="inlineStr">
        <is>
          <t>2026-W13</t>
        </is>
      </c>
      <c r="C777" t="inlineStr">
        <is>
          <t>Nuvei</t>
        </is>
      </c>
      <c r="D777" t="inlineStr">
        <is>
          <t>EUR</t>
        </is>
      </c>
      <c r="E777" s="9" t="n">
        <v>0</v>
      </c>
      <c r="F777" s="9" t="n">
        <v>0</v>
      </c>
      <c r="G777" s="9" t="n">
        <v>-84890.37</v>
      </c>
      <c r="H777" s="9">
        <f>IF(D777="USD",E777*$N$1,E777)</f>
        <v/>
      </c>
      <c r="I777" s="9">
        <f>IF(D777="USD",F777*$N$1,F777)</f>
        <v/>
      </c>
      <c r="J777" s="9">
        <f>IF(D777="USD",G777*$N$1,G777)</f>
        <v/>
      </c>
      <c r="K777" s="9">
        <f>H777+I777</f>
        <v/>
      </c>
    </row>
    <row r="778">
      <c r="A778" s="8" t="n">
        <v>46104</v>
      </c>
      <c r="B778" t="inlineStr">
        <is>
          <t>2026-W13</t>
        </is>
      </c>
      <c r="C778" t="inlineStr">
        <is>
          <t>Nuvei</t>
        </is>
      </c>
      <c r="D778" t="inlineStr">
        <is>
          <t>EUR</t>
        </is>
      </c>
      <c r="E778" s="9" t="n">
        <v>815976.55</v>
      </c>
      <c r="F778" s="9" t="n">
        <v>-10457</v>
      </c>
      <c r="G778" s="9" t="n">
        <v>0</v>
      </c>
      <c r="H778" s="9">
        <f>IF(D778="USD",E778*$N$1,E778)</f>
        <v/>
      </c>
      <c r="I778" s="9">
        <f>IF(D778="USD",F778*$N$1,F778)</f>
        <v/>
      </c>
      <c r="J778" s="9">
        <f>IF(D778="USD",G778*$N$1,G778)</f>
        <v/>
      </c>
      <c r="K778" s="9">
        <f>H778+I778</f>
        <v/>
      </c>
    </row>
    <row r="779">
      <c r="A779" s="8" t="n">
        <v>46104</v>
      </c>
      <c r="B779" t="inlineStr">
        <is>
          <t>2026-W13</t>
        </is>
      </c>
      <c r="C779" t="inlineStr">
        <is>
          <t>Nuvei</t>
        </is>
      </c>
      <c r="D779" t="inlineStr">
        <is>
          <t>EUR</t>
        </is>
      </c>
      <c r="E779" s="9" t="n">
        <v>10002.92</v>
      </c>
      <c r="F779" s="9" t="n">
        <v>-267.45</v>
      </c>
      <c r="G779" s="9" t="n">
        <v>0</v>
      </c>
      <c r="H779" s="9">
        <f>IF(D779="USD",E779*$N$1,E779)</f>
        <v/>
      </c>
      <c r="I779" s="9">
        <f>IF(D779="USD",F779*$N$1,F779)</f>
        <v/>
      </c>
      <c r="J779" s="9">
        <f>IF(D779="USD",G779*$N$1,G779)</f>
        <v/>
      </c>
      <c r="K779" s="9">
        <f>H779+I779</f>
        <v/>
      </c>
    </row>
    <row r="780">
      <c r="A780" s="8" t="n">
        <v>46105</v>
      </c>
      <c r="B780" t="inlineStr">
        <is>
          <t>2026-W13</t>
        </is>
      </c>
      <c r="C780" t="inlineStr">
        <is>
          <t>Adyen</t>
        </is>
      </c>
      <c r="D780" t="inlineStr">
        <is>
          <t>EUR</t>
        </is>
      </c>
      <c r="E780" s="9" t="n">
        <v>0</v>
      </c>
      <c r="F780" s="9" t="n">
        <v>0</v>
      </c>
      <c r="G780" s="9" t="n">
        <v>-1388946.26</v>
      </c>
      <c r="H780" s="9">
        <f>IF(D780="USD",E780*$N$1,E780)</f>
        <v/>
      </c>
      <c r="I780" s="9">
        <f>IF(D780="USD",F780*$N$1,F780)</f>
        <v/>
      </c>
      <c r="J780" s="9">
        <f>IF(D780="USD",G780*$N$1,G780)</f>
        <v/>
      </c>
      <c r="K780" s="9">
        <f>H780+I780</f>
        <v/>
      </c>
    </row>
    <row r="781">
      <c r="A781" s="8" t="n">
        <v>46105</v>
      </c>
      <c r="B781" t="inlineStr">
        <is>
          <t>2026-W13</t>
        </is>
      </c>
      <c r="C781" t="inlineStr">
        <is>
          <t>Adyen</t>
        </is>
      </c>
      <c r="D781" t="inlineStr">
        <is>
          <t>EUR</t>
        </is>
      </c>
      <c r="E781" s="9" t="n">
        <v>622533.28</v>
      </c>
      <c r="F781" s="9" t="n">
        <v>0</v>
      </c>
      <c r="G781" s="9" t="n">
        <v>0</v>
      </c>
      <c r="H781" s="9">
        <f>IF(D781="USD",E781*$N$1,E781)</f>
        <v/>
      </c>
      <c r="I781" s="9">
        <f>IF(D781="USD",F781*$N$1,F781)</f>
        <v/>
      </c>
      <c r="J781" s="9">
        <f>IF(D781="USD",G781*$N$1,G781)</f>
        <v/>
      </c>
      <c r="K781" s="9">
        <f>H781+I781</f>
        <v/>
      </c>
    </row>
    <row r="782">
      <c r="A782" s="8" t="n">
        <v>46105</v>
      </c>
      <c r="B782" t="inlineStr">
        <is>
          <t>2026-W13</t>
        </is>
      </c>
      <c r="C782" t="inlineStr">
        <is>
          <t>Adyen</t>
        </is>
      </c>
      <c r="D782" t="inlineStr">
        <is>
          <t>EUR</t>
        </is>
      </c>
      <c r="E782" s="9" t="n">
        <v>0</v>
      </c>
      <c r="F782" s="9" t="n">
        <v>0</v>
      </c>
      <c r="G782" s="9" t="n">
        <v>0</v>
      </c>
      <c r="H782" s="9">
        <f>IF(D782="USD",E782*$N$1,E782)</f>
        <v/>
      </c>
      <c r="I782" s="9">
        <f>IF(D782="USD",F782*$N$1,F782)</f>
        <v/>
      </c>
      <c r="J782" s="9">
        <f>IF(D782="USD",G782*$N$1,G782)</f>
        <v/>
      </c>
      <c r="K782" s="9">
        <f>H782+I782</f>
        <v/>
      </c>
    </row>
    <row r="783">
      <c r="A783" s="8" t="n">
        <v>46105</v>
      </c>
      <c r="B783" t="inlineStr">
        <is>
          <t>2026-W13</t>
        </is>
      </c>
      <c r="C783" t="inlineStr">
        <is>
          <t>Nuvei</t>
        </is>
      </c>
      <c r="D783" t="inlineStr">
        <is>
          <t>EUR</t>
        </is>
      </c>
      <c r="E783" s="9" t="n">
        <v>0</v>
      </c>
      <c r="F783" s="9" t="n">
        <v>0</v>
      </c>
      <c r="G783" s="9" t="n">
        <v>-808971.11</v>
      </c>
      <c r="H783" s="9">
        <f>IF(D783="USD",E783*$N$1,E783)</f>
        <v/>
      </c>
      <c r="I783" s="9">
        <f>IF(D783="USD",F783*$N$1,F783)</f>
        <v/>
      </c>
      <c r="J783" s="9">
        <f>IF(D783="USD",G783*$N$1,G783)</f>
        <v/>
      </c>
      <c r="K783" s="9">
        <f>H783+I783</f>
        <v/>
      </c>
    </row>
    <row r="784">
      <c r="A784" s="8" t="n">
        <v>46105</v>
      </c>
      <c r="B784" t="inlineStr">
        <is>
          <t>2026-W13</t>
        </is>
      </c>
      <c r="C784" t="inlineStr">
        <is>
          <t>Nuvei</t>
        </is>
      </c>
      <c r="D784" t="inlineStr">
        <is>
          <t>EUR</t>
        </is>
      </c>
      <c r="E784" s="9" t="n">
        <v>0</v>
      </c>
      <c r="F784" s="9" t="n">
        <v>0</v>
      </c>
      <c r="G784" s="9" t="n">
        <v>-54458.72</v>
      </c>
      <c r="H784" s="9">
        <f>IF(D784="USD",E784*$N$1,E784)</f>
        <v/>
      </c>
      <c r="I784" s="9">
        <f>IF(D784="USD",F784*$N$1,F784)</f>
        <v/>
      </c>
      <c r="J784" s="9">
        <f>IF(D784="USD",G784*$N$1,G784)</f>
        <v/>
      </c>
      <c r="K784" s="9">
        <f>H784+I784</f>
        <v/>
      </c>
    </row>
    <row r="785">
      <c r="A785" s="8" t="n">
        <v>46105</v>
      </c>
      <c r="B785" t="inlineStr">
        <is>
          <t>2026-W13</t>
        </is>
      </c>
      <c r="C785" t="inlineStr">
        <is>
          <t>Nuvei</t>
        </is>
      </c>
      <c r="D785" t="inlineStr">
        <is>
          <t>EUR</t>
        </is>
      </c>
      <c r="E785" s="9" t="n">
        <v>822485.28</v>
      </c>
      <c r="F785" s="9" t="n">
        <v>-10276.21</v>
      </c>
      <c r="G785" s="9" t="n">
        <v>0</v>
      </c>
      <c r="H785" s="9">
        <f>IF(D785="USD",E785*$N$1,E785)</f>
        <v/>
      </c>
      <c r="I785" s="9">
        <f>IF(D785="USD",F785*$N$1,F785)</f>
        <v/>
      </c>
      <c r="J785" s="9">
        <f>IF(D785="USD",G785*$N$1,G785)</f>
        <v/>
      </c>
      <c r="K785" s="9">
        <f>H785+I785</f>
        <v/>
      </c>
    </row>
    <row r="786">
      <c r="A786" s="8" t="n">
        <v>46105</v>
      </c>
      <c r="B786" t="inlineStr">
        <is>
          <t>2026-W13</t>
        </is>
      </c>
      <c r="C786" t="inlineStr">
        <is>
          <t>Nuvei</t>
        </is>
      </c>
      <c r="D786" t="inlineStr">
        <is>
          <t>EUR</t>
        </is>
      </c>
      <c r="E786" s="9" t="n">
        <v>-2451.84</v>
      </c>
      <c r="F786" s="9" t="n">
        <v>-1.16</v>
      </c>
      <c r="G786" s="9" t="n">
        <v>0</v>
      </c>
      <c r="H786" s="9">
        <f>IF(D786="USD",E786*$N$1,E786)</f>
        <v/>
      </c>
      <c r="I786" s="9">
        <f>IF(D786="USD",F786*$N$1,F786)</f>
        <v/>
      </c>
      <c r="J786" s="9">
        <f>IF(D786="USD",G786*$N$1,G786)</f>
        <v/>
      </c>
      <c r="K786" s="9">
        <f>H786+I786</f>
        <v/>
      </c>
    </row>
    <row r="787">
      <c r="A787" s="8" t="n">
        <v>46106</v>
      </c>
      <c r="B787" t="inlineStr">
        <is>
          <t>2026-W13</t>
        </is>
      </c>
      <c r="C787" t="inlineStr">
        <is>
          <t>Adyen</t>
        </is>
      </c>
      <c r="D787" t="inlineStr">
        <is>
          <t>EUR</t>
        </is>
      </c>
      <c r="E787" s="9" t="n">
        <v>0</v>
      </c>
      <c r="F787" s="9" t="n">
        <v>0</v>
      </c>
      <c r="G787" s="9" t="n">
        <v>-664108.6499999999</v>
      </c>
      <c r="H787" s="9">
        <f>IF(D787="USD",E787*$N$1,E787)</f>
        <v/>
      </c>
      <c r="I787" s="9">
        <f>IF(D787="USD",F787*$N$1,F787)</f>
        <v/>
      </c>
      <c r="J787" s="9">
        <f>IF(D787="USD",G787*$N$1,G787)</f>
        <v/>
      </c>
      <c r="K787" s="9">
        <f>H787+I787</f>
        <v/>
      </c>
    </row>
    <row r="788">
      <c r="A788" s="8" t="n">
        <v>46106</v>
      </c>
      <c r="B788" t="inlineStr">
        <is>
          <t>2026-W13</t>
        </is>
      </c>
      <c r="C788" t="inlineStr">
        <is>
          <t>Adyen</t>
        </is>
      </c>
      <c r="D788" t="inlineStr">
        <is>
          <t>EUR</t>
        </is>
      </c>
      <c r="E788" s="9" t="n">
        <v>611348</v>
      </c>
      <c r="F788" s="9" t="n">
        <v>-9983.160000000033</v>
      </c>
      <c r="G788" s="9" t="n">
        <v>0</v>
      </c>
      <c r="H788" s="9">
        <f>IF(D788="USD",E788*$N$1,E788)</f>
        <v/>
      </c>
      <c r="I788" s="9">
        <f>IF(D788="USD",F788*$N$1,F788)</f>
        <v/>
      </c>
      <c r="J788" s="9">
        <f>IF(D788="USD",G788*$N$1,G788)</f>
        <v/>
      </c>
      <c r="K788" s="9">
        <f>H788+I788</f>
        <v/>
      </c>
    </row>
    <row r="789">
      <c r="A789" s="8" t="n">
        <v>46106</v>
      </c>
      <c r="B789" t="inlineStr">
        <is>
          <t>2026-W13</t>
        </is>
      </c>
      <c r="C789" t="inlineStr">
        <is>
          <t>Adyen</t>
        </is>
      </c>
      <c r="D789" t="inlineStr">
        <is>
          <t>EUR</t>
        </is>
      </c>
      <c r="E789" s="9" t="n">
        <v>58016</v>
      </c>
      <c r="F789" s="9" t="n">
        <v>0</v>
      </c>
      <c r="G789" s="9" t="n">
        <v>0</v>
      </c>
      <c r="H789" s="9">
        <f>IF(D789="USD",E789*$N$1,E789)</f>
        <v/>
      </c>
      <c r="I789" s="9">
        <f>IF(D789="USD",F789*$N$1,F789)</f>
        <v/>
      </c>
      <c r="J789" s="9">
        <f>IF(D789="USD",G789*$N$1,G789)</f>
        <v/>
      </c>
      <c r="K789" s="9">
        <f>H789+I789</f>
        <v/>
      </c>
    </row>
    <row r="790">
      <c r="A790" s="8" t="n">
        <v>46106</v>
      </c>
      <c r="B790" t="inlineStr">
        <is>
          <t>2026-W13</t>
        </is>
      </c>
      <c r="C790" t="inlineStr">
        <is>
          <t>Nuvei</t>
        </is>
      </c>
      <c r="D790" t="inlineStr">
        <is>
          <t>EUR</t>
        </is>
      </c>
      <c r="E790" s="9" t="n">
        <v>0</v>
      </c>
      <c r="F790" s="9" t="n">
        <v>0</v>
      </c>
      <c r="G790" s="9" t="n">
        <v>-943621.5</v>
      </c>
      <c r="H790" s="9">
        <f>IF(D790="USD",E790*$N$1,E790)</f>
        <v/>
      </c>
      <c r="I790" s="9">
        <f>IF(D790="USD",F790*$N$1,F790)</f>
        <v/>
      </c>
      <c r="J790" s="9">
        <f>IF(D790="USD",G790*$N$1,G790)</f>
        <v/>
      </c>
      <c r="K790" s="9">
        <f>H790+I790</f>
        <v/>
      </c>
    </row>
    <row r="791">
      <c r="A791" s="8" t="n">
        <v>46106</v>
      </c>
      <c r="B791" t="inlineStr">
        <is>
          <t>2026-W13</t>
        </is>
      </c>
      <c r="C791" t="inlineStr">
        <is>
          <t>Nuvei</t>
        </is>
      </c>
      <c r="D791" t="inlineStr">
        <is>
          <t>EUR</t>
        </is>
      </c>
      <c r="E791" s="9" t="n">
        <v>0</v>
      </c>
      <c r="F791" s="9" t="n">
        <v>0</v>
      </c>
      <c r="G791" s="9" t="n">
        <v>-63503.72</v>
      </c>
      <c r="H791" s="9">
        <f>IF(D791="USD",E791*$N$1,E791)</f>
        <v/>
      </c>
      <c r="I791" s="9">
        <f>IF(D791="USD",F791*$N$1,F791)</f>
        <v/>
      </c>
      <c r="J791" s="9">
        <f>IF(D791="USD",G791*$N$1,G791)</f>
        <v/>
      </c>
      <c r="K791" s="9">
        <f>H791+I791</f>
        <v/>
      </c>
    </row>
    <row r="792">
      <c r="A792" s="8" t="n">
        <v>46106</v>
      </c>
      <c r="B792" t="inlineStr">
        <is>
          <t>2026-W13</t>
        </is>
      </c>
      <c r="C792" t="inlineStr">
        <is>
          <t>Nuvei</t>
        </is>
      </c>
      <c r="D792" t="inlineStr">
        <is>
          <t>EUR</t>
        </is>
      </c>
      <c r="E792" s="9" t="n">
        <v>805109.0699999999</v>
      </c>
      <c r="F792" s="9" t="n">
        <v>-10083.78</v>
      </c>
      <c r="G792" s="9" t="n">
        <v>0</v>
      </c>
      <c r="H792" s="9">
        <f>IF(D792="USD",E792*$N$1,E792)</f>
        <v/>
      </c>
      <c r="I792" s="9">
        <f>IF(D792="USD",F792*$N$1,F792)</f>
        <v/>
      </c>
      <c r="J792" s="9">
        <f>IF(D792="USD",G792*$N$1,G792)</f>
        <v/>
      </c>
      <c r="K792" s="9">
        <f>H792+I792</f>
        <v/>
      </c>
    </row>
    <row r="793">
      <c r="A793" s="8" t="n">
        <v>46106</v>
      </c>
      <c r="B793" t="inlineStr">
        <is>
          <t>2026-W13</t>
        </is>
      </c>
      <c r="C793" t="inlineStr">
        <is>
          <t>Nuvei</t>
        </is>
      </c>
      <c r="D793" t="inlineStr">
        <is>
          <t>EUR</t>
        </is>
      </c>
      <c r="E793" s="9" t="n">
        <v>30198.98</v>
      </c>
      <c r="F793" s="9" t="n">
        <v>-828.5599999999999</v>
      </c>
      <c r="G793" s="9" t="n">
        <v>0</v>
      </c>
      <c r="H793" s="9">
        <f>IF(D793="USD",E793*$N$1,E793)</f>
        <v/>
      </c>
      <c r="I793" s="9">
        <f>IF(D793="USD",F793*$N$1,F793)</f>
        <v/>
      </c>
      <c r="J793" s="9">
        <f>IF(D793="USD",G793*$N$1,G793)</f>
        <v/>
      </c>
      <c r="K793" s="9">
        <f>H793+I793</f>
        <v/>
      </c>
    </row>
    <row r="794">
      <c r="A794" s="8" t="n">
        <v>46107</v>
      </c>
      <c r="B794" t="inlineStr">
        <is>
          <t>2026-W13</t>
        </is>
      </c>
      <c r="C794" t="inlineStr">
        <is>
          <t>Adyen</t>
        </is>
      </c>
      <c r="D794" t="inlineStr">
        <is>
          <t>EUR</t>
        </is>
      </c>
      <c r="E794" s="9" t="n">
        <v>0</v>
      </c>
      <c r="F794" s="9" t="n">
        <v>0</v>
      </c>
      <c r="G794" s="9" t="n">
        <v>-614183.34</v>
      </c>
      <c r="H794" s="9">
        <f>IF(D794="USD",E794*$N$1,E794)</f>
        <v/>
      </c>
      <c r="I794" s="9">
        <f>IF(D794="USD",F794*$N$1,F794)</f>
        <v/>
      </c>
      <c r="J794" s="9">
        <f>IF(D794="USD",G794*$N$1,G794)</f>
        <v/>
      </c>
      <c r="K794" s="9">
        <f>H794+I794</f>
        <v/>
      </c>
    </row>
    <row r="795">
      <c r="A795" s="8" t="n">
        <v>46107</v>
      </c>
      <c r="B795" t="inlineStr">
        <is>
          <t>2026-W13</t>
        </is>
      </c>
      <c r="C795" t="inlineStr">
        <is>
          <t>Adyen</t>
        </is>
      </c>
      <c r="D795" t="inlineStr">
        <is>
          <t>EUR</t>
        </is>
      </c>
      <c r="E795" s="9" t="n">
        <v>496327.72</v>
      </c>
      <c r="F795" s="9" t="n">
        <v>-10381.43999999994</v>
      </c>
      <c r="G795" s="9" t="n">
        <v>0</v>
      </c>
      <c r="H795" s="9">
        <f>IF(D795="USD",E795*$N$1,E795)</f>
        <v/>
      </c>
      <c r="I795" s="9">
        <f>IF(D795="USD",F795*$N$1,F795)</f>
        <v/>
      </c>
      <c r="J795" s="9">
        <f>IF(D795="USD",G795*$N$1,G795)</f>
        <v/>
      </c>
      <c r="K795" s="9">
        <f>H795+I795</f>
        <v/>
      </c>
    </row>
    <row r="796">
      <c r="A796" s="8" t="n">
        <v>46107</v>
      </c>
      <c r="B796" t="inlineStr">
        <is>
          <t>2026-W13</t>
        </is>
      </c>
      <c r="C796" t="inlineStr">
        <is>
          <t>Adyen</t>
        </is>
      </c>
      <c r="D796" t="inlineStr">
        <is>
          <t>EUR</t>
        </is>
      </c>
      <c r="E796" s="9" t="n">
        <v>52230.59</v>
      </c>
      <c r="F796" s="9" t="n">
        <v>0</v>
      </c>
      <c r="G796" s="9" t="n">
        <v>0</v>
      </c>
      <c r="H796" s="9">
        <f>IF(D796="USD",E796*$N$1,E796)</f>
        <v/>
      </c>
      <c r="I796" s="9">
        <f>IF(D796="USD",F796*$N$1,F796)</f>
        <v/>
      </c>
      <c r="J796" s="9">
        <f>IF(D796="USD",G796*$N$1,G796)</f>
        <v/>
      </c>
      <c r="K796" s="9">
        <f>H796+I796</f>
        <v/>
      </c>
    </row>
    <row r="797">
      <c r="A797" s="8" t="n">
        <v>46107</v>
      </c>
      <c r="B797" t="inlineStr">
        <is>
          <t>2026-W13</t>
        </is>
      </c>
      <c r="C797" t="inlineStr">
        <is>
          <t>Nuvei</t>
        </is>
      </c>
      <c r="D797" t="inlineStr">
        <is>
          <t>EUR</t>
        </is>
      </c>
      <c r="E797" s="9" t="n">
        <v>0</v>
      </c>
      <c r="F797" s="9" t="n">
        <v>0</v>
      </c>
      <c r="G797" s="9" t="n">
        <v>-693162.66</v>
      </c>
      <c r="H797" s="9">
        <f>IF(D797="USD",E797*$N$1,E797)</f>
        <v/>
      </c>
      <c r="I797" s="9">
        <f>IF(D797="USD",F797*$N$1,F797)</f>
        <v/>
      </c>
      <c r="J797" s="9">
        <f>IF(D797="USD",G797*$N$1,G797)</f>
        <v/>
      </c>
      <c r="K797" s="9">
        <f>H797+I797</f>
        <v/>
      </c>
    </row>
    <row r="798">
      <c r="A798" s="8" t="n">
        <v>46107</v>
      </c>
      <c r="B798" t="inlineStr">
        <is>
          <t>2026-W13</t>
        </is>
      </c>
      <c r="C798" t="inlineStr">
        <is>
          <t>Nuvei</t>
        </is>
      </c>
      <c r="D798" t="inlineStr">
        <is>
          <t>EUR</t>
        </is>
      </c>
      <c r="E798" s="9" t="n">
        <v>0</v>
      </c>
      <c r="F798" s="9" t="n">
        <v>0</v>
      </c>
      <c r="G798" s="9" t="n">
        <v>-43653.22</v>
      </c>
      <c r="H798" s="9">
        <f>IF(D798="USD",E798*$N$1,E798)</f>
        <v/>
      </c>
      <c r="I798" s="9">
        <f>IF(D798="USD",F798*$N$1,F798)</f>
        <v/>
      </c>
      <c r="J798" s="9">
        <f>IF(D798="USD",G798*$N$1,G798)</f>
        <v/>
      </c>
      <c r="K798" s="9">
        <f>H798+I798</f>
        <v/>
      </c>
    </row>
    <row r="799">
      <c r="A799" s="8" t="n">
        <v>46107</v>
      </c>
      <c r="B799" t="inlineStr">
        <is>
          <t>2026-W13</t>
        </is>
      </c>
      <c r="C799" t="inlineStr">
        <is>
          <t>Nuvei</t>
        </is>
      </c>
      <c r="D799" t="inlineStr">
        <is>
          <t>EUR</t>
        </is>
      </c>
      <c r="E799" s="9" t="n">
        <v>968134.8100000001</v>
      </c>
      <c r="F799" s="9" t="n">
        <v>-14159.12</v>
      </c>
      <c r="G799" s="9" t="n">
        <v>0</v>
      </c>
      <c r="H799" s="9">
        <f>IF(D799="USD",E799*$N$1,E799)</f>
        <v/>
      </c>
      <c r="I799" s="9">
        <f>IF(D799="USD",F799*$N$1,F799)</f>
        <v/>
      </c>
      <c r="J799" s="9">
        <f>IF(D799="USD",G799*$N$1,G799)</f>
        <v/>
      </c>
      <c r="K799" s="9">
        <f>H799+I799</f>
        <v/>
      </c>
    </row>
    <row r="800">
      <c r="A800" s="8" t="n">
        <v>46107</v>
      </c>
      <c r="B800" t="inlineStr">
        <is>
          <t>2026-W13</t>
        </is>
      </c>
      <c r="C800" t="inlineStr">
        <is>
          <t>Nuvei</t>
        </is>
      </c>
      <c r="D800" t="inlineStr">
        <is>
          <t>EUR</t>
        </is>
      </c>
      <c r="E800" s="9" t="n">
        <v>180373.36</v>
      </c>
      <c r="F800" s="9" t="n">
        <v>-5154.55</v>
      </c>
      <c r="G800" s="9" t="n">
        <v>0</v>
      </c>
      <c r="H800" s="9">
        <f>IF(D800="USD",E800*$N$1,E800)</f>
        <v/>
      </c>
      <c r="I800" s="9">
        <f>IF(D800="USD",F800*$N$1,F800)</f>
        <v/>
      </c>
      <c r="J800" s="9">
        <f>IF(D800="USD",G800*$N$1,G800)</f>
        <v/>
      </c>
      <c r="K800" s="9">
        <f>H800+I800</f>
        <v/>
      </c>
    </row>
    <row r="801">
      <c r="A801" s="8" t="n">
        <v>46108</v>
      </c>
      <c r="B801" t="inlineStr">
        <is>
          <t>2026-W13</t>
        </is>
      </c>
      <c r="C801" t="inlineStr">
        <is>
          <t>Adyen</t>
        </is>
      </c>
      <c r="D801" t="inlineStr">
        <is>
          <t>EUR</t>
        </is>
      </c>
      <c r="E801" s="9" t="n">
        <v>0</v>
      </c>
      <c r="F801" s="9" t="n">
        <v>0</v>
      </c>
      <c r="G801" s="9" t="n">
        <v>-659380.84</v>
      </c>
      <c r="H801" s="9">
        <f>IF(D801="USD",E801*$N$1,E801)</f>
        <v/>
      </c>
      <c r="I801" s="9">
        <f>IF(D801="USD",F801*$N$1,F801)</f>
        <v/>
      </c>
      <c r="J801" s="9">
        <f>IF(D801="USD",G801*$N$1,G801)</f>
        <v/>
      </c>
      <c r="K801" s="9">
        <f>H801+I801</f>
        <v/>
      </c>
    </row>
    <row r="802">
      <c r="A802" s="8" t="n">
        <v>46108</v>
      </c>
      <c r="B802" t="inlineStr">
        <is>
          <t>2026-W13</t>
        </is>
      </c>
      <c r="C802" t="inlineStr">
        <is>
          <t>Adyen</t>
        </is>
      </c>
      <c r="D802" t="inlineStr">
        <is>
          <t>EUR</t>
        </is>
      </c>
      <c r="E802" s="9" t="n">
        <v>430109.33</v>
      </c>
      <c r="F802" s="9" t="n">
        <v>-9613.940000000177</v>
      </c>
      <c r="G802" s="9" t="n">
        <v>0</v>
      </c>
      <c r="H802" s="9">
        <f>IF(D802="USD",E802*$N$1,E802)</f>
        <v/>
      </c>
      <c r="I802" s="9">
        <f>IF(D802="USD",F802*$N$1,F802)</f>
        <v/>
      </c>
      <c r="J802" s="9">
        <f>IF(D802="USD",G802*$N$1,G802)</f>
        <v/>
      </c>
      <c r="K802" s="9">
        <f>H802+I802</f>
        <v/>
      </c>
    </row>
    <row r="803">
      <c r="A803" s="8" t="n">
        <v>46108</v>
      </c>
      <c r="B803" t="inlineStr">
        <is>
          <t>2026-W13</t>
        </is>
      </c>
      <c r="C803" t="inlineStr">
        <is>
          <t>Adyen</t>
        </is>
      </c>
      <c r="D803" t="inlineStr">
        <is>
          <t>EUR</t>
        </is>
      </c>
      <c r="E803" s="9" t="n">
        <v>59133.43</v>
      </c>
      <c r="F803" s="9" t="n">
        <v>0</v>
      </c>
      <c r="G803" s="9" t="n">
        <v>0</v>
      </c>
      <c r="H803" s="9">
        <f>IF(D803="USD",E803*$N$1,E803)</f>
        <v/>
      </c>
      <c r="I803" s="9">
        <f>IF(D803="USD",F803*$N$1,F803)</f>
        <v/>
      </c>
      <c r="J803" s="9">
        <f>IF(D803="USD",G803*$N$1,G803)</f>
        <v/>
      </c>
      <c r="K803" s="9">
        <f>H803+I803</f>
        <v/>
      </c>
    </row>
    <row r="804">
      <c r="A804" s="8" t="n">
        <v>46108</v>
      </c>
      <c r="B804" t="inlineStr">
        <is>
          <t>2026-W13</t>
        </is>
      </c>
      <c r="C804" t="inlineStr">
        <is>
          <t>Nuvei</t>
        </is>
      </c>
      <c r="D804" t="inlineStr">
        <is>
          <t>EUR</t>
        </is>
      </c>
      <c r="E804" s="9" t="n">
        <v>0</v>
      </c>
      <c r="F804" s="9" t="n">
        <v>0</v>
      </c>
      <c r="G804" s="9" t="n">
        <v>-2166639.3</v>
      </c>
      <c r="H804" s="9">
        <f>IF(D804="USD",E804*$N$1,E804)</f>
        <v/>
      </c>
      <c r="I804" s="9">
        <f>IF(D804="USD",F804*$N$1,F804)</f>
        <v/>
      </c>
      <c r="J804" s="9">
        <f>IF(D804="USD",G804*$N$1,G804)</f>
        <v/>
      </c>
      <c r="K804" s="9">
        <f>H804+I804</f>
        <v/>
      </c>
    </row>
    <row r="805">
      <c r="A805" s="8" t="n">
        <v>46108</v>
      </c>
      <c r="B805" t="inlineStr">
        <is>
          <t>2026-W13</t>
        </is>
      </c>
      <c r="C805" t="inlineStr">
        <is>
          <t>Nuvei</t>
        </is>
      </c>
      <c r="D805" t="inlineStr">
        <is>
          <t>EUR</t>
        </is>
      </c>
      <c r="E805" s="9" t="n">
        <v>0</v>
      </c>
      <c r="F805" s="9" t="n">
        <v>0</v>
      </c>
      <c r="G805" s="9" t="n">
        <v>-117265.67</v>
      </c>
      <c r="H805" s="9">
        <f>IF(D805="USD",E805*$N$1,E805)</f>
        <v/>
      </c>
      <c r="I805" s="9">
        <f>IF(D805="USD",F805*$N$1,F805)</f>
        <v/>
      </c>
      <c r="J805" s="9">
        <f>IF(D805="USD",G805*$N$1,G805)</f>
        <v/>
      </c>
      <c r="K805" s="9">
        <f>H805+I805</f>
        <v/>
      </c>
    </row>
    <row r="806">
      <c r="A806" s="8" t="n">
        <v>46108</v>
      </c>
      <c r="B806" t="inlineStr">
        <is>
          <t>2026-W13</t>
        </is>
      </c>
      <c r="C806" t="inlineStr">
        <is>
          <t>Nuvei</t>
        </is>
      </c>
      <c r="D806" t="inlineStr">
        <is>
          <t>EUR</t>
        </is>
      </c>
      <c r="E806" s="9" t="n">
        <v>235436.26</v>
      </c>
      <c r="F806" s="9" t="n">
        <v>-4837.45</v>
      </c>
      <c r="G806" s="9" t="n">
        <v>0</v>
      </c>
      <c r="H806" s="9">
        <f>IF(D806="USD",E806*$N$1,E806)</f>
        <v/>
      </c>
      <c r="I806" s="9">
        <f>IF(D806="USD",F806*$N$1,F806)</f>
        <v/>
      </c>
      <c r="J806" s="9">
        <f>IF(D806="USD",G806*$N$1,G806)</f>
        <v/>
      </c>
      <c r="K806" s="9">
        <f>H806+I806</f>
        <v/>
      </c>
    </row>
    <row r="807">
      <c r="A807" s="8" t="n">
        <v>46108</v>
      </c>
      <c r="B807" t="inlineStr">
        <is>
          <t>2026-W13</t>
        </is>
      </c>
      <c r="C807" t="inlineStr">
        <is>
          <t>Nuvei</t>
        </is>
      </c>
      <c r="D807" t="inlineStr">
        <is>
          <t>EUR</t>
        </is>
      </c>
      <c r="E807" s="9" t="n">
        <v>158075.92</v>
      </c>
      <c r="F807" s="9" t="n">
        <v>-4706.41</v>
      </c>
      <c r="G807" s="9" t="n">
        <v>0</v>
      </c>
      <c r="H807" s="9">
        <f>IF(D807="USD",E807*$N$1,E807)</f>
        <v/>
      </c>
      <c r="I807" s="9">
        <f>IF(D807="USD",F807*$N$1,F807)</f>
        <v/>
      </c>
      <c r="J807" s="9">
        <f>IF(D807="USD",G807*$N$1,G807)</f>
        <v/>
      </c>
      <c r="K807" s="9">
        <f>H807+I807</f>
        <v/>
      </c>
    </row>
    <row r="808">
      <c r="A808" s="8" t="n">
        <v>46109</v>
      </c>
      <c r="B808" t="inlineStr">
        <is>
          <t>2026-W13</t>
        </is>
      </c>
      <c r="C808" t="inlineStr">
        <is>
          <t>Adyen</t>
        </is>
      </c>
      <c r="D808" t="inlineStr">
        <is>
          <t>EUR</t>
        </is>
      </c>
      <c r="E808" s="9" t="n">
        <v>309426.78</v>
      </c>
      <c r="F808" s="9" t="n">
        <v>0</v>
      </c>
      <c r="G808" s="9" t="n">
        <v>0</v>
      </c>
      <c r="H808" s="9">
        <f>IF(D808="USD",E808*$N$1,E808)</f>
        <v/>
      </c>
      <c r="I808" s="9">
        <f>IF(D808="USD",F808*$N$1,F808)</f>
        <v/>
      </c>
      <c r="J808" s="9">
        <f>IF(D808="USD",G808*$N$1,G808)</f>
        <v/>
      </c>
      <c r="K808" s="9">
        <f>H808+I808</f>
        <v/>
      </c>
    </row>
    <row r="809">
      <c r="A809" s="8" t="n">
        <v>46109</v>
      </c>
      <c r="B809" t="inlineStr">
        <is>
          <t>2026-W13</t>
        </is>
      </c>
      <c r="C809" t="inlineStr">
        <is>
          <t>Adyen</t>
        </is>
      </c>
      <c r="D809" t="inlineStr">
        <is>
          <t>EUR</t>
        </is>
      </c>
      <c r="E809" s="9" t="n">
        <v>56551.53</v>
      </c>
      <c r="F809" s="9" t="n">
        <v>0</v>
      </c>
      <c r="G809" s="9" t="n">
        <v>0</v>
      </c>
      <c r="H809" s="9">
        <f>IF(D809="USD",E809*$N$1,E809)</f>
        <v/>
      </c>
      <c r="I809" s="9">
        <f>IF(D809="USD",F809*$N$1,F809)</f>
        <v/>
      </c>
      <c r="J809" s="9">
        <f>IF(D809="USD",G809*$N$1,G809)</f>
        <v/>
      </c>
      <c r="K809" s="9">
        <f>H809+I809</f>
        <v/>
      </c>
    </row>
    <row r="810">
      <c r="A810" s="8" t="n">
        <v>46109</v>
      </c>
      <c r="B810" t="inlineStr">
        <is>
          <t>2026-W13</t>
        </is>
      </c>
      <c r="C810" t="inlineStr">
        <is>
          <t>Nuvei</t>
        </is>
      </c>
      <c r="D810" t="inlineStr">
        <is>
          <t>EUR</t>
        </is>
      </c>
      <c r="E810" s="9" t="n">
        <v>827149.74</v>
      </c>
      <c r="F810" s="9" t="n">
        <v>-11053.28</v>
      </c>
      <c r="G810" s="9" t="n">
        <v>0</v>
      </c>
      <c r="H810" s="9">
        <f>IF(D810="USD",E810*$N$1,E810)</f>
        <v/>
      </c>
      <c r="I810" s="9">
        <f>IF(D810="USD",F810*$N$1,F810)</f>
        <v/>
      </c>
      <c r="J810" s="9">
        <f>IF(D810="USD",G810*$N$1,G810)</f>
        <v/>
      </c>
      <c r="K810" s="9">
        <f>H810+I810</f>
        <v/>
      </c>
    </row>
    <row r="811">
      <c r="A811" s="8" t="n">
        <v>46109</v>
      </c>
      <c r="B811" t="inlineStr">
        <is>
          <t>2026-W13</t>
        </is>
      </c>
      <c r="C811" t="inlineStr">
        <is>
          <t>Nuvei</t>
        </is>
      </c>
      <c r="D811" t="inlineStr">
        <is>
          <t>EUR</t>
        </is>
      </c>
      <c r="E811" s="9" t="n">
        <v>220395.16</v>
      </c>
      <c r="F811" s="9" t="n">
        <v>-6241.2</v>
      </c>
      <c r="G811" s="9" t="n">
        <v>0</v>
      </c>
      <c r="H811" s="9">
        <f>IF(D811="USD",E811*$N$1,E811)</f>
        <v/>
      </c>
      <c r="I811" s="9">
        <f>IF(D811="USD",F811*$N$1,F811)</f>
        <v/>
      </c>
      <c r="J811" s="9">
        <f>IF(D811="USD",G811*$N$1,G811)</f>
        <v/>
      </c>
      <c r="K811" s="9">
        <f>H811+I811</f>
        <v/>
      </c>
    </row>
    <row r="812">
      <c r="A812" s="8" t="n">
        <v>46110</v>
      </c>
      <c r="B812" t="inlineStr">
        <is>
          <t>2026-W13</t>
        </is>
      </c>
      <c r="C812" t="inlineStr">
        <is>
          <t>Adyen</t>
        </is>
      </c>
      <c r="D812" t="inlineStr">
        <is>
          <t>EUR</t>
        </is>
      </c>
      <c r="E812" s="9" t="n">
        <v>296038.98</v>
      </c>
      <c r="F812" s="9" t="n">
        <v>0</v>
      </c>
      <c r="G812" s="9" t="n">
        <v>0</v>
      </c>
      <c r="H812" s="9">
        <f>IF(D812="USD",E812*$N$1,E812)</f>
        <v/>
      </c>
      <c r="I812" s="9">
        <f>IF(D812="USD",F812*$N$1,F812)</f>
        <v/>
      </c>
      <c r="J812" s="9">
        <f>IF(D812="USD",G812*$N$1,G812)</f>
        <v/>
      </c>
      <c r="K812" s="9">
        <f>H812+I812</f>
        <v/>
      </c>
    </row>
    <row r="813">
      <c r="A813" s="8" t="n">
        <v>46110</v>
      </c>
      <c r="B813" t="inlineStr">
        <is>
          <t>2026-W13</t>
        </is>
      </c>
      <c r="C813" t="inlineStr">
        <is>
          <t>Adyen</t>
        </is>
      </c>
      <c r="D813" t="inlineStr">
        <is>
          <t>EUR</t>
        </is>
      </c>
      <c r="E813" s="9" t="n">
        <v>44210.55</v>
      </c>
      <c r="F813" s="9" t="n">
        <v>0</v>
      </c>
      <c r="G813" s="9" t="n">
        <v>0</v>
      </c>
      <c r="H813" s="9">
        <f>IF(D813="USD",E813*$N$1,E813)</f>
        <v/>
      </c>
      <c r="I813" s="9">
        <f>IF(D813="USD",F813*$N$1,F813)</f>
        <v/>
      </c>
      <c r="J813" s="9">
        <f>IF(D813="USD",G813*$N$1,G813)</f>
        <v/>
      </c>
      <c r="K813" s="9">
        <f>H813+I813</f>
        <v/>
      </c>
    </row>
    <row r="814">
      <c r="A814" s="8" t="n">
        <v>46110</v>
      </c>
      <c r="B814" t="inlineStr">
        <is>
          <t>2026-W13</t>
        </is>
      </c>
      <c r="C814" t="inlineStr">
        <is>
          <t>Nuvei</t>
        </is>
      </c>
      <c r="D814" t="inlineStr">
        <is>
          <t>EUR</t>
        </is>
      </c>
      <c r="E814" s="9" t="n">
        <v>1545930.99</v>
      </c>
      <c r="F814" s="9" t="n">
        <v>-18026.94</v>
      </c>
      <c r="G814" s="9" t="n">
        <v>0</v>
      </c>
      <c r="H814" s="9">
        <f>IF(D814="USD",E814*$N$1,E814)</f>
        <v/>
      </c>
      <c r="I814" s="9">
        <f>IF(D814="USD",F814*$N$1,F814)</f>
        <v/>
      </c>
      <c r="J814" s="9">
        <f>IF(D814="USD",G814*$N$1,G814)</f>
        <v/>
      </c>
      <c r="K814" s="9">
        <f>H814+I814</f>
        <v/>
      </c>
    </row>
    <row r="815">
      <c r="A815" s="8" t="n">
        <v>46110</v>
      </c>
      <c r="B815" t="inlineStr">
        <is>
          <t>2026-W13</t>
        </is>
      </c>
      <c r="C815" t="inlineStr">
        <is>
          <t>Nuvei</t>
        </is>
      </c>
      <c r="D815" t="inlineStr">
        <is>
          <t>EUR</t>
        </is>
      </c>
      <c r="E815" s="9" t="n">
        <v>176746.76</v>
      </c>
      <c r="F815" s="9" t="n">
        <v>-4969.81</v>
      </c>
      <c r="G815" s="9" t="n">
        <v>0</v>
      </c>
      <c r="H815" s="9">
        <f>IF(D815="USD",E815*$N$1,E815)</f>
        <v/>
      </c>
      <c r="I815" s="9">
        <f>IF(D815="USD",F815*$N$1,F815)</f>
        <v/>
      </c>
      <c r="J815" s="9">
        <f>IF(D815="USD",G815*$N$1,G815)</f>
        <v/>
      </c>
      <c r="K815" s="9">
        <f>H815+I815</f>
        <v/>
      </c>
    </row>
    <row r="816">
      <c r="A816" s="8" t="n">
        <v>46111</v>
      </c>
      <c r="B816" t="inlineStr">
        <is>
          <t>2026-W14</t>
        </is>
      </c>
      <c r="C816" t="inlineStr">
        <is>
          <t>Adyen</t>
        </is>
      </c>
      <c r="D816" t="inlineStr">
        <is>
          <t>EUR</t>
        </is>
      </c>
      <c r="E816" s="9" t="n">
        <v>0</v>
      </c>
      <c r="F816" s="9" t="n">
        <v>0</v>
      </c>
      <c r="G816" s="9" t="n">
        <v>-538176.87</v>
      </c>
      <c r="H816" s="9">
        <f>IF(D816="USD",E816*$N$1,E816)</f>
        <v/>
      </c>
      <c r="I816" s="9">
        <f>IF(D816="USD",F816*$N$1,F816)</f>
        <v/>
      </c>
      <c r="J816" s="9">
        <f>IF(D816="USD",G816*$N$1,G816)</f>
        <v/>
      </c>
      <c r="K816" s="9">
        <f>H816+I816</f>
        <v/>
      </c>
    </row>
    <row r="817">
      <c r="A817" s="8" t="n">
        <v>46111</v>
      </c>
      <c r="B817" t="inlineStr">
        <is>
          <t>2026-W14</t>
        </is>
      </c>
      <c r="C817" t="inlineStr">
        <is>
          <t>Adyen</t>
        </is>
      </c>
      <c r="D817" t="inlineStr">
        <is>
          <t>EUR</t>
        </is>
      </c>
      <c r="E817" s="9" t="n">
        <v>526103.6800000001</v>
      </c>
      <c r="F817" s="9" t="n">
        <v>-11030.85999999999</v>
      </c>
      <c r="G817" s="9" t="n">
        <v>0</v>
      </c>
      <c r="H817" s="9">
        <f>IF(D817="USD",E817*$N$1,E817)</f>
        <v/>
      </c>
      <c r="I817" s="9">
        <f>IF(D817="USD",F817*$N$1,F817)</f>
        <v/>
      </c>
      <c r="J817" s="9">
        <f>IF(D817="USD",G817*$N$1,G817)</f>
        <v/>
      </c>
      <c r="K817" s="9">
        <f>H817+I817</f>
        <v/>
      </c>
    </row>
    <row r="818">
      <c r="A818" s="8" t="n">
        <v>46111</v>
      </c>
      <c r="B818" t="inlineStr">
        <is>
          <t>2026-W14</t>
        </is>
      </c>
      <c r="C818" t="inlineStr">
        <is>
          <t>Adyen</t>
        </is>
      </c>
      <c r="D818" t="inlineStr">
        <is>
          <t>EUR</t>
        </is>
      </c>
      <c r="E818" s="9" t="n">
        <v>81598.21000000001</v>
      </c>
      <c r="F818" s="9" t="n">
        <v>0</v>
      </c>
      <c r="G818" s="9" t="n">
        <v>0</v>
      </c>
      <c r="H818" s="9">
        <f>IF(D818="USD",E818*$N$1,E818)</f>
        <v/>
      </c>
      <c r="I818" s="9">
        <f>IF(D818="USD",F818*$N$1,F818)</f>
        <v/>
      </c>
      <c r="J818" s="9">
        <f>IF(D818="USD",G818*$N$1,G818)</f>
        <v/>
      </c>
      <c r="K818" s="9">
        <f>H818+I818</f>
        <v/>
      </c>
    </row>
    <row r="819">
      <c r="A819" s="8" t="n">
        <v>46111</v>
      </c>
      <c r="B819" t="inlineStr">
        <is>
          <t>2026-W14</t>
        </is>
      </c>
      <c r="C819" t="inlineStr">
        <is>
          <t>Nuvei</t>
        </is>
      </c>
      <c r="D819" t="inlineStr">
        <is>
          <t>EUR</t>
        </is>
      </c>
      <c r="E819" s="9" t="n">
        <v>0</v>
      </c>
      <c r="F819" s="9" t="n">
        <v>0</v>
      </c>
      <c r="G819" s="9" t="n">
        <v>-812205.58</v>
      </c>
      <c r="H819" s="9">
        <f>IF(D819="USD",E819*$N$1,E819)</f>
        <v/>
      </c>
      <c r="I819" s="9">
        <f>IF(D819="USD",F819*$N$1,F819)</f>
        <v/>
      </c>
      <c r="J819" s="9">
        <f>IF(D819="USD",G819*$N$1,G819)</f>
        <v/>
      </c>
      <c r="K819" s="9">
        <f>H819+I819</f>
        <v/>
      </c>
    </row>
    <row r="820">
      <c r="A820" s="8" t="n">
        <v>46111</v>
      </c>
      <c r="B820" t="inlineStr">
        <is>
          <t>2026-W14</t>
        </is>
      </c>
      <c r="C820" t="inlineStr">
        <is>
          <t>Nuvei</t>
        </is>
      </c>
      <c r="D820" t="inlineStr">
        <is>
          <t>EUR</t>
        </is>
      </c>
      <c r="E820" s="9" t="n">
        <v>872965.23</v>
      </c>
      <c r="F820" s="9" t="n">
        <v>-12446.15</v>
      </c>
      <c r="G820" s="9" t="n">
        <v>0</v>
      </c>
      <c r="H820" s="9">
        <f>IF(D820="USD",E820*$N$1,E820)</f>
        <v/>
      </c>
      <c r="I820" s="9">
        <f>IF(D820="USD",F820*$N$1,F820)</f>
        <v/>
      </c>
      <c r="J820" s="9">
        <f>IF(D820="USD",G820*$N$1,G820)</f>
        <v/>
      </c>
      <c r="K820" s="9">
        <f>H820+I820</f>
        <v/>
      </c>
    </row>
    <row r="821">
      <c r="A821" s="8" t="n">
        <v>46111</v>
      </c>
      <c r="B821" t="inlineStr">
        <is>
          <t>2026-W14</t>
        </is>
      </c>
      <c r="C821" t="inlineStr">
        <is>
          <t>Nuvei</t>
        </is>
      </c>
      <c r="D821" t="inlineStr">
        <is>
          <t>EUR</t>
        </is>
      </c>
      <c r="E821" s="9" t="n">
        <v>208976.98</v>
      </c>
      <c r="F821" s="9" t="n">
        <v>-6119.7</v>
      </c>
      <c r="G821" s="9" t="n">
        <v>0</v>
      </c>
      <c r="H821" s="9">
        <f>IF(D821="USD",E821*$N$1,E821)</f>
        <v/>
      </c>
      <c r="I821" s="9">
        <f>IF(D821="USD",F821*$N$1,F821)</f>
        <v/>
      </c>
      <c r="J821" s="9">
        <f>IF(D821="USD",G821*$N$1,G821)</f>
        <v/>
      </c>
      <c r="K821" s="9">
        <f>H821+I821</f>
        <v/>
      </c>
    </row>
    <row r="822">
      <c r="A822" s="8" t="n">
        <v>46111</v>
      </c>
      <c r="B822" t="inlineStr">
        <is>
          <t>2026-W14</t>
        </is>
      </c>
      <c r="C822" t="inlineStr">
        <is>
          <t>Shift4</t>
        </is>
      </c>
      <c r="D822" t="inlineStr">
        <is>
          <t>EUR</t>
        </is>
      </c>
      <c r="E822" s="9" t="n">
        <v>289542.9300000003</v>
      </c>
      <c r="F822" s="9" t="n">
        <v>-3657.807680000001</v>
      </c>
      <c r="G822" s="9" t="n">
        <v>0</v>
      </c>
      <c r="H822" s="9">
        <f>IF(D822="USD",E822*$N$1,E822)</f>
        <v/>
      </c>
      <c r="I822" s="9">
        <f>IF(D822="USD",F822*$N$1,F822)</f>
        <v/>
      </c>
      <c r="J822" s="9">
        <f>IF(D822="USD",G822*$N$1,G822)</f>
        <v/>
      </c>
      <c r="K822" s="9">
        <f>H822+I822</f>
        <v/>
      </c>
    </row>
    <row r="823">
      <c r="A823" s="8" t="n">
        <v>46112</v>
      </c>
      <c r="B823" t="inlineStr">
        <is>
          <t>2026-W14</t>
        </is>
      </c>
      <c r="C823" t="inlineStr">
        <is>
          <t>Adyen</t>
        </is>
      </c>
      <c r="D823" t="inlineStr">
        <is>
          <t>EUR</t>
        </is>
      </c>
      <c r="E823" s="9" t="n">
        <v>0</v>
      </c>
      <c r="F823" s="9" t="n">
        <v>0</v>
      </c>
      <c r="G823" s="9" t="n">
        <v>-1185856.66</v>
      </c>
      <c r="H823" s="9">
        <f>IF(D823="USD",E823*$N$1,E823)</f>
        <v/>
      </c>
      <c r="I823" s="9">
        <f>IF(D823="USD",F823*$N$1,F823)</f>
        <v/>
      </c>
      <c r="J823" s="9">
        <f>IF(D823="USD",G823*$N$1,G823)</f>
        <v/>
      </c>
      <c r="K823" s="9">
        <f>H823+I823</f>
        <v/>
      </c>
    </row>
    <row r="824">
      <c r="A824" s="8" t="n">
        <v>46112</v>
      </c>
      <c r="B824" t="inlineStr">
        <is>
          <t>2026-W14</t>
        </is>
      </c>
      <c r="C824" t="inlineStr">
        <is>
          <t>Adyen</t>
        </is>
      </c>
      <c r="D824" t="inlineStr">
        <is>
          <t>EUR</t>
        </is>
      </c>
      <c r="E824" s="9" t="n">
        <v>548734.84</v>
      </c>
      <c r="F824" s="9" t="n">
        <v>-8568.269999999902</v>
      </c>
      <c r="G824" s="9" t="n">
        <v>0</v>
      </c>
      <c r="H824" s="9">
        <f>IF(D824="USD",E824*$N$1,E824)</f>
        <v/>
      </c>
      <c r="I824" s="9">
        <f>IF(D824="USD",F824*$N$1,F824)</f>
        <v/>
      </c>
      <c r="J824" s="9">
        <f>IF(D824="USD",G824*$N$1,G824)</f>
        <v/>
      </c>
      <c r="K824" s="9">
        <f>H824+I824</f>
        <v/>
      </c>
    </row>
    <row r="825">
      <c r="A825" s="8" t="n">
        <v>46112</v>
      </c>
      <c r="B825" t="inlineStr">
        <is>
          <t>2026-W14</t>
        </is>
      </c>
      <c r="C825" t="inlineStr">
        <is>
          <t>Adyen</t>
        </is>
      </c>
      <c r="D825" t="inlineStr">
        <is>
          <t>EUR</t>
        </is>
      </c>
      <c r="E825" s="9" t="n">
        <v>79394.23</v>
      </c>
      <c r="F825" s="9" t="n">
        <v>0</v>
      </c>
      <c r="G825" s="9" t="n">
        <v>0</v>
      </c>
      <c r="H825" s="9">
        <f>IF(D825="USD",E825*$N$1,E825)</f>
        <v/>
      </c>
      <c r="I825" s="9">
        <f>IF(D825="USD",F825*$N$1,F825)</f>
        <v/>
      </c>
      <c r="J825" s="9">
        <f>IF(D825="USD",G825*$N$1,G825)</f>
        <v/>
      </c>
      <c r="K825" s="9">
        <f>H825+I825</f>
        <v/>
      </c>
    </row>
    <row r="826">
      <c r="A826" s="8" t="n">
        <v>46112</v>
      </c>
      <c r="B826" t="inlineStr">
        <is>
          <t>2026-W14</t>
        </is>
      </c>
      <c r="C826" t="inlineStr">
        <is>
          <t>Nuvei</t>
        </is>
      </c>
      <c r="D826" t="inlineStr">
        <is>
          <t>EUR</t>
        </is>
      </c>
      <c r="E826" s="9" t="n">
        <v>0</v>
      </c>
      <c r="F826" s="9" t="n">
        <v>0</v>
      </c>
      <c r="G826" s="9" t="n">
        <v>-795011.8</v>
      </c>
      <c r="H826" s="9">
        <f>IF(D826="USD",E826*$N$1,E826)</f>
        <v/>
      </c>
      <c r="I826" s="9">
        <f>IF(D826="USD",F826*$N$1,F826)</f>
        <v/>
      </c>
      <c r="J826" s="9">
        <f>IF(D826="USD",G826*$N$1,G826)</f>
        <v/>
      </c>
      <c r="K826" s="9">
        <f>H826+I826</f>
        <v/>
      </c>
    </row>
    <row r="827">
      <c r="A827" s="8" t="n">
        <v>46112</v>
      </c>
      <c r="B827" t="inlineStr">
        <is>
          <t>2026-W14</t>
        </is>
      </c>
      <c r="C827" t="inlineStr">
        <is>
          <t>Nuvei</t>
        </is>
      </c>
      <c r="D827" t="inlineStr">
        <is>
          <t>EUR</t>
        </is>
      </c>
      <c r="E827" s="9" t="n">
        <v>0</v>
      </c>
      <c r="F827" s="9" t="n">
        <v>0</v>
      </c>
      <c r="G827" s="9" t="n">
        <v>-26910.42</v>
      </c>
      <c r="H827" s="9">
        <f>IF(D827="USD",E827*$N$1,E827)</f>
        <v/>
      </c>
      <c r="I827" s="9">
        <f>IF(D827="USD",F827*$N$1,F827)</f>
        <v/>
      </c>
      <c r="J827" s="9">
        <f>IF(D827="USD",G827*$N$1,G827)</f>
        <v/>
      </c>
      <c r="K827" s="9">
        <f>H827+I827</f>
        <v/>
      </c>
    </row>
    <row r="828">
      <c r="A828" s="8" t="n">
        <v>46112</v>
      </c>
      <c r="B828" t="inlineStr">
        <is>
          <t>2026-W14</t>
        </is>
      </c>
      <c r="C828" t="inlineStr">
        <is>
          <t>Nuvei</t>
        </is>
      </c>
      <c r="D828" t="inlineStr">
        <is>
          <t>EUR</t>
        </is>
      </c>
      <c r="E828" s="9" t="n">
        <v>559335.22</v>
      </c>
      <c r="F828" s="9" t="n">
        <v>-9086.139999999999</v>
      </c>
      <c r="G828" s="9" t="n">
        <v>0</v>
      </c>
      <c r="H828" s="9">
        <f>IF(D828="USD",E828*$N$1,E828)</f>
        <v/>
      </c>
      <c r="I828" s="9">
        <f>IF(D828="USD",F828*$N$1,F828)</f>
        <v/>
      </c>
      <c r="J828" s="9">
        <f>IF(D828="USD",G828*$N$1,G828)</f>
        <v/>
      </c>
      <c r="K828" s="9">
        <f>H828+I828</f>
        <v/>
      </c>
    </row>
    <row r="829">
      <c r="A829" s="8" t="n">
        <v>46112</v>
      </c>
      <c r="B829" t="inlineStr">
        <is>
          <t>2026-W14</t>
        </is>
      </c>
      <c r="C829" t="inlineStr">
        <is>
          <t>Nuvei</t>
        </is>
      </c>
      <c r="D829" t="inlineStr">
        <is>
          <t>EUR</t>
        </is>
      </c>
      <c r="E829" s="9" t="n">
        <v>214236.83</v>
      </c>
      <c r="F829" s="9" t="n">
        <v>-6293.21</v>
      </c>
      <c r="G829" s="9" t="n">
        <v>0</v>
      </c>
      <c r="H829" s="9">
        <f>IF(D829="USD",E829*$N$1,E829)</f>
        <v/>
      </c>
      <c r="I829" s="9">
        <f>IF(D829="USD",F829*$N$1,F829)</f>
        <v/>
      </c>
      <c r="J829" s="9">
        <f>IF(D829="USD",G829*$N$1,G829)</f>
        <v/>
      </c>
      <c r="K829" s="9">
        <f>H829+I829</f>
        <v/>
      </c>
    </row>
    <row r="830">
      <c r="A830" s="8" t="n">
        <v>46112</v>
      </c>
      <c r="B830" t="inlineStr">
        <is>
          <t>2026-W14</t>
        </is>
      </c>
      <c r="C830" t="inlineStr">
        <is>
          <t>Shift4</t>
        </is>
      </c>
      <c r="D830" t="inlineStr">
        <is>
          <t>EUR</t>
        </is>
      </c>
      <c r="E830" s="9" t="n">
        <v>454942.2800000003</v>
      </c>
      <c r="F830" s="9" t="n">
        <v>-5819.32189999999</v>
      </c>
      <c r="G830" s="9" t="n">
        <v>0</v>
      </c>
      <c r="H830" s="9">
        <f>IF(D830="USD",E830*$N$1,E830)</f>
        <v/>
      </c>
      <c r="I830" s="9">
        <f>IF(D830="USD",F830*$N$1,F830)</f>
        <v/>
      </c>
      <c r="J830" s="9">
        <f>IF(D830="USD",G830*$N$1,G830)</f>
        <v/>
      </c>
      <c r="K830" s="9">
        <f>H830+I830</f>
        <v/>
      </c>
    </row>
    <row r="831">
      <c r="A831" s="8" t="n">
        <v>46113</v>
      </c>
      <c r="B831" t="inlineStr">
        <is>
          <t>2026-W14</t>
        </is>
      </c>
      <c r="C831" t="inlineStr">
        <is>
          <t>Adyen</t>
        </is>
      </c>
      <c r="D831" t="inlineStr">
        <is>
          <t>EUR</t>
        </is>
      </c>
      <c r="E831" s="9" t="n">
        <v>0</v>
      </c>
      <c r="F831" s="9" t="n">
        <v>0</v>
      </c>
      <c r="G831" s="9" t="n">
        <v>-596671.03</v>
      </c>
      <c r="H831" s="9">
        <f>IF(D831="USD",E831*$N$1,E831)</f>
        <v/>
      </c>
      <c r="I831" s="9">
        <f>IF(D831="USD",F831*$N$1,F831)</f>
        <v/>
      </c>
      <c r="J831" s="9">
        <f>IF(D831="USD",G831*$N$1,G831)</f>
        <v/>
      </c>
      <c r="K831" s="9">
        <f>H831+I831</f>
        <v/>
      </c>
    </row>
    <row r="832">
      <c r="A832" s="8" t="n">
        <v>46113</v>
      </c>
      <c r="B832" t="inlineStr">
        <is>
          <t>2026-W14</t>
        </is>
      </c>
      <c r="C832" t="inlineStr">
        <is>
          <t>Adyen</t>
        </is>
      </c>
      <c r="D832" t="inlineStr">
        <is>
          <t>EUR</t>
        </is>
      </c>
      <c r="E832" s="9" t="n">
        <v>751338.09</v>
      </c>
      <c r="F832" s="9" t="n">
        <v>-13581.13</v>
      </c>
      <c r="G832" s="9" t="n">
        <v>0</v>
      </c>
      <c r="H832" s="9">
        <f>IF(D832="USD",E832*$N$1,E832)</f>
        <v/>
      </c>
      <c r="I832" s="9">
        <f>IF(D832="USD",F832*$N$1,F832)</f>
        <v/>
      </c>
      <c r="J832" s="9">
        <f>IF(D832="USD",G832*$N$1,G832)</f>
        <v/>
      </c>
      <c r="K832" s="9">
        <f>H832+I832</f>
        <v/>
      </c>
    </row>
    <row r="833">
      <c r="A833" s="8" t="n">
        <v>46113</v>
      </c>
      <c r="B833" t="inlineStr">
        <is>
          <t>2026-W14</t>
        </is>
      </c>
      <c r="C833" t="inlineStr">
        <is>
          <t>Adyen</t>
        </is>
      </c>
      <c r="D833" t="inlineStr">
        <is>
          <t>EUR</t>
        </is>
      </c>
      <c r="E833" s="9" t="n">
        <v>89409.32000000001</v>
      </c>
      <c r="F833" s="9" t="n">
        <v>0</v>
      </c>
      <c r="G833" s="9" t="n">
        <v>0</v>
      </c>
      <c r="H833" s="9">
        <f>IF(D833="USD",E833*$N$1,E833)</f>
        <v/>
      </c>
      <c r="I833" s="9">
        <f>IF(D833="USD",F833*$N$1,F833)</f>
        <v/>
      </c>
      <c r="J833" s="9">
        <f>IF(D833="USD",G833*$N$1,G833)</f>
        <v/>
      </c>
      <c r="K833" s="9">
        <f>H833+I833</f>
        <v/>
      </c>
    </row>
    <row r="834">
      <c r="A834" s="8" t="n">
        <v>46113</v>
      </c>
      <c r="B834" t="inlineStr">
        <is>
          <t>2026-W14</t>
        </is>
      </c>
      <c r="C834" t="inlineStr">
        <is>
          <t>Nuvei</t>
        </is>
      </c>
      <c r="D834" t="inlineStr">
        <is>
          <t>EUR</t>
        </is>
      </c>
      <c r="E834" s="9" t="n">
        <v>0</v>
      </c>
      <c r="F834" s="9" t="n">
        <v>0</v>
      </c>
      <c r="G834" s="9" t="n">
        <v>-962918.0699999999</v>
      </c>
      <c r="H834" s="9">
        <f>IF(D834="USD",E834*$N$1,E834)</f>
        <v/>
      </c>
      <c r="I834" s="9">
        <f>IF(D834="USD",F834*$N$1,F834)</f>
        <v/>
      </c>
      <c r="J834" s="9">
        <f>IF(D834="USD",G834*$N$1,G834)</f>
        <v/>
      </c>
      <c r="K834" s="9">
        <f>H834+I834</f>
        <v/>
      </c>
    </row>
    <row r="835">
      <c r="A835" s="8" t="n">
        <v>46113</v>
      </c>
      <c r="B835" t="inlineStr">
        <is>
          <t>2026-W14</t>
        </is>
      </c>
      <c r="C835" t="inlineStr">
        <is>
          <t>Nuvei</t>
        </is>
      </c>
      <c r="D835" t="inlineStr">
        <is>
          <t>EUR</t>
        </is>
      </c>
      <c r="E835" s="9" t="n">
        <v>0</v>
      </c>
      <c r="F835" s="9" t="n">
        <v>0</v>
      </c>
      <c r="G835" s="9" t="n">
        <v>-176218.85</v>
      </c>
      <c r="H835" s="9">
        <f>IF(D835="USD",E835*$N$1,E835)</f>
        <v/>
      </c>
      <c r="I835" s="9">
        <f>IF(D835="USD",F835*$N$1,F835)</f>
        <v/>
      </c>
      <c r="J835" s="9">
        <f>IF(D835="USD",G835*$N$1,G835)</f>
        <v/>
      </c>
      <c r="K835" s="9">
        <f>H835+I835</f>
        <v/>
      </c>
    </row>
    <row r="836">
      <c r="A836" s="8" t="n">
        <v>46113</v>
      </c>
      <c r="B836" t="inlineStr">
        <is>
          <t>2026-W14</t>
        </is>
      </c>
      <c r="C836" t="inlineStr">
        <is>
          <t>Nuvei</t>
        </is>
      </c>
      <c r="D836" t="inlineStr">
        <is>
          <t>EUR</t>
        </is>
      </c>
      <c r="E836" s="9" t="n">
        <v>759754.04</v>
      </c>
      <c r="F836" s="9" t="n">
        <v>-9945.540000000001</v>
      </c>
      <c r="G836" s="9" t="n">
        <v>0</v>
      </c>
      <c r="H836" s="9">
        <f>IF(D836="USD",E836*$N$1,E836)</f>
        <v/>
      </c>
      <c r="I836" s="9">
        <f>IF(D836="USD",F836*$N$1,F836)</f>
        <v/>
      </c>
      <c r="J836" s="9">
        <f>IF(D836="USD",G836*$N$1,G836)</f>
        <v/>
      </c>
      <c r="K836" s="9">
        <f>H836+I836</f>
        <v/>
      </c>
    </row>
    <row r="837">
      <c r="A837" s="8" t="n">
        <v>46113</v>
      </c>
      <c r="B837" t="inlineStr">
        <is>
          <t>2026-W14</t>
        </is>
      </c>
      <c r="C837" t="inlineStr">
        <is>
          <t>Nuvei</t>
        </is>
      </c>
      <c r="D837" t="inlineStr">
        <is>
          <t>EUR</t>
        </is>
      </c>
      <c r="E837" s="9" t="n">
        <v>204481.59</v>
      </c>
      <c r="F837" s="9" t="n">
        <v>-5712.81</v>
      </c>
      <c r="G837" s="9" t="n">
        <v>0</v>
      </c>
      <c r="H837" s="9">
        <f>IF(D837="USD",E837*$N$1,E837)</f>
        <v/>
      </c>
      <c r="I837" s="9">
        <f>IF(D837="USD",F837*$N$1,F837)</f>
        <v/>
      </c>
      <c r="J837" s="9">
        <f>IF(D837="USD",G837*$N$1,G837)</f>
        <v/>
      </c>
      <c r="K837" s="9">
        <f>H837+I837</f>
        <v/>
      </c>
    </row>
    <row r="838">
      <c r="A838" s="8" t="n">
        <v>46113</v>
      </c>
      <c r="B838" t="inlineStr">
        <is>
          <t>2026-W14</t>
        </is>
      </c>
      <c r="C838" t="inlineStr">
        <is>
          <t>Shift4</t>
        </is>
      </c>
      <c r="D838" t="inlineStr">
        <is>
          <t>EUR</t>
        </is>
      </c>
      <c r="E838" s="9" t="n">
        <v>664964.8200000008</v>
      </c>
      <c r="F838" s="9" t="n">
        <v>-7493.080769999977</v>
      </c>
      <c r="G838" s="9" t="n">
        <v>0</v>
      </c>
      <c r="H838" s="9">
        <f>IF(D838="USD",E838*$N$1,E838)</f>
        <v/>
      </c>
      <c r="I838" s="9">
        <f>IF(D838="USD",F838*$N$1,F838)</f>
        <v/>
      </c>
      <c r="J838" s="9">
        <f>IF(D838="USD",G838*$N$1,G838)</f>
        <v/>
      </c>
      <c r="K838" s="9">
        <f>H838+I838</f>
        <v/>
      </c>
    </row>
    <row r="839">
      <c r="A839" s="8" t="n">
        <v>46114</v>
      </c>
      <c r="B839" t="inlineStr">
        <is>
          <t>2026-W14</t>
        </is>
      </c>
      <c r="C839" t="inlineStr">
        <is>
          <t>Adyen</t>
        </is>
      </c>
      <c r="D839" t="inlineStr">
        <is>
          <t>EUR</t>
        </is>
      </c>
      <c r="E839" s="9" t="n">
        <v>0</v>
      </c>
      <c r="F839" s="9" t="n">
        <v>0</v>
      </c>
      <c r="G839" s="9" t="n">
        <v>-619560.8</v>
      </c>
      <c r="H839" s="9">
        <f>IF(D839="USD",E839*$N$1,E839)</f>
        <v/>
      </c>
      <c r="I839" s="9">
        <f>IF(D839="USD",F839*$N$1,F839)</f>
        <v/>
      </c>
      <c r="J839" s="9">
        <f>IF(D839="USD",G839*$N$1,G839)</f>
        <v/>
      </c>
      <c r="K839" s="9">
        <f>H839+I839</f>
        <v/>
      </c>
    </row>
    <row r="840">
      <c r="A840" s="8" t="n">
        <v>46114</v>
      </c>
      <c r="B840" t="inlineStr">
        <is>
          <t>2026-W14</t>
        </is>
      </c>
      <c r="C840" t="inlineStr">
        <is>
          <t>Adyen</t>
        </is>
      </c>
      <c r="D840" t="inlineStr">
        <is>
          <t>EUR</t>
        </is>
      </c>
      <c r="E840" s="9" t="n">
        <v>608691.96</v>
      </c>
      <c r="F840" s="9" t="n">
        <v>-299153.2799999998</v>
      </c>
      <c r="G840" s="9" t="n">
        <v>0</v>
      </c>
      <c r="H840" s="9">
        <f>IF(D840="USD",E840*$N$1,E840)</f>
        <v/>
      </c>
      <c r="I840" s="9">
        <f>IF(D840="USD",F840*$N$1,F840)</f>
        <v/>
      </c>
      <c r="J840" s="9">
        <f>IF(D840="USD",G840*$N$1,G840)</f>
        <v/>
      </c>
      <c r="K840" s="9">
        <f>H840+I840</f>
        <v/>
      </c>
    </row>
    <row r="841">
      <c r="A841" s="8" t="n">
        <v>46114</v>
      </c>
      <c r="B841" t="inlineStr">
        <is>
          <t>2026-W14</t>
        </is>
      </c>
      <c r="C841" t="inlineStr">
        <is>
          <t>Adyen</t>
        </is>
      </c>
      <c r="D841" t="inlineStr">
        <is>
          <t>EUR</t>
        </is>
      </c>
      <c r="E841" s="9" t="n">
        <v>84277.88</v>
      </c>
      <c r="F841" s="9" t="n">
        <v>0</v>
      </c>
      <c r="G841" s="9" t="n">
        <v>0</v>
      </c>
      <c r="H841" s="9">
        <f>IF(D841="USD",E841*$N$1,E841)</f>
        <v/>
      </c>
      <c r="I841" s="9">
        <f>IF(D841="USD",F841*$N$1,F841)</f>
        <v/>
      </c>
      <c r="J841" s="9">
        <f>IF(D841="USD",G841*$N$1,G841)</f>
        <v/>
      </c>
      <c r="K841" s="9">
        <f>H841+I841</f>
        <v/>
      </c>
    </row>
    <row r="842">
      <c r="A842" s="8" t="n">
        <v>46114</v>
      </c>
      <c r="B842" t="inlineStr">
        <is>
          <t>2026-W14</t>
        </is>
      </c>
      <c r="C842" t="inlineStr">
        <is>
          <t>Nuvei</t>
        </is>
      </c>
      <c r="D842" t="inlineStr">
        <is>
          <t>EUR</t>
        </is>
      </c>
      <c r="E842" s="9" t="n">
        <v>0</v>
      </c>
      <c r="F842" s="9" t="n">
        <v>0</v>
      </c>
      <c r="G842" s="9" t="n">
        <v>-230595.31</v>
      </c>
      <c r="H842" s="9">
        <f>IF(D842="USD",E842*$N$1,E842)</f>
        <v/>
      </c>
      <c r="I842" s="9">
        <f>IF(D842="USD",F842*$N$1,F842)</f>
        <v/>
      </c>
      <c r="J842" s="9">
        <f>IF(D842="USD",G842*$N$1,G842)</f>
        <v/>
      </c>
      <c r="K842" s="9">
        <f>H842+I842</f>
        <v/>
      </c>
    </row>
    <row r="843">
      <c r="A843" s="8" t="n">
        <v>46114</v>
      </c>
      <c r="B843" t="inlineStr">
        <is>
          <t>2026-W14</t>
        </is>
      </c>
      <c r="C843" t="inlineStr">
        <is>
          <t>Nuvei</t>
        </is>
      </c>
      <c r="D843" t="inlineStr">
        <is>
          <t>EUR</t>
        </is>
      </c>
      <c r="E843" s="9" t="n">
        <v>0</v>
      </c>
      <c r="F843" s="9" t="n">
        <v>0</v>
      </c>
      <c r="G843" s="9" t="n">
        <v>-153366.01</v>
      </c>
      <c r="H843" s="9">
        <f>IF(D843="USD",E843*$N$1,E843)</f>
        <v/>
      </c>
      <c r="I843" s="9">
        <f>IF(D843="USD",F843*$N$1,F843)</f>
        <v/>
      </c>
      <c r="J843" s="9">
        <f>IF(D843="USD",G843*$N$1,G843)</f>
        <v/>
      </c>
      <c r="K843" s="9">
        <f>H843+I843</f>
        <v/>
      </c>
    </row>
    <row r="844">
      <c r="A844" s="8" t="n">
        <v>46114</v>
      </c>
      <c r="B844" t="inlineStr">
        <is>
          <t>2026-W14</t>
        </is>
      </c>
      <c r="C844" t="inlineStr">
        <is>
          <t>Nuvei</t>
        </is>
      </c>
      <c r="D844" t="inlineStr">
        <is>
          <t>EUR</t>
        </is>
      </c>
      <c r="E844" s="9" t="n">
        <v>549911.34</v>
      </c>
      <c r="F844" s="9" t="n">
        <v>-8026.14</v>
      </c>
      <c r="G844" s="9" t="n">
        <v>0</v>
      </c>
      <c r="H844" s="9">
        <f>IF(D844="USD",E844*$N$1,E844)</f>
        <v/>
      </c>
      <c r="I844" s="9">
        <f>IF(D844="USD",F844*$N$1,F844)</f>
        <v/>
      </c>
      <c r="J844" s="9">
        <f>IF(D844="USD",G844*$N$1,G844)</f>
        <v/>
      </c>
      <c r="K844" s="9">
        <f>H844+I844</f>
        <v/>
      </c>
    </row>
    <row r="845">
      <c r="A845" s="8" t="n">
        <v>46114</v>
      </c>
      <c r="B845" t="inlineStr">
        <is>
          <t>2026-W14</t>
        </is>
      </c>
      <c r="C845" t="inlineStr">
        <is>
          <t>Nuvei</t>
        </is>
      </c>
      <c r="D845" t="inlineStr">
        <is>
          <t>EUR</t>
        </is>
      </c>
      <c r="E845" s="9" t="n">
        <v>161399.59</v>
      </c>
      <c r="F845" s="9" t="n">
        <v>-4675.87</v>
      </c>
      <c r="G845" s="9" t="n">
        <v>0</v>
      </c>
      <c r="H845" s="9">
        <f>IF(D845="USD",E845*$N$1,E845)</f>
        <v/>
      </c>
      <c r="I845" s="9">
        <f>IF(D845="USD",F845*$N$1,F845)</f>
        <v/>
      </c>
      <c r="J845" s="9">
        <f>IF(D845="USD",G845*$N$1,G845)</f>
        <v/>
      </c>
      <c r="K845" s="9">
        <f>H845+I845</f>
        <v/>
      </c>
    </row>
    <row r="846">
      <c r="A846" s="8" t="n">
        <v>46114</v>
      </c>
      <c r="B846" t="inlineStr">
        <is>
          <t>2026-W14</t>
        </is>
      </c>
      <c r="C846" t="inlineStr">
        <is>
          <t>Shift4</t>
        </is>
      </c>
      <c r="D846" t="inlineStr">
        <is>
          <t>EUR</t>
        </is>
      </c>
      <c r="E846" s="9" t="n">
        <v>0</v>
      </c>
      <c r="F846" s="9" t="n">
        <v>0</v>
      </c>
      <c r="G846" s="9" t="n">
        <v>-285871.94</v>
      </c>
      <c r="H846" s="9">
        <f>IF(D846="USD",E846*$N$1,E846)</f>
        <v/>
      </c>
      <c r="I846" s="9">
        <f>IF(D846="USD",F846*$N$1,F846)</f>
        <v/>
      </c>
      <c r="J846" s="9">
        <f>IF(D846="USD",G846*$N$1,G846)</f>
        <v/>
      </c>
      <c r="K846" s="9">
        <f>H846+I846</f>
        <v/>
      </c>
    </row>
    <row r="847">
      <c r="A847" s="8" t="n">
        <v>46114</v>
      </c>
      <c r="B847" t="inlineStr">
        <is>
          <t>2026-W14</t>
        </is>
      </c>
      <c r="C847" t="inlineStr">
        <is>
          <t>Shift4</t>
        </is>
      </c>
      <c r="D847" t="inlineStr">
        <is>
          <t>EUR</t>
        </is>
      </c>
      <c r="E847" s="9" t="n">
        <v>579089.9000000005</v>
      </c>
      <c r="F847" s="9" t="n">
        <v>-6416.145339999989</v>
      </c>
      <c r="G847" s="9" t="n">
        <v>0</v>
      </c>
      <c r="H847" s="9">
        <f>IF(D847="USD",E847*$N$1,E847)</f>
        <v/>
      </c>
      <c r="I847" s="9">
        <f>IF(D847="USD",F847*$N$1,F847)</f>
        <v/>
      </c>
      <c r="J847" s="9">
        <f>IF(D847="USD",G847*$N$1,G847)</f>
        <v/>
      </c>
      <c r="K847" s="9">
        <f>H847+I847</f>
        <v/>
      </c>
    </row>
    <row r="848">
      <c r="A848" s="8" t="n">
        <v>46115</v>
      </c>
      <c r="B848" t="inlineStr">
        <is>
          <t>2026-W14</t>
        </is>
      </c>
      <c r="C848" t="inlineStr">
        <is>
          <t>Adyen</t>
        </is>
      </c>
      <c r="D848" t="inlineStr">
        <is>
          <t>EUR</t>
        </is>
      </c>
      <c r="E848" s="9" t="n">
        <v>485568.87</v>
      </c>
      <c r="F848" s="9" t="n">
        <v>0</v>
      </c>
      <c r="G848" s="9" t="n">
        <v>0</v>
      </c>
      <c r="H848" s="9">
        <f>IF(D848="USD",E848*$N$1,E848)</f>
        <v/>
      </c>
      <c r="I848" s="9">
        <f>IF(D848="USD",F848*$N$1,F848)</f>
        <v/>
      </c>
      <c r="J848" s="9">
        <f>IF(D848="USD",G848*$N$1,G848)</f>
        <v/>
      </c>
      <c r="K848" s="9">
        <f>H848+I848</f>
        <v/>
      </c>
    </row>
    <row r="849">
      <c r="A849" s="8" t="n">
        <v>46115</v>
      </c>
      <c r="B849" t="inlineStr">
        <is>
          <t>2026-W14</t>
        </is>
      </c>
      <c r="C849" t="inlineStr">
        <is>
          <t>Adyen</t>
        </is>
      </c>
      <c r="D849" t="inlineStr">
        <is>
          <t>EUR</t>
        </is>
      </c>
      <c r="E849" s="9" t="n">
        <v>74738.73</v>
      </c>
      <c r="F849" s="9" t="n">
        <v>0</v>
      </c>
      <c r="G849" s="9" t="n">
        <v>0</v>
      </c>
      <c r="H849" s="9">
        <f>IF(D849="USD",E849*$N$1,E849)</f>
        <v/>
      </c>
      <c r="I849" s="9">
        <f>IF(D849="USD",F849*$N$1,F849)</f>
        <v/>
      </c>
      <c r="J849" s="9">
        <f>IF(D849="USD",G849*$N$1,G849)</f>
        <v/>
      </c>
      <c r="K849" s="9">
        <f>H849+I849</f>
        <v/>
      </c>
    </row>
    <row r="850">
      <c r="A850" s="8" t="n">
        <v>46115</v>
      </c>
      <c r="B850" t="inlineStr">
        <is>
          <t>2026-W14</t>
        </is>
      </c>
      <c r="C850" t="inlineStr">
        <is>
          <t>Nuvei</t>
        </is>
      </c>
      <c r="D850" t="inlineStr">
        <is>
          <t>EUR</t>
        </is>
      </c>
      <c r="E850" s="9" t="n">
        <v>308582.42</v>
      </c>
      <c r="F850" s="9" t="n">
        <v>-5787.55</v>
      </c>
      <c r="G850" s="9" t="n">
        <v>0</v>
      </c>
      <c r="H850" s="9">
        <f>IF(D850="USD",E850*$N$1,E850)</f>
        <v/>
      </c>
      <c r="I850" s="9">
        <f>IF(D850="USD",F850*$N$1,F850)</f>
        <v/>
      </c>
      <c r="J850" s="9">
        <f>IF(D850="USD",G850*$N$1,G850)</f>
        <v/>
      </c>
      <c r="K850" s="9">
        <f>H850+I850</f>
        <v/>
      </c>
    </row>
    <row r="851">
      <c r="A851" s="8" t="n">
        <v>46115</v>
      </c>
      <c r="B851" t="inlineStr">
        <is>
          <t>2026-W14</t>
        </is>
      </c>
      <c r="C851" t="inlineStr">
        <is>
          <t>Nuvei</t>
        </is>
      </c>
      <c r="D851" t="inlineStr">
        <is>
          <t>EUR</t>
        </is>
      </c>
      <c r="E851" s="9" t="n">
        <v>172005.41</v>
      </c>
      <c r="F851" s="9" t="n">
        <v>-4857.11</v>
      </c>
      <c r="G851" s="9" t="n">
        <v>0</v>
      </c>
      <c r="H851" s="9">
        <f>IF(D851="USD",E851*$N$1,E851)</f>
        <v/>
      </c>
      <c r="I851" s="9">
        <f>IF(D851="USD",F851*$N$1,F851)</f>
        <v/>
      </c>
      <c r="J851" s="9">
        <f>IF(D851="USD",G851*$N$1,G851)</f>
        <v/>
      </c>
      <c r="K851" s="9">
        <f>H851+I851</f>
        <v/>
      </c>
    </row>
    <row r="852">
      <c r="A852" s="8" t="n">
        <v>46115</v>
      </c>
      <c r="B852" t="inlineStr">
        <is>
          <t>2026-W14</t>
        </is>
      </c>
      <c r="C852" t="inlineStr">
        <is>
          <t>Shift4</t>
        </is>
      </c>
      <c r="D852" t="inlineStr">
        <is>
          <t>EUR</t>
        </is>
      </c>
      <c r="E852" s="9" t="n">
        <v>0</v>
      </c>
      <c r="F852" s="9" t="n">
        <v>0</v>
      </c>
      <c r="G852" s="9" t="n">
        <v>-449122.96</v>
      </c>
      <c r="H852" s="9">
        <f>IF(D852="USD",E852*$N$1,E852)</f>
        <v/>
      </c>
      <c r="I852" s="9">
        <f>IF(D852="USD",F852*$N$1,F852)</f>
        <v/>
      </c>
      <c r="J852" s="9">
        <f>IF(D852="USD",G852*$N$1,G852)</f>
        <v/>
      </c>
      <c r="K852" s="9">
        <f>H852+I852</f>
        <v/>
      </c>
    </row>
    <row r="853">
      <c r="A853" s="8" t="n">
        <v>46115</v>
      </c>
      <c r="B853" t="inlineStr">
        <is>
          <t>2026-W14</t>
        </is>
      </c>
      <c r="C853" t="inlineStr">
        <is>
          <t>Shift4</t>
        </is>
      </c>
      <c r="D853" t="inlineStr">
        <is>
          <t>EUR</t>
        </is>
      </c>
      <c r="E853" s="9" t="n">
        <v>483670.1599999999</v>
      </c>
      <c r="F853" s="9" t="n">
        <v>-6028.772680000008</v>
      </c>
      <c r="G853" s="9" t="n">
        <v>0</v>
      </c>
      <c r="H853" s="9">
        <f>IF(D853="USD",E853*$N$1,E853)</f>
        <v/>
      </c>
      <c r="I853" s="9">
        <f>IF(D853="USD",F853*$N$1,F853)</f>
        <v/>
      </c>
      <c r="J853" s="9">
        <f>IF(D853="USD",G853*$N$1,G853)</f>
        <v/>
      </c>
      <c r="K853" s="9">
        <f>H853+I853</f>
        <v/>
      </c>
    </row>
    <row r="854">
      <c r="A854" s="8" t="n">
        <v>46116</v>
      </c>
      <c r="B854" t="inlineStr">
        <is>
          <t>2026-W14</t>
        </is>
      </c>
      <c r="C854" t="inlineStr">
        <is>
          <t>Adyen</t>
        </is>
      </c>
      <c r="D854" t="inlineStr">
        <is>
          <t>EUR</t>
        </is>
      </c>
      <c r="E854" s="9" t="n">
        <v>300694.78</v>
      </c>
      <c r="F854" s="9" t="n">
        <v>0</v>
      </c>
      <c r="G854" s="9" t="n">
        <v>0</v>
      </c>
      <c r="H854" s="9">
        <f>IF(D854="USD",E854*$N$1,E854)</f>
        <v/>
      </c>
      <c r="I854" s="9">
        <f>IF(D854="USD",F854*$N$1,F854)</f>
        <v/>
      </c>
      <c r="J854" s="9">
        <f>IF(D854="USD",G854*$N$1,G854)</f>
        <v/>
      </c>
      <c r="K854" s="9">
        <f>H854+I854</f>
        <v/>
      </c>
    </row>
    <row r="855">
      <c r="A855" s="8" t="n">
        <v>46116</v>
      </c>
      <c r="B855" t="inlineStr">
        <is>
          <t>2026-W14</t>
        </is>
      </c>
      <c r="C855" t="inlineStr">
        <is>
          <t>Adyen</t>
        </is>
      </c>
      <c r="D855" t="inlineStr">
        <is>
          <t>EUR</t>
        </is>
      </c>
      <c r="E855" s="9" t="n">
        <v>46199.38</v>
      </c>
      <c r="F855" s="9" t="n">
        <v>0</v>
      </c>
      <c r="G855" s="9" t="n">
        <v>0</v>
      </c>
      <c r="H855" s="9">
        <f>IF(D855="USD",E855*$N$1,E855)</f>
        <v/>
      </c>
      <c r="I855" s="9">
        <f>IF(D855="USD",F855*$N$1,F855)</f>
        <v/>
      </c>
      <c r="J855" s="9">
        <f>IF(D855="USD",G855*$N$1,G855)</f>
        <v/>
      </c>
      <c r="K855" s="9">
        <f>H855+I855</f>
        <v/>
      </c>
    </row>
    <row r="856">
      <c r="A856" s="8" t="n">
        <v>46116</v>
      </c>
      <c r="B856" t="inlineStr">
        <is>
          <t>2026-W14</t>
        </is>
      </c>
      <c r="C856" t="inlineStr">
        <is>
          <t>Nuvei</t>
        </is>
      </c>
      <c r="D856" t="inlineStr">
        <is>
          <t>EUR</t>
        </is>
      </c>
      <c r="E856" s="9" t="n">
        <v>242299.57</v>
      </c>
      <c r="F856" s="9" t="n">
        <v>-4358.31</v>
      </c>
      <c r="G856" s="9" t="n">
        <v>0</v>
      </c>
      <c r="H856" s="9">
        <f>IF(D856="USD",E856*$N$1,E856)</f>
        <v/>
      </c>
      <c r="I856" s="9">
        <f>IF(D856="USD",F856*$N$1,F856)</f>
        <v/>
      </c>
      <c r="J856" s="9">
        <f>IF(D856="USD",G856*$N$1,G856)</f>
        <v/>
      </c>
      <c r="K856" s="9">
        <f>H856+I856</f>
        <v/>
      </c>
    </row>
    <row r="857">
      <c r="A857" s="8" t="n">
        <v>46116</v>
      </c>
      <c r="B857" t="inlineStr">
        <is>
          <t>2026-W14</t>
        </is>
      </c>
      <c r="C857" t="inlineStr">
        <is>
          <t>Nuvei</t>
        </is>
      </c>
      <c r="D857" t="inlineStr">
        <is>
          <t>EUR</t>
        </is>
      </c>
      <c r="E857" s="9" t="n">
        <v>156085.34</v>
      </c>
      <c r="F857" s="9" t="n">
        <v>-4312.96</v>
      </c>
      <c r="G857" s="9" t="n">
        <v>0</v>
      </c>
      <c r="H857" s="9">
        <f>IF(D857="USD",E857*$N$1,E857)</f>
        <v/>
      </c>
      <c r="I857" s="9">
        <f>IF(D857="USD",F857*$N$1,F857)</f>
        <v/>
      </c>
      <c r="J857" s="9">
        <f>IF(D857="USD",G857*$N$1,G857)</f>
        <v/>
      </c>
      <c r="K857" s="9">
        <f>H857+I857</f>
        <v/>
      </c>
    </row>
    <row r="858">
      <c r="A858" s="8" t="n">
        <v>46116</v>
      </c>
      <c r="B858" t="inlineStr">
        <is>
          <t>2026-W14</t>
        </is>
      </c>
      <c r="C858" t="inlineStr">
        <is>
          <t>Shift4</t>
        </is>
      </c>
      <c r="D858" t="inlineStr">
        <is>
          <t>EUR</t>
        </is>
      </c>
      <c r="E858" s="9" t="n">
        <v>377860.6500000001</v>
      </c>
      <c r="F858" s="9" t="n">
        <v>-4215.532339999999</v>
      </c>
      <c r="G858" s="9" t="n">
        <v>0</v>
      </c>
      <c r="H858" s="9">
        <f>IF(D858="USD",E858*$N$1,E858)</f>
        <v/>
      </c>
      <c r="I858" s="9">
        <f>IF(D858="USD",F858*$N$1,F858)</f>
        <v/>
      </c>
      <c r="J858" s="9">
        <f>IF(D858="USD",G858*$N$1,G858)</f>
        <v/>
      </c>
      <c r="K858" s="9">
        <f>H858+I858</f>
        <v/>
      </c>
    </row>
    <row r="859">
      <c r="A859" s="8" t="n">
        <v>46117</v>
      </c>
      <c r="B859" t="inlineStr">
        <is>
          <t>2026-W14</t>
        </is>
      </c>
      <c r="C859" t="inlineStr">
        <is>
          <t>Adyen</t>
        </is>
      </c>
      <c r="D859" t="inlineStr">
        <is>
          <t>EUR</t>
        </is>
      </c>
      <c r="E859" s="9" t="n">
        <v>285618.37</v>
      </c>
      <c r="F859" s="9" t="n">
        <v>0</v>
      </c>
      <c r="G859" s="9" t="n">
        <v>0</v>
      </c>
      <c r="H859" s="9">
        <f>IF(D859="USD",E859*$N$1,E859)</f>
        <v/>
      </c>
      <c r="I859" s="9">
        <f>IF(D859="USD",F859*$N$1,F859)</f>
        <v/>
      </c>
      <c r="J859" s="9">
        <f>IF(D859="USD",G859*$N$1,G859)</f>
        <v/>
      </c>
      <c r="K859" s="9">
        <f>H859+I859</f>
        <v/>
      </c>
    </row>
    <row r="860">
      <c r="A860" s="8" t="n">
        <v>46117</v>
      </c>
      <c r="B860" t="inlineStr">
        <is>
          <t>2026-W14</t>
        </is>
      </c>
      <c r="C860" t="inlineStr">
        <is>
          <t>Adyen</t>
        </is>
      </c>
      <c r="D860" t="inlineStr">
        <is>
          <t>EUR</t>
        </is>
      </c>
      <c r="E860" s="9" t="n">
        <v>34856.48</v>
      </c>
      <c r="F860" s="9" t="n">
        <v>0</v>
      </c>
      <c r="G860" s="9" t="n">
        <v>0</v>
      </c>
      <c r="H860" s="9">
        <f>IF(D860="USD",E860*$N$1,E860)</f>
        <v/>
      </c>
      <c r="I860" s="9">
        <f>IF(D860="USD",F860*$N$1,F860)</f>
        <v/>
      </c>
      <c r="J860" s="9">
        <f>IF(D860="USD",G860*$N$1,G860)</f>
        <v/>
      </c>
      <c r="K860" s="9">
        <f>H860+I860</f>
        <v/>
      </c>
    </row>
    <row r="861">
      <c r="A861" s="8" t="n">
        <v>46117</v>
      </c>
      <c r="B861" t="inlineStr">
        <is>
          <t>2026-W14</t>
        </is>
      </c>
      <c r="C861" t="inlineStr">
        <is>
          <t>Nuvei</t>
        </is>
      </c>
      <c r="D861" t="inlineStr">
        <is>
          <t>EUR</t>
        </is>
      </c>
      <c r="E861" s="9" t="n">
        <v>227839.85</v>
      </c>
      <c r="F861" s="9" t="n">
        <v>-3714.28</v>
      </c>
      <c r="G861" s="9" t="n">
        <v>0</v>
      </c>
      <c r="H861" s="9">
        <f>IF(D861="USD",E861*$N$1,E861)</f>
        <v/>
      </c>
      <c r="I861" s="9">
        <f>IF(D861="USD",F861*$N$1,F861)</f>
        <v/>
      </c>
      <c r="J861" s="9">
        <f>IF(D861="USD",G861*$N$1,G861)</f>
        <v/>
      </c>
      <c r="K861" s="9">
        <f>H861+I861</f>
        <v/>
      </c>
    </row>
    <row r="862">
      <c r="A862" s="8" t="n">
        <v>46117</v>
      </c>
      <c r="B862" t="inlineStr">
        <is>
          <t>2026-W14</t>
        </is>
      </c>
      <c r="C862" t="inlineStr">
        <is>
          <t>Nuvei</t>
        </is>
      </c>
      <c r="D862" t="inlineStr">
        <is>
          <t>EUR</t>
        </is>
      </c>
      <c r="E862" s="9" t="n">
        <v>88011</v>
      </c>
      <c r="F862" s="9" t="n">
        <v>-2478.01</v>
      </c>
      <c r="G862" s="9" t="n">
        <v>0</v>
      </c>
      <c r="H862" s="9">
        <f>IF(D862="USD",E862*$N$1,E862)</f>
        <v/>
      </c>
      <c r="I862" s="9">
        <f>IF(D862="USD",F862*$N$1,F862)</f>
        <v/>
      </c>
      <c r="J862" s="9">
        <f>IF(D862="USD",G862*$N$1,G862)</f>
        <v/>
      </c>
      <c r="K862" s="9">
        <f>H862+I862</f>
        <v/>
      </c>
    </row>
    <row r="863">
      <c r="A863" s="8" t="n">
        <v>46117</v>
      </c>
      <c r="B863" t="inlineStr">
        <is>
          <t>2026-W14</t>
        </is>
      </c>
      <c r="C863" t="inlineStr">
        <is>
          <t>Shift4</t>
        </is>
      </c>
      <c r="D863" t="inlineStr">
        <is>
          <t>EUR</t>
        </is>
      </c>
      <c r="E863" s="9" t="n">
        <v>408096.3000000005</v>
      </c>
      <c r="F863" s="9" t="n">
        <v>-4523.937699999993</v>
      </c>
      <c r="G863" s="9" t="n">
        <v>0</v>
      </c>
      <c r="H863" s="9">
        <f>IF(D863="USD",E863*$N$1,E863)</f>
        <v/>
      </c>
      <c r="I863" s="9">
        <f>IF(D863="USD",F863*$N$1,F863)</f>
        <v/>
      </c>
      <c r="J863" s="9">
        <f>IF(D863="USD",G863*$N$1,G863)</f>
        <v/>
      </c>
      <c r="K863" s="9">
        <f>H863+I863</f>
        <v/>
      </c>
    </row>
    <row r="864">
      <c r="A864" s="8" t="n">
        <v>46118</v>
      </c>
      <c r="B864" t="inlineStr">
        <is>
          <t>2026-W15</t>
        </is>
      </c>
      <c r="C864" t="inlineStr">
        <is>
          <t>Adyen</t>
        </is>
      </c>
      <c r="D864" t="inlineStr">
        <is>
          <t>EUR</t>
        </is>
      </c>
      <c r="E864" s="9" t="n">
        <v>370551.85</v>
      </c>
      <c r="F864" s="9" t="n">
        <v>0</v>
      </c>
      <c r="G864" s="9" t="n">
        <v>0</v>
      </c>
      <c r="H864" s="9">
        <f>IF(D864="USD",E864*$N$1,E864)</f>
        <v/>
      </c>
      <c r="I864" s="9">
        <f>IF(D864="USD",F864*$N$1,F864)</f>
        <v/>
      </c>
      <c r="J864" s="9">
        <f>IF(D864="USD",G864*$N$1,G864)</f>
        <v/>
      </c>
      <c r="K864" s="9">
        <f>H864+I864</f>
        <v/>
      </c>
    </row>
    <row r="865">
      <c r="A865" s="8" t="n">
        <v>46118</v>
      </c>
      <c r="B865" t="inlineStr">
        <is>
          <t>2026-W15</t>
        </is>
      </c>
      <c r="C865" t="inlineStr">
        <is>
          <t>Adyen</t>
        </is>
      </c>
      <c r="D865" t="inlineStr">
        <is>
          <t>EUR</t>
        </is>
      </c>
      <c r="E865" s="9" t="n">
        <v>39150.65</v>
      </c>
      <c r="F865" s="9" t="n">
        <v>0</v>
      </c>
      <c r="G865" s="9" t="n">
        <v>0</v>
      </c>
      <c r="H865" s="9">
        <f>IF(D865="USD",E865*$N$1,E865)</f>
        <v/>
      </c>
      <c r="I865" s="9">
        <f>IF(D865="USD",F865*$N$1,F865)</f>
        <v/>
      </c>
      <c r="J865" s="9">
        <f>IF(D865="USD",G865*$N$1,G865)</f>
        <v/>
      </c>
      <c r="K865" s="9">
        <f>H865+I865</f>
        <v/>
      </c>
    </row>
    <row r="866">
      <c r="A866" s="8" t="n">
        <v>46118</v>
      </c>
      <c r="B866" t="inlineStr">
        <is>
          <t>2026-W15</t>
        </is>
      </c>
      <c r="C866" t="inlineStr">
        <is>
          <t>Nuvei</t>
        </is>
      </c>
      <c r="D866" t="inlineStr">
        <is>
          <t>EUR</t>
        </is>
      </c>
      <c r="E866" s="9" t="n">
        <v>271911.5</v>
      </c>
      <c r="F866" s="9" t="n">
        <v>-4902.11</v>
      </c>
      <c r="G866" s="9" t="n">
        <v>0</v>
      </c>
      <c r="H866" s="9">
        <f>IF(D866="USD",E866*$N$1,E866)</f>
        <v/>
      </c>
      <c r="I866" s="9">
        <f>IF(D866="USD",F866*$N$1,F866)</f>
        <v/>
      </c>
      <c r="J866" s="9">
        <f>IF(D866="USD",G866*$N$1,G866)</f>
        <v/>
      </c>
      <c r="K866" s="9">
        <f>H866+I866</f>
        <v/>
      </c>
    </row>
    <row r="867">
      <c r="A867" s="8" t="n">
        <v>46118</v>
      </c>
      <c r="B867" t="inlineStr">
        <is>
          <t>2026-W15</t>
        </is>
      </c>
      <c r="C867" t="inlineStr">
        <is>
          <t>Nuvei</t>
        </is>
      </c>
      <c r="D867" t="inlineStr">
        <is>
          <t>EUR</t>
        </is>
      </c>
      <c r="E867" s="9" t="n">
        <v>115408.72</v>
      </c>
      <c r="F867" s="9" t="n">
        <v>-3283.74</v>
      </c>
      <c r="G867" s="9" t="n">
        <v>0</v>
      </c>
      <c r="H867" s="9">
        <f>IF(D867="USD",E867*$N$1,E867)</f>
        <v/>
      </c>
      <c r="I867" s="9">
        <f>IF(D867="USD",F867*$N$1,F867)</f>
        <v/>
      </c>
      <c r="J867" s="9">
        <f>IF(D867="USD",G867*$N$1,G867)</f>
        <v/>
      </c>
      <c r="K867" s="9">
        <f>H867+I867</f>
        <v/>
      </c>
    </row>
    <row r="868">
      <c r="A868" s="8" t="n">
        <v>46118</v>
      </c>
      <c r="B868" t="inlineStr">
        <is>
          <t>2026-W15</t>
        </is>
      </c>
      <c r="C868" t="inlineStr">
        <is>
          <t>Shift4</t>
        </is>
      </c>
      <c r="D868" t="inlineStr">
        <is>
          <t>EUR</t>
        </is>
      </c>
      <c r="E868" s="9" t="n">
        <v>0</v>
      </c>
      <c r="F868" s="9" t="n">
        <v>0</v>
      </c>
      <c r="G868" s="9" t="n">
        <v>-657471.74</v>
      </c>
      <c r="H868" s="9">
        <f>IF(D868="USD",E868*$N$1,E868)</f>
        <v/>
      </c>
      <c r="I868" s="9">
        <f>IF(D868="USD",F868*$N$1,F868)</f>
        <v/>
      </c>
      <c r="J868" s="9">
        <f>IF(D868="USD",G868*$N$1,G868)</f>
        <v/>
      </c>
      <c r="K868" s="9">
        <f>H868+I868</f>
        <v/>
      </c>
    </row>
    <row r="869">
      <c r="A869" s="8" t="n">
        <v>46118</v>
      </c>
      <c r="B869" t="inlineStr">
        <is>
          <t>2026-W15</t>
        </is>
      </c>
      <c r="C869" t="inlineStr">
        <is>
          <t>Shift4</t>
        </is>
      </c>
      <c r="D869" t="inlineStr">
        <is>
          <t>EUR</t>
        </is>
      </c>
      <c r="E869" s="9" t="n">
        <v>523324.7099999996</v>
      </c>
      <c r="F869" s="9" t="n">
        <v>-5661.103079999997</v>
      </c>
      <c r="G869" s="9" t="n">
        <v>0</v>
      </c>
      <c r="H869" s="9">
        <f>IF(D869="USD",E869*$N$1,E869)</f>
        <v/>
      </c>
      <c r="I869" s="9">
        <f>IF(D869="USD",F869*$N$1,F869)</f>
        <v/>
      </c>
      <c r="J869" s="9">
        <f>IF(D869="USD",G869*$N$1,G869)</f>
        <v/>
      </c>
      <c r="K869" s="9">
        <f>H869+I869</f>
        <v/>
      </c>
    </row>
    <row r="870">
      <c r="A870" s="8" t="n">
        <v>46119</v>
      </c>
      <c r="B870" t="inlineStr">
        <is>
          <t>2026-W15</t>
        </is>
      </c>
      <c r="C870" t="inlineStr">
        <is>
          <t>Adyen</t>
        </is>
      </c>
      <c r="D870" t="inlineStr">
        <is>
          <t>EUR</t>
        </is>
      </c>
      <c r="E870" s="9" t="n">
        <v>0</v>
      </c>
      <c r="F870" s="9" t="n">
        <v>0</v>
      </c>
      <c r="G870" s="9" t="n">
        <v>-827166.2799999999</v>
      </c>
      <c r="H870" s="9">
        <f>IF(D870="USD",E870*$N$1,E870)</f>
        <v/>
      </c>
      <c r="I870" s="9">
        <f>IF(D870="USD",F870*$N$1,F870)</f>
        <v/>
      </c>
      <c r="J870" s="9">
        <f>IF(D870="USD",G870*$N$1,G870)</f>
        <v/>
      </c>
      <c r="K870" s="9">
        <f>H870+I870</f>
        <v/>
      </c>
    </row>
    <row r="871">
      <c r="A871" s="8" t="n">
        <v>46119</v>
      </c>
      <c r="B871" t="inlineStr">
        <is>
          <t>2026-W15</t>
        </is>
      </c>
      <c r="C871" t="inlineStr">
        <is>
          <t>Adyen</t>
        </is>
      </c>
      <c r="D871" t="inlineStr">
        <is>
          <t>EUR</t>
        </is>
      </c>
      <c r="E871" s="9" t="n">
        <v>574102.7</v>
      </c>
      <c r="F871" s="9" t="n">
        <v>271581.0500000002</v>
      </c>
      <c r="G871" s="9" t="n">
        <v>0</v>
      </c>
      <c r="H871" s="9">
        <f>IF(D871="USD",E871*$N$1,E871)</f>
        <v/>
      </c>
      <c r="I871" s="9">
        <f>IF(D871="USD",F871*$N$1,F871)</f>
        <v/>
      </c>
      <c r="J871" s="9">
        <f>IF(D871="USD",G871*$N$1,G871)</f>
        <v/>
      </c>
      <c r="K871" s="9">
        <f>H871+I871</f>
        <v/>
      </c>
    </row>
    <row r="872">
      <c r="A872" s="8" t="n">
        <v>46119</v>
      </c>
      <c r="B872" t="inlineStr">
        <is>
          <t>2026-W15</t>
        </is>
      </c>
      <c r="C872" t="inlineStr">
        <is>
          <t>Adyen</t>
        </is>
      </c>
      <c r="D872" t="inlineStr">
        <is>
          <t>EUR</t>
        </is>
      </c>
      <c r="E872" s="9" t="n">
        <v>81485.75999999999</v>
      </c>
      <c r="F872" s="9" t="n">
        <v>0</v>
      </c>
      <c r="G872" s="9" t="n">
        <v>0</v>
      </c>
      <c r="H872" s="9">
        <f>IF(D872="USD",E872*$N$1,E872)</f>
        <v/>
      </c>
      <c r="I872" s="9">
        <f>IF(D872="USD",F872*$N$1,F872)</f>
        <v/>
      </c>
      <c r="J872" s="9">
        <f>IF(D872="USD",G872*$N$1,G872)</f>
        <v/>
      </c>
      <c r="K872" s="9">
        <f>H872+I872</f>
        <v/>
      </c>
    </row>
    <row r="873">
      <c r="A873" s="8" t="n">
        <v>46119</v>
      </c>
      <c r="B873" t="inlineStr">
        <is>
          <t>2026-W15</t>
        </is>
      </c>
      <c r="C873" t="inlineStr">
        <is>
          <t>Nuvei</t>
        </is>
      </c>
      <c r="D873" t="inlineStr">
        <is>
          <t>EUR</t>
        </is>
      </c>
      <c r="E873" s="9" t="n">
        <v>0</v>
      </c>
      <c r="F873" s="9" t="n">
        <v>0</v>
      </c>
      <c r="G873" s="9" t="n">
        <v>-3204496.12</v>
      </c>
      <c r="H873" s="9">
        <f>IF(D873="USD",E873*$N$1,E873)</f>
        <v/>
      </c>
      <c r="I873" s="9">
        <f>IF(D873="USD",F873*$N$1,F873)</f>
        <v/>
      </c>
      <c r="J873" s="9">
        <f>IF(D873="USD",G873*$N$1,G873)</f>
        <v/>
      </c>
      <c r="K873" s="9">
        <f>H873+I873</f>
        <v/>
      </c>
    </row>
    <row r="874">
      <c r="A874" s="8" t="n">
        <v>46119</v>
      </c>
      <c r="B874" t="inlineStr">
        <is>
          <t>2026-W15</t>
        </is>
      </c>
      <c r="C874" t="inlineStr">
        <is>
          <t>Nuvei</t>
        </is>
      </c>
      <c r="D874" t="inlineStr">
        <is>
          <t>EUR</t>
        </is>
      </c>
      <c r="E874" s="9" t="n">
        <v>0</v>
      </c>
      <c r="F874" s="9" t="n">
        <v>0</v>
      </c>
      <c r="G874" s="9" t="n">
        <v>-588788.2</v>
      </c>
      <c r="H874" s="9">
        <f>IF(D874="USD",E874*$N$1,E874)</f>
        <v/>
      </c>
      <c r="I874" s="9">
        <f>IF(D874="USD",F874*$N$1,F874)</f>
        <v/>
      </c>
      <c r="J874" s="9">
        <f>IF(D874="USD",G874*$N$1,G874)</f>
        <v/>
      </c>
      <c r="K874" s="9">
        <f>H874+I874</f>
        <v/>
      </c>
    </row>
    <row r="875">
      <c r="A875" s="8" t="n">
        <v>46119</v>
      </c>
      <c r="B875" t="inlineStr">
        <is>
          <t>2026-W15</t>
        </is>
      </c>
      <c r="C875" t="inlineStr">
        <is>
          <t>Nuvei</t>
        </is>
      </c>
      <c r="D875" t="inlineStr">
        <is>
          <t>EUR</t>
        </is>
      </c>
      <c r="E875" s="9" t="n">
        <v>0</v>
      </c>
      <c r="F875" s="9" t="n">
        <v>0</v>
      </c>
      <c r="G875" s="9" t="n">
        <v>-550235.5699999999</v>
      </c>
      <c r="H875" s="9">
        <f>IF(D875="USD",E875*$N$1,E875)</f>
        <v/>
      </c>
      <c r="I875" s="9">
        <f>IF(D875="USD",F875*$N$1,F875)</f>
        <v/>
      </c>
      <c r="J875" s="9">
        <f>IF(D875="USD",G875*$N$1,G875)</f>
        <v/>
      </c>
      <c r="K875" s="9">
        <f>H875+I875</f>
        <v/>
      </c>
    </row>
    <row r="876">
      <c r="A876" s="8" t="n">
        <v>46119</v>
      </c>
      <c r="B876" t="inlineStr">
        <is>
          <t>2026-W15</t>
        </is>
      </c>
      <c r="C876" t="inlineStr">
        <is>
          <t>Nuvei</t>
        </is>
      </c>
      <c r="D876" t="inlineStr">
        <is>
          <t>EUR</t>
        </is>
      </c>
      <c r="E876" s="9" t="n">
        <v>0</v>
      </c>
      <c r="F876" s="9" t="n">
        <v>0</v>
      </c>
      <c r="G876" s="9" t="n">
        <v>-207940.12</v>
      </c>
      <c r="H876" s="9">
        <f>IF(D876="USD",E876*$N$1,E876)</f>
        <v/>
      </c>
      <c r="I876" s="9">
        <f>IF(D876="USD",F876*$N$1,F876)</f>
        <v/>
      </c>
      <c r="J876" s="9">
        <f>IF(D876="USD",G876*$N$1,G876)</f>
        <v/>
      </c>
      <c r="K876" s="9">
        <f>H876+I876</f>
        <v/>
      </c>
    </row>
    <row r="877">
      <c r="A877" s="8" t="n">
        <v>46119</v>
      </c>
      <c r="B877" t="inlineStr">
        <is>
          <t>2026-W15</t>
        </is>
      </c>
      <c r="C877" t="inlineStr">
        <is>
          <t>Nuvei</t>
        </is>
      </c>
      <c r="D877" t="inlineStr">
        <is>
          <t>EUR</t>
        </is>
      </c>
      <c r="E877" s="9" t="n">
        <v>0</v>
      </c>
      <c r="F877" s="9" t="n">
        <v>0</v>
      </c>
      <c r="G877" s="9" t="n">
        <v>-749805</v>
      </c>
      <c r="H877" s="9">
        <f>IF(D877="USD",E877*$N$1,E877)</f>
        <v/>
      </c>
      <c r="I877" s="9">
        <f>IF(D877="USD",F877*$N$1,F877)</f>
        <v/>
      </c>
      <c r="J877" s="9">
        <f>IF(D877="USD",G877*$N$1,G877)</f>
        <v/>
      </c>
      <c r="K877" s="9">
        <f>H877+I877</f>
        <v/>
      </c>
    </row>
    <row r="878">
      <c r="A878" s="8" t="n">
        <v>46119</v>
      </c>
      <c r="B878" t="inlineStr">
        <is>
          <t>2026-W15</t>
        </is>
      </c>
      <c r="C878" t="inlineStr">
        <is>
          <t>Nuvei</t>
        </is>
      </c>
      <c r="D878" t="inlineStr">
        <is>
          <t>EUR</t>
        </is>
      </c>
      <c r="E878" s="9" t="n">
        <v>0</v>
      </c>
      <c r="F878" s="9" t="n">
        <v>0</v>
      </c>
      <c r="G878" s="9" t="n">
        <v>-198765.28</v>
      </c>
      <c r="H878" s="9">
        <f>IF(D878="USD",E878*$N$1,E878)</f>
        <v/>
      </c>
      <c r="I878" s="9">
        <f>IF(D878="USD",F878*$N$1,F878)</f>
        <v/>
      </c>
      <c r="J878" s="9">
        <f>IF(D878="USD",G878*$N$1,G878)</f>
        <v/>
      </c>
      <c r="K878" s="9">
        <f>H878+I878</f>
        <v/>
      </c>
    </row>
    <row r="879">
      <c r="A879" s="8" t="n">
        <v>46119</v>
      </c>
      <c r="B879" t="inlineStr">
        <is>
          <t>2026-W15</t>
        </is>
      </c>
      <c r="C879" t="inlineStr">
        <is>
          <t>Nuvei</t>
        </is>
      </c>
      <c r="D879" t="inlineStr">
        <is>
          <t>EUR</t>
        </is>
      </c>
      <c r="E879" s="9" t="n">
        <v>367507.86</v>
      </c>
      <c r="F879" s="9" t="n">
        <v>-7252.94</v>
      </c>
      <c r="G879" s="9" t="n">
        <v>0</v>
      </c>
      <c r="H879" s="9">
        <f>IF(D879="USD",E879*$N$1,E879)</f>
        <v/>
      </c>
      <c r="I879" s="9">
        <f>IF(D879="USD",F879*$N$1,F879)</f>
        <v/>
      </c>
      <c r="J879" s="9">
        <f>IF(D879="USD",G879*$N$1,G879)</f>
        <v/>
      </c>
      <c r="K879" s="9">
        <f>H879+I879</f>
        <v/>
      </c>
    </row>
    <row r="880">
      <c r="A880" s="8" t="n">
        <v>46119</v>
      </c>
      <c r="B880" t="inlineStr">
        <is>
          <t>2026-W15</t>
        </is>
      </c>
      <c r="C880" t="inlineStr">
        <is>
          <t>Nuvei</t>
        </is>
      </c>
      <c r="D880" t="inlineStr">
        <is>
          <t>EUR</t>
        </is>
      </c>
      <c r="E880" s="9" t="n">
        <v>162034.47</v>
      </c>
      <c r="F880" s="9" t="n">
        <v>-4599.71</v>
      </c>
      <c r="G880" s="9" t="n">
        <v>0</v>
      </c>
      <c r="H880" s="9">
        <f>IF(D880="USD",E880*$N$1,E880)</f>
        <v/>
      </c>
      <c r="I880" s="9">
        <f>IF(D880="USD",F880*$N$1,F880)</f>
        <v/>
      </c>
      <c r="J880" s="9">
        <f>IF(D880="USD",G880*$N$1,G880)</f>
        <v/>
      </c>
      <c r="K880" s="9">
        <f>H880+I880</f>
        <v/>
      </c>
    </row>
    <row r="881">
      <c r="A881" s="8" t="n">
        <v>46119</v>
      </c>
      <c r="B881" t="inlineStr">
        <is>
          <t>2026-W15</t>
        </is>
      </c>
      <c r="C881" t="inlineStr">
        <is>
          <t>Shift4</t>
        </is>
      </c>
      <c r="D881" t="inlineStr">
        <is>
          <t>EUR</t>
        </is>
      </c>
      <c r="E881" s="9" t="n">
        <v>560218.5299999997</v>
      </c>
      <c r="F881" s="9" t="n">
        <v>-6183.077710000007</v>
      </c>
      <c r="G881" s="9" t="n">
        <v>0</v>
      </c>
      <c r="H881" s="9">
        <f>IF(D881="USD",E881*$N$1,E881)</f>
        <v/>
      </c>
      <c r="I881" s="9">
        <f>IF(D881="USD",F881*$N$1,F881)</f>
        <v/>
      </c>
      <c r="J881" s="9">
        <f>IF(D881="USD",G881*$N$1,G881)</f>
        <v/>
      </c>
      <c r="K881" s="9">
        <f>H881+I881</f>
        <v/>
      </c>
    </row>
    <row r="882">
      <c r="A882" s="8" t="n">
        <v>46120</v>
      </c>
      <c r="B882" t="inlineStr">
        <is>
          <t>2026-W15</t>
        </is>
      </c>
      <c r="C882" t="inlineStr">
        <is>
          <t>Adyen</t>
        </is>
      </c>
      <c r="D882" t="inlineStr">
        <is>
          <t>EUR</t>
        </is>
      </c>
      <c r="E882" s="9" t="n">
        <v>0</v>
      </c>
      <c r="F882" s="9" t="n">
        <v>0</v>
      </c>
      <c r="G882" s="9" t="n">
        <v>-2031195.67</v>
      </c>
      <c r="H882" s="9">
        <f>IF(D882="USD",E882*$N$1,E882)</f>
        <v/>
      </c>
      <c r="I882" s="9">
        <f>IF(D882="USD",F882*$N$1,F882)</f>
        <v/>
      </c>
      <c r="J882" s="9">
        <f>IF(D882="USD",G882*$N$1,G882)</f>
        <v/>
      </c>
      <c r="K882" s="9">
        <f>H882+I882</f>
        <v/>
      </c>
    </row>
    <row r="883">
      <c r="A883" s="8" t="n">
        <v>46120</v>
      </c>
      <c r="B883" t="inlineStr">
        <is>
          <t>2026-W15</t>
        </is>
      </c>
      <c r="C883" t="inlineStr">
        <is>
          <t>Adyen</t>
        </is>
      </c>
      <c r="D883" t="inlineStr">
        <is>
          <t>EUR</t>
        </is>
      </c>
      <c r="E883" s="9" t="n">
        <v>664467.04</v>
      </c>
      <c r="F883" s="9" t="n">
        <v>-13465.90000000002</v>
      </c>
      <c r="G883" s="9" t="n">
        <v>0</v>
      </c>
      <c r="H883" s="9">
        <f>IF(D883="USD",E883*$N$1,E883)</f>
        <v/>
      </c>
      <c r="I883" s="9">
        <f>IF(D883="USD",F883*$N$1,F883)</f>
        <v/>
      </c>
      <c r="J883" s="9">
        <f>IF(D883="USD",G883*$N$1,G883)</f>
        <v/>
      </c>
      <c r="K883" s="9">
        <f>H883+I883</f>
        <v/>
      </c>
    </row>
    <row r="884">
      <c r="A884" s="8" t="n">
        <v>46120</v>
      </c>
      <c r="B884" t="inlineStr">
        <is>
          <t>2026-W15</t>
        </is>
      </c>
      <c r="C884" t="inlineStr">
        <is>
          <t>Adyen</t>
        </is>
      </c>
      <c r="D884" t="inlineStr">
        <is>
          <t>EUR</t>
        </is>
      </c>
      <c r="E884" s="9" t="n">
        <v>82822.72</v>
      </c>
      <c r="F884" s="9" t="n">
        <v>0</v>
      </c>
      <c r="G884" s="9" t="n">
        <v>0</v>
      </c>
      <c r="H884" s="9">
        <f>IF(D884="USD",E884*$N$1,E884)</f>
        <v/>
      </c>
      <c r="I884" s="9">
        <f>IF(D884="USD",F884*$N$1,F884)</f>
        <v/>
      </c>
      <c r="J884" s="9">
        <f>IF(D884="USD",G884*$N$1,G884)</f>
        <v/>
      </c>
      <c r="K884" s="9">
        <f>H884+I884</f>
        <v/>
      </c>
    </row>
    <row r="885">
      <c r="A885" s="8" t="n">
        <v>46120</v>
      </c>
      <c r="B885" t="inlineStr">
        <is>
          <t>2026-W15</t>
        </is>
      </c>
      <c r="C885" t="inlineStr">
        <is>
          <t>Nuvei</t>
        </is>
      </c>
      <c r="D885" t="inlineStr">
        <is>
          <t>EUR</t>
        </is>
      </c>
      <c r="E885" s="9" t="n">
        <v>0</v>
      </c>
      <c r="F885" s="9" t="n">
        <v>0</v>
      </c>
      <c r="G885" s="9" t="n">
        <v>-541881.71</v>
      </c>
      <c r="H885" s="9">
        <f>IF(D885="USD",E885*$N$1,E885)</f>
        <v/>
      </c>
      <c r="I885" s="9">
        <f>IF(D885="USD",F885*$N$1,F885)</f>
        <v/>
      </c>
      <c r="J885" s="9">
        <f>IF(D885="USD",G885*$N$1,G885)</f>
        <v/>
      </c>
      <c r="K885" s="9">
        <f>H885+I885</f>
        <v/>
      </c>
    </row>
    <row r="886">
      <c r="A886" s="8" t="n">
        <v>46120</v>
      </c>
      <c r="B886" t="inlineStr">
        <is>
          <t>2026-W15</t>
        </is>
      </c>
      <c r="C886" t="inlineStr">
        <is>
          <t>Nuvei</t>
        </is>
      </c>
      <c r="D886" t="inlineStr">
        <is>
          <t>EUR</t>
        </is>
      </c>
      <c r="E886" s="9" t="n">
        <v>0</v>
      </c>
      <c r="F886" s="9" t="n">
        <v>0</v>
      </c>
      <c r="G886" s="9" t="n">
        <v>-156720.22</v>
      </c>
      <c r="H886" s="9">
        <f>IF(D886="USD",E886*$N$1,E886)</f>
        <v/>
      </c>
      <c r="I886" s="9">
        <f>IF(D886="USD",F886*$N$1,F886)</f>
        <v/>
      </c>
      <c r="J886" s="9">
        <f>IF(D886="USD",G886*$N$1,G886)</f>
        <v/>
      </c>
      <c r="K886" s="9">
        <f>H886+I886</f>
        <v/>
      </c>
    </row>
    <row r="887">
      <c r="A887" s="8" t="n">
        <v>46120</v>
      </c>
      <c r="B887" t="inlineStr">
        <is>
          <t>2026-W15</t>
        </is>
      </c>
      <c r="C887" t="inlineStr">
        <is>
          <t>Nuvei</t>
        </is>
      </c>
      <c r="D887" t="inlineStr">
        <is>
          <t>EUR</t>
        </is>
      </c>
      <c r="E887" s="9" t="n">
        <v>301478.29</v>
      </c>
      <c r="F887" s="9" t="n">
        <v>-7938.8</v>
      </c>
      <c r="G887" s="9" t="n">
        <v>0</v>
      </c>
      <c r="H887" s="9">
        <f>IF(D887="USD",E887*$N$1,E887)</f>
        <v/>
      </c>
      <c r="I887" s="9">
        <f>IF(D887="USD",F887*$N$1,F887)</f>
        <v/>
      </c>
      <c r="J887" s="9">
        <f>IF(D887="USD",G887*$N$1,G887)</f>
        <v/>
      </c>
      <c r="K887" s="9">
        <f>H887+I887</f>
        <v/>
      </c>
    </row>
    <row r="888">
      <c r="A888" s="8" t="n">
        <v>46120</v>
      </c>
      <c r="B888" t="inlineStr">
        <is>
          <t>2026-W15</t>
        </is>
      </c>
      <c r="C888" t="inlineStr">
        <is>
          <t>Nuvei</t>
        </is>
      </c>
      <c r="D888" t="inlineStr">
        <is>
          <t>EUR</t>
        </is>
      </c>
      <c r="E888" s="9" t="n">
        <v>151817.25</v>
      </c>
      <c r="F888" s="9" t="n">
        <v>-4467.93</v>
      </c>
      <c r="G888" s="9" t="n">
        <v>0</v>
      </c>
      <c r="H888" s="9">
        <f>IF(D888="USD",E888*$N$1,E888)</f>
        <v/>
      </c>
      <c r="I888" s="9">
        <f>IF(D888="USD",F888*$N$1,F888)</f>
        <v/>
      </c>
      <c r="J888" s="9">
        <f>IF(D888="USD",G888*$N$1,G888)</f>
        <v/>
      </c>
      <c r="K888" s="9">
        <f>H888+I888</f>
        <v/>
      </c>
    </row>
    <row r="889">
      <c r="A889" s="8" t="n">
        <v>46120</v>
      </c>
      <c r="B889" t="inlineStr">
        <is>
          <t>2026-W15</t>
        </is>
      </c>
      <c r="C889" t="inlineStr">
        <is>
          <t>Shift4</t>
        </is>
      </c>
      <c r="D889" t="inlineStr">
        <is>
          <t>EUR</t>
        </is>
      </c>
      <c r="E889" s="9" t="n">
        <v>589642.6899999999</v>
      </c>
      <c r="F889" s="9" t="n">
        <v>-6705.74</v>
      </c>
      <c r="G889" s="9" t="n">
        <v>0</v>
      </c>
      <c r="H889" s="9">
        <f>IF(D889="USD",E889*$N$1,E889)</f>
        <v/>
      </c>
      <c r="I889" s="9">
        <f>IF(D889="USD",F889*$N$1,F889)</f>
        <v/>
      </c>
      <c r="J889" s="9">
        <f>IF(D889="USD",G889*$N$1,G889)</f>
        <v/>
      </c>
      <c r="K889" s="9">
        <f>H889+I889</f>
        <v/>
      </c>
    </row>
    <row r="890">
      <c r="A890" s="8" t="n">
        <v>46121</v>
      </c>
      <c r="B890" t="inlineStr">
        <is>
          <t>2026-W15</t>
        </is>
      </c>
      <c r="C890" t="inlineStr">
        <is>
          <t>Adyen</t>
        </is>
      </c>
      <c r="D890" t="inlineStr">
        <is>
          <t>EUR</t>
        </is>
      </c>
      <c r="E890" s="9" t="n">
        <v>0</v>
      </c>
      <c r="F890" s="9" t="n">
        <v>0</v>
      </c>
      <c r="G890" s="9" t="n">
        <v>-927169.5100000001</v>
      </c>
      <c r="H890" s="9">
        <f>IF(D890="USD",E890*$N$1,E890)</f>
        <v/>
      </c>
      <c r="I890" s="9">
        <f>IF(D890="USD",F890*$N$1,F890)</f>
        <v/>
      </c>
      <c r="J890" s="9">
        <f>IF(D890="USD",G890*$N$1,G890)</f>
        <v/>
      </c>
      <c r="K890" s="9">
        <f>H890+I890</f>
        <v/>
      </c>
    </row>
    <row r="891">
      <c r="A891" s="8" t="n">
        <v>46121</v>
      </c>
      <c r="B891" t="inlineStr">
        <is>
          <t>2026-W15</t>
        </is>
      </c>
      <c r="C891" t="inlineStr">
        <is>
          <t>Adyen</t>
        </is>
      </c>
      <c r="D891" t="inlineStr">
        <is>
          <t>EUR</t>
        </is>
      </c>
      <c r="E891" s="9" t="n">
        <v>635459.21</v>
      </c>
      <c r="F891" s="9" t="n">
        <v>-15979.95000000007</v>
      </c>
      <c r="G891" s="9" t="n">
        <v>0</v>
      </c>
      <c r="H891" s="9">
        <f>IF(D891="USD",E891*$N$1,E891)</f>
        <v/>
      </c>
      <c r="I891" s="9">
        <f>IF(D891="USD",F891*$N$1,F891)</f>
        <v/>
      </c>
      <c r="J891" s="9">
        <f>IF(D891="USD",G891*$N$1,G891)</f>
        <v/>
      </c>
      <c r="K891" s="9">
        <f>H891+I891</f>
        <v/>
      </c>
    </row>
    <row r="892">
      <c r="A892" s="8" t="n">
        <v>46121</v>
      </c>
      <c r="B892" t="inlineStr">
        <is>
          <t>2026-W15</t>
        </is>
      </c>
      <c r="C892" t="inlineStr">
        <is>
          <t>Adyen</t>
        </is>
      </c>
      <c r="D892" t="inlineStr">
        <is>
          <t>EUR</t>
        </is>
      </c>
      <c r="E892" s="9" t="n">
        <v>80550.41</v>
      </c>
      <c r="F892" s="9" t="n">
        <v>0</v>
      </c>
      <c r="G892" s="9" t="n">
        <v>0</v>
      </c>
      <c r="H892" s="9">
        <f>IF(D892="USD",E892*$N$1,E892)</f>
        <v/>
      </c>
      <c r="I892" s="9">
        <f>IF(D892="USD",F892*$N$1,F892)</f>
        <v/>
      </c>
      <c r="J892" s="9">
        <f>IF(D892="USD",G892*$N$1,G892)</f>
        <v/>
      </c>
      <c r="K892" s="9">
        <f>H892+I892</f>
        <v/>
      </c>
    </row>
    <row r="893">
      <c r="A893" s="8" t="n">
        <v>46121</v>
      </c>
      <c r="B893" t="inlineStr">
        <is>
          <t>2026-W15</t>
        </is>
      </c>
      <c r="C893" t="inlineStr">
        <is>
          <t>Nuvei</t>
        </is>
      </c>
      <c r="D893" t="inlineStr">
        <is>
          <t>EUR</t>
        </is>
      </c>
      <c r="E893" s="9" t="n">
        <v>0</v>
      </c>
      <c r="F893" s="9" t="n">
        <v>0</v>
      </c>
      <c r="G893" s="9" t="n">
        <v>-302791.38</v>
      </c>
      <c r="H893" s="9">
        <f>IF(D893="USD",E893*$N$1,E893)</f>
        <v/>
      </c>
      <c r="I893" s="9">
        <f>IF(D893="USD",F893*$N$1,F893)</f>
        <v/>
      </c>
      <c r="J893" s="9">
        <f>IF(D893="USD",G893*$N$1,G893)</f>
        <v/>
      </c>
      <c r="K893" s="9">
        <f>H893+I893</f>
        <v/>
      </c>
    </row>
    <row r="894">
      <c r="A894" s="8" t="n">
        <v>46121</v>
      </c>
      <c r="B894" t="inlineStr">
        <is>
          <t>2026-W15</t>
        </is>
      </c>
      <c r="C894" t="inlineStr">
        <is>
          <t>Nuvei</t>
        </is>
      </c>
      <c r="D894" t="inlineStr">
        <is>
          <t>EUR</t>
        </is>
      </c>
      <c r="E894" s="9" t="n">
        <v>0</v>
      </c>
      <c r="F894" s="9" t="n">
        <v>0</v>
      </c>
      <c r="G894" s="9" t="n">
        <v>-167144.8</v>
      </c>
      <c r="H894" s="9">
        <f>IF(D894="USD",E894*$N$1,E894)</f>
        <v/>
      </c>
      <c r="I894" s="9">
        <f>IF(D894="USD",F894*$N$1,F894)</f>
        <v/>
      </c>
      <c r="J894" s="9">
        <f>IF(D894="USD",G894*$N$1,G894)</f>
        <v/>
      </c>
      <c r="K894" s="9">
        <f>H894+I894</f>
        <v/>
      </c>
    </row>
    <row r="895">
      <c r="A895" s="8" t="n">
        <v>46121</v>
      </c>
      <c r="B895" t="inlineStr">
        <is>
          <t>2026-W15</t>
        </is>
      </c>
      <c r="C895" t="inlineStr">
        <is>
          <t>Nuvei</t>
        </is>
      </c>
      <c r="D895" t="inlineStr">
        <is>
          <t>EUR</t>
        </is>
      </c>
      <c r="E895" s="9" t="n">
        <v>415585.42</v>
      </c>
      <c r="F895" s="9" t="n">
        <v>-8249.93</v>
      </c>
      <c r="G895" s="9" t="n">
        <v>0</v>
      </c>
      <c r="H895" s="9">
        <f>IF(D895="USD",E895*$N$1,E895)</f>
        <v/>
      </c>
      <c r="I895" s="9">
        <f>IF(D895="USD",F895*$N$1,F895)</f>
        <v/>
      </c>
      <c r="J895" s="9">
        <f>IF(D895="USD",G895*$N$1,G895)</f>
        <v/>
      </c>
      <c r="K895" s="9">
        <f>H895+I895</f>
        <v/>
      </c>
    </row>
    <row r="896">
      <c r="A896" s="8" t="n">
        <v>46121</v>
      </c>
      <c r="B896" t="inlineStr">
        <is>
          <t>2026-W15</t>
        </is>
      </c>
      <c r="C896" t="inlineStr">
        <is>
          <t>Nuvei</t>
        </is>
      </c>
      <c r="D896" t="inlineStr">
        <is>
          <t>EUR</t>
        </is>
      </c>
      <c r="E896" s="9" t="n">
        <v>166775.67</v>
      </c>
      <c r="F896" s="9" t="n">
        <v>-4743.97</v>
      </c>
      <c r="G896" s="9" t="n">
        <v>0</v>
      </c>
      <c r="H896" s="9">
        <f>IF(D896="USD",E896*$N$1,E896)</f>
        <v/>
      </c>
      <c r="I896" s="9">
        <f>IF(D896="USD",F896*$N$1,F896)</f>
        <v/>
      </c>
      <c r="J896" s="9">
        <f>IF(D896="USD",G896*$N$1,G896)</f>
        <v/>
      </c>
      <c r="K896" s="9">
        <f>H896+I896</f>
        <v/>
      </c>
    </row>
    <row r="897">
      <c r="A897" s="8" t="n">
        <v>46121</v>
      </c>
      <c r="B897" t="inlineStr">
        <is>
          <t>2026-W15</t>
        </is>
      </c>
      <c r="C897" t="inlineStr">
        <is>
          <t>Shift4</t>
        </is>
      </c>
      <c r="D897" t="inlineStr">
        <is>
          <t>EUR</t>
        </is>
      </c>
      <c r="E897" s="9" t="n">
        <v>0</v>
      </c>
      <c r="F897" s="9" t="n">
        <v>0</v>
      </c>
      <c r="G897" s="9" t="n">
        <v>-2345196.15</v>
      </c>
      <c r="H897" s="9">
        <f>IF(D897="USD",E897*$N$1,E897)</f>
        <v/>
      </c>
      <c r="I897" s="9">
        <f>IF(D897="USD",F897*$N$1,F897)</f>
        <v/>
      </c>
      <c r="J897" s="9">
        <f>IF(D897="USD",G897*$N$1,G897)</f>
        <v/>
      </c>
      <c r="K897" s="9">
        <f>H897+I897</f>
        <v/>
      </c>
    </row>
    <row r="898">
      <c r="A898" s="8" t="n">
        <v>46121</v>
      </c>
      <c r="B898" t="inlineStr">
        <is>
          <t>2026-W15</t>
        </is>
      </c>
      <c r="C898" t="inlineStr">
        <is>
          <t>Shift4</t>
        </is>
      </c>
      <c r="D898" t="inlineStr">
        <is>
          <t>EUR</t>
        </is>
      </c>
      <c r="E898" s="9" t="n">
        <v>611628.24</v>
      </c>
      <c r="F898" s="9" t="n">
        <v>-6600.68</v>
      </c>
      <c r="G898" s="9" t="n">
        <v>0</v>
      </c>
      <c r="H898" s="9">
        <f>IF(D898="USD",E898*$N$1,E898)</f>
        <v/>
      </c>
      <c r="I898" s="9">
        <f>IF(D898="USD",F898*$N$1,F898)</f>
        <v/>
      </c>
      <c r="J898" s="9">
        <f>IF(D898="USD",G898*$N$1,G898)</f>
        <v/>
      </c>
      <c r="K898" s="9">
        <f>H898+I898</f>
        <v/>
      </c>
    </row>
    <row r="899">
      <c r="A899" s="8" t="n">
        <v>46122</v>
      </c>
      <c r="B899" t="inlineStr">
        <is>
          <t>2026-W15</t>
        </is>
      </c>
      <c r="C899" t="inlineStr">
        <is>
          <t>Adyen</t>
        </is>
      </c>
      <c r="D899" t="inlineStr">
        <is>
          <t>EUR</t>
        </is>
      </c>
      <c r="E899" s="9" t="n">
        <v>0</v>
      </c>
      <c r="F899" s="9" t="n">
        <v>0</v>
      </c>
      <c r="G899" s="9" t="n">
        <v>-733823.86</v>
      </c>
      <c r="H899" s="9">
        <f>IF(D899="USD",E899*$N$1,E899)</f>
        <v/>
      </c>
      <c r="I899" s="9">
        <f>IF(D899="USD",F899*$N$1,F899)</f>
        <v/>
      </c>
      <c r="J899" s="9">
        <f>IF(D899="USD",G899*$N$1,G899)</f>
        <v/>
      </c>
      <c r="K899" s="9">
        <f>H899+I899</f>
        <v/>
      </c>
    </row>
    <row r="900">
      <c r="A900" s="8" t="n">
        <v>46122</v>
      </c>
      <c r="B900" t="inlineStr">
        <is>
          <t>2026-W15</t>
        </is>
      </c>
      <c r="C900" t="inlineStr">
        <is>
          <t>Adyen</t>
        </is>
      </c>
      <c r="D900" t="inlineStr">
        <is>
          <t>EUR</t>
        </is>
      </c>
      <c r="E900" s="9" t="n">
        <v>559031.79</v>
      </c>
      <c r="F900" s="9" t="n">
        <v>-11454.41000000015</v>
      </c>
      <c r="G900" s="9" t="n">
        <v>0</v>
      </c>
      <c r="H900" s="9">
        <f>IF(D900="USD",E900*$N$1,E900)</f>
        <v/>
      </c>
      <c r="I900" s="9">
        <f>IF(D900="USD",F900*$N$1,F900)</f>
        <v/>
      </c>
      <c r="J900" s="9">
        <f>IF(D900="USD",G900*$N$1,G900)</f>
        <v/>
      </c>
      <c r="K900" s="9">
        <f>H900+I900</f>
        <v/>
      </c>
    </row>
    <row r="901">
      <c r="A901" s="8" t="n">
        <v>46122</v>
      </c>
      <c r="B901" t="inlineStr">
        <is>
          <t>2026-W15</t>
        </is>
      </c>
      <c r="C901" t="inlineStr">
        <is>
          <t>Adyen</t>
        </is>
      </c>
      <c r="D901" t="inlineStr">
        <is>
          <t>EUR</t>
        </is>
      </c>
      <c r="E901" s="9" t="n">
        <v>76309.75999999999</v>
      </c>
      <c r="F901" s="9" t="n">
        <v>0</v>
      </c>
      <c r="G901" s="9" t="n">
        <v>0</v>
      </c>
      <c r="H901" s="9">
        <f>IF(D901="USD",E901*$N$1,E901)</f>
        <v/>
      </c>
      <c r="I901" s="9">
        <f>IF(D901="USD",F901*$N$1,F901)</f>
        <v/>
      </c>
      <c r="J901" s="9">
        <f>IF(D901="USD",G901*$N$1,G901)</f>
        <v/>
      </c>
      <c r="K901" s="9">
        <f>H901+I901</f>
        <v/>
      </c>
    </row>
    <row r="902">
      <c r="A902" s="8" t="n">
        <v>46122</v>
      </c>
      <c r="B902" t="inlineStr">
        <is>
          <t>2026-W15</t>
        </is>
      </c>
      <c r="C902" t="inlineStr">
        <is>
          <t>Nuvei</t>
        </is>
      </c>
      <c r="D902" t="inlineStr">
        <is>
          <t>EUR</t>
        </is>
      </c>
      <c r="E902" s="9" t="n">
        <v>0</v>
      </c>
      <c r="F902" s="9" t="n">
        <v>0</v>
      </c>
      <c r="G902" s="9" t="n">
        <v>-729072.74</v>
      </c>
      <c r="H902" s="9">
        <f>IF(D902="USD",E902*$N$1,E902)</f>
        <v/>
      </c>
      <c r="I902" s="9">
        <f>IF(D902="USD",F902*$N$1,F902)</f>
        <v/>
      </c>
      <c r="J902" s="9">
        <f>IF(D902="USD",G902*$N$1,G902)</f>
        <v/>
      </c>
      <c r="K902" s="9">
        <f>H902+I902</f>
        <v/>
      </c>
    </row>
    <row r="903">
      <c r="A903" s="8" t="n">
        <v>46122</v>
      </c>
      <c r="B903" t="inlineStr">
        <is>
          <t>2026-W15</t>
        </is>
      </c>
      <c r="C903" t="inlineStr">
        <is>
          <t>Nuvei</t>
        </is>
      </c>
      <c r="D903" t="inlineStr">
        <is>
          <t>EUR</t>
        </is>
      </c>
      <c r="E903" s="9" t="n">
        <v>0</v>
      </c>
      <c r="F903" s="9" t="n">
        <v>0</v>
      </c>
      <c r="G903" s="9" t="n">
        <v>-349426.85</v>
      </c>
      <c r="H903" s="9">
        <f>IF(D903="USD",E903*$N$1,E903)</f>
        <v/>
      </c>
      <c r="I903" s="9">
        <f>IF(D903="USD",F903*$N$1,F903)</f>
        <v/>
      </c>
      <c r="J903" s="9">
        <f>IF(D903="USD",G903*$N$1,G903)</f>
        <v/>
      </c>
      <c r="K903" s="9">
        <f>H903+I903</f>
        <v/>
      </c>
    </row>
    <row r="904">
      <c r="A904" s="8" t="n">
        <v>46122</v>
      </c>
      <c r="B904" t="inlineStr">
        <is>
          <t>2026-W15</t>
        </is>
      </c>
      <c r="C904" t="inlineStr">
        <is>
          <t>Nuvei</t>
        </is>
      </c>
      <c r="D904" t="inlineStr">
        <is>
          <t>EUR</t>
        </is>
      </c>
      <c r="E904" s="9" t="n">
        <v>477721.82</v>
      </c>
      <c r="F904" s="9" t="n">
        <v>-10266.7</v>
      </c>
      <c r="G904" s="9" t="n">
        <v>0</v>
      </c>
      <c r="H904" s="9">
        <f>IF(D904="USD",E904*$N$1,E904)</f>
        <v/>
      </c>
      <c r="I904" s="9">
        <f>IF(D904="USD",F904*$N$1,F904)</f>
        <v/>
      </c>
      <c r="J904" s="9">
        <f>IF(D904="USD",G904*$N$1,G904)</f>
        <v/>
      </c>
      <c r="K904" s="9">
        <f>H904+I904</f>
        <v/>
      </c>
    </row>
    <row r="905">
      <c r="A905" s="8" t="n">
        <v>46122</v>
      </c>
      <c r="B905" t="inlineStr">
        <is>
          <t>2026-W15</t>
        </is>
      </c>
      <c r="C905" t="inlineStr">
        <is>
          <t>Nuvei</t>
        </is>
      </c>
      <c r="D905" t="inlineStr">
        <is>
          <t>EUR</t>
        </is>
      </c>
      <c r="E905" s="9" t="n">
        <v>189777.22</v>
      </c>
      <c r="F905" s="9" t="n">
        <v>-5351.17</v>
      </c>
      <c r="G905" s="9" t="n">
        <v>0</v>
      </c>
      <c r="H905" s="9">
        <f>IF(D905="USD",E905*$N$1,E905)</f>
        <v/>
      </c>
      <c r="I905" s="9">
        <f>IF(D905="USD",F905*$N$1,F905)</f>
        <v/>
      </c>
      <c r="J905" s="9">
        <f>IF(D905="USD",G905*$N$1,G905)</f>
        <v/>
      </c>
      <c r="K905" s="9">
        <f>H905+I905</f>
        <v/>
      </c>
    </row>
    <row r="906">
      <c r="A906" s="8" t="n">
        <v>46122</v>
      </c>
      <c r="B906" t="inlineStr">
        <is>
          <t>2026-W15</t>
        </is>
      </c>
      <c r="C906" t="inlineStr">
        <is>
          <t>Shift4</t>
        </is>
      </c>
      <c r="D906" t="inlineStr">
        <is>
          <t>EUR</t>
        </is>
      </c>
      <c r="E906" s="9" t="n">
        <v>0</v>
      </c>
      <c r="F906" s="9" t="n">
        <v>0</v>
      </c>
      <c r="G906" s="9" t="n">
        <v>-554035.4522899997</v>
      </c>
      <c r="H906" s="9">
        <f>IF(D906="USD",E906*$N$1,E906)</f>
        <v/>
      </c>
      <c r="I906" s="9">
        <f>IF(D906="USD",F906*$N$1,F906)</f>
        <v/>
      </c>
      <c r="J906" s="9">
        <f>IF(D906="USD",G906*$N$1,G906)</f>
        <v/>
      </c>
      <c r="K906" s="9">
        <f>H906+I906</f>
        <v/>
      </c>
    </row>
    <row r="907">
      <c r="A907" s="8" t="n">
        <v>46122</v>
      </c>
      <c r="B907" t="inlineStr">
        <is>
          <t>2026-W15</t>
        </is>
      </c>
      <c r="C907" t="inlineStr">
        <is>
          <t>Shift4</t>
        </is>
      </c>
      <c r="D907" t="inlineStr">
        <is>
          <t>EUR</t>
        </is>
      </c>
      <c r="E907" s="9" t="n">
        <v>626036.02</v>
      </c>
      <c r="F907" s="9" t="n">
        <v>-7254.71</v>
      </c>
      <c r="G907" s="9" t="n">
        <v>0</v>
      </c>
      <c r="H907" s="9">
        <f>IF(D907="USD",E907*$N$1,E907)</f>
        <v/>
      </c>
      <c r="I907" s="9">
        <f>IF(D907="USD",F907*$N$1,F907)</f>
        <v/>
      </c>
      <c r="J907" s="9">
        <f>IF(D907="USD",G907*$N$1,G907)</f>
        <v/>
      </c>
      <c r="K907" s="9">
        <f>H907+I907</f>
        <v/>
      </c>
    </row>
    <row r="908">
      <c r="A908" s="8" t="n">
        <v>46123</v>
      </c>
      <c r="B908" t="inlineStr">
        <is>
          <t>2026-W15</t>
        </is>
      </c>
      <c r="C908" t="inlineStr">
        <is>
          <t>Adyen</t>
        </is>
      </c>
      <c r="D908" t="inlineStr">
        <is>
          <t>EUR</t>
        </is>
      </c>
      <c r="E908" s="9" t="n">
        <v>383992.87</v>
      </c>
      <c r="F908" s="9" t="n">
        <v>0</v>
      </c>
      <c r="G908" s="9" t="n">
        <v>0</v>
      </c>
      <c r="H908" s="9">
        <f>IF(D908="USD",E908*$N$1,E908)</f>
        <v/>
      </c>
      <c r="I908" s="9">
        <f>IF(D908="USD",F908*$N$1,F908)</f>
        <v/>
      </c>
      <c r="J908" s="9">
        <f>IF(D908="USD",G908*$N$1,G908)</f>
        <v/>
      </c>
      <c r="K908" s="9">
        <f>H908+I908</f>
        <v/>
      </c>
    </row>
    <row r="909">
      <c r="A909" s="8" t="n">
        <v>46123</v>
      </c>
      <c r="B909" t="inlineStr">
        <is>
          <t>2026-W15</t>
        </is>
      </c>
      <c r="C909" t="inlineStr">
        <is>
          <t>Adyen</t>
        </is>
      </c>
      <c r="D909" t="inlineStr">
        <is>
          <t>EUR</t>
        </is>
      </c>
      <c r="E909" s="9" t="n">
        <v>55560.92</v>
      </c>
      <c r="F909" s="9" t="n">
        <v>0</v>
      </c>
      <c r="G909" s="9" t="n">
        <v>0</v>
      </c>
      <c r="H909" s="9">
        <f>IF(D909="USD",E909*$N$1,E909)</f>
        <v/>
      </c>
      <c r="I909" s="9">
        <f>IF(D909="USD",F909*$N$1,F909)</f>
        <v/>
      </c>
      <c r="J909" s="9">
        <f>IF(D909="USD",G909*$N$1,G909)</f>
        <v/>
      </c>
      <c r="K909" s="9">
        <f>H909+I909</f>
        <v/>
      </c>
    </row>
    <row r="910">
      <c r="A910" s="8" t="n">
        <v>46123</v>
      </c>
      <c r="B910" t="inlineStr">
        <is>
          <t>2026-W15</t>
        </is>
      </c>
      <c r="C910" t="inlineStr">
        <is>
          <t>Nuvei</t>
        </is>
      </c>
      <c r="D910" t="inlineStr">
        <is>
          <t>EUR</t>
        </is>
      </c>
      <c r="E910" s="9" t="n">
        <v>390563.71</v>
      </c>
      <c r="F910" s="9" t="n">
        <v>-7695.66</v>
      </c>
      <c r="G910" s="9" t="n">
        <v>0</v>
      </c>
      <c r="H910" s="9">
        <f>IF(D910="USD",E910*$N$1,E910)</f>
        <v/>
      </c>
      <c r="I910" s="9">
        <f>IF(D910="USD",F910*$N$1,F910)</f>
        <v/>
      </c>
      <c r="J910" s="9">
        <f>IF(D910="USD",G910*$N$1,G910)</f>
        <v/>
      </c>
      <c r="K910" s="9">
        <f>H910+I910</f>
        <v/>
      </c>
    </row>
    <row r="911">
      <c r="A911" s="8" t="n">
        <v>46123</v>
      </c>
      <c r="B911" t="inlineStr">
        <is>
          <t>2026-W15</t>
        </is>
      </c>
      <c r="C911" t="inlineStr">
        <is>
          <t>Nuvei</t>
        </is>
      </c>
      <c r="D911" t="inlineStr">
        <is>
          <t>EUR</t>
        </is>
      </c>
      <c r="E911" s="9" t="n">
        <v>178794.55</v>
      </c>
      <c r="F911" s="9" t="n">
        <v>-5188.44</v>
      </c>
      <c r="G911" s="9" t="n">
        <v>0</v>
      </c>
      <c r="H911" s="9">
        <f>IF(D911="USD",E911*$N$1,E911)</f>
        <v/>
      </c>
      <c r="I911" s="9">
        <f>IF(D911="USD",F911*$N$1,F911)</f>
        <v/>
      </c>
      <c r="J911" s="9">
        <f>IF(D911="USD",G911*$N$1,G911)</f>
        <v/>
      </c>
      <c r="K911" s="9">
        <f>H911+I911</f>
        <v/>
      </c>
    </row>
    <row r="912">
      <c r="A912" s="8" t="n">
        <v>46123</v>
      </c>
      <c r="B912" t="inlineStr">
        <is>
          <t>2026-W15</t>
        </is>
      </c>
      <c r="C912" t="inlineStr">
        <is>
          <t>Shift4</t>
        </is>
      </c>
      <c r="D912" t="inlineStr">
        <is>
          <t>EUR</t>
        </is>
      </c>
      <c r="E912" s="9" t="n">
        <v>525525.01</v>
      </c>
      <c r="F912" s="9" t="n">
        <v>-5374.01</v>
      </c>
      <c r="G912" s="9" t="n">
        <v>0</v>
      </c>
      <c r="H912" s="9">
        <f>IF(D912="USD",E912*$N$1,E912)</f>
        <v/>
      </c>
      <c r="I912" s="9">
        <f>IF(D912="USD",F912*$N$1,F912)</f>
        <v/>
      </c>
      <c r="J912" s="9">
        <f>IF(D912="USD",G912*$N$1,G912)</f>
        <v/>
      </c>
      <c r="K912" s="9">
        <f>H912+I912</f>
        <v/>
      </c>
    </row>
    <row r="913">
      <c r="A913" s="8" t="n">
        <v>46124</v>
      </c>
      <c r="B913" t="inlineStr">
        <is>
          <t>2026-W15</t>
        </is>
      </c>
      <c r="C913" t="inlineStr">
        <is>
          <t>Adyen</t>
        </is>
      </c>
      <c r="D913" t="inlineStr">
        <is>
          <t>EUR</t>
        </is>
      </c>
      <c r="E913" s="9" t="n">
        <v>405543.09</v>
      </c>
      <c r="F913" s="9" t="n">
        <v>0</v>
      </c>
      <c r="G913" s="9" t="n">
        <v>0</v>
      </c>
      <c r="H913" s="9">
        <f>IF(D913="USD",E913*$N$1,E913)</f>
        <v/>
      </c>
      <c r="I913" s="9">
        <f>IF(D913="USD",F913*$N$1,F913)</f>
        <v/>
      </c>
      <c r="J913" s="9">
        <f>IF(D913="USD",G913*$N$1,G913)</f>
        <v/>
      </c>
      <c r="K913" s="9">
        <f>H913+I913</f>
        <v/>
      </c>
    </row>
    <row r="914">
      <c r="A914" s="8" t="n">
        <v>46124</v>
      </c>
      <c r="B914" t="inlineStr">
        <is>
          <t>2026-W15</t>
        </is>
      </c>
      <c r="C914" t="inlineStr">
        <is>
          <t>Adyen</t>
        </is>
      </c>
      <c r="D914" t="inlineStr">
        <is>
          <t>EUR</t>
        </is>
      </c>
      <c r="E914" s="9" t="n">
        <v>55430.8</v>
      </c>
      <c r="F914" s="9" t="n">
        <v>0</v>
      </c>
      <c r="G914" s="9" t="n">
        <v>0</v>
      </c>
      <c r="H914" s="9">
        <f>IF(D914="USD",E914*$N$1,E914)</f>
        <v/>
      </c>
      <c r="I914" s="9">
        <f>IF(D914="USD",F914*$N$1,F914)</f>
        <v/>
      </c>
      <c r="J914" s="9">
        <f>IF(D914="USD",G914*$N$1,G914)</f>
        <v/>
      </c>
      <c r="K914" s="9">
        <f>H914+I914</f>
        <v/>
      </c>
    </row>
    <row r="915">
      <c r="A915" s="8" t="n">
        <v>46124</v>
      </c>
      <c r="B915" t="inlineStr">
        <is>
          <t>2026-W15</t>
        </is>
      </c>
      <c r="C915" t="inlineStr">
        <is>
          <t>Nuvei</t>
        </is>
      </c>
      <c r="D915" t="inlineStr">
        <is>
          <t>EUR</t>
        </is>
      </c>
      <c r="E915" s="9" t="n">
        <v>428515.34</v>
      </c>
      <c r="F915" s="9" t="n">
        <v>-8652.040000000001</v>
      </c>
      <c r="G915" s="9" t="n">
        <v>0</v>
      </c>
      <c r="H915" s="9">
        <f>IF(D915="USD",E915*$N$1,E915)</f>
        <v/>
      </c>
      <c r="I915" s="9">
        <f>IF(D915="USD",F915*$N$1,F915)</f>
        <v/>
      </c>
      <c r="J915" s="9">
        <f>IF(D915="USD",G915*$N$1,G915)</f>
        <v/>
      </c>
      <c r="K915" s="9">
        <f>H915+I915</f>
        <v/>
      </c>
    </row>
    <row r="916">
      <c r="A916" s="8" t="n">
        <v>46124</v>
      </c>
      <c r="B916" t="inlineStr">
        <is>
          <t>2026-W15</t>
        </is>
      </c>
      <c r="C916" t="inlineStr">
        <is>
          <t>Nuvei</t>
        </is>
      </c>
      <c r="D916" t="inlineStr">
        <is>
          <t>EUR</t>
        </is>
      </c>
      <c r="E916" s="9" t="n">
        <v>130073.19</v>
      </c>
      <c r="F916" s="9" t="n">
        <v>-3749.41</v>
      </c>
      <c r="G916" s="9" t="n">
        <v>0</v>
      </c>
      <c r="H916" s="9">
        <f>IF(D916="USD",E916*$N$1,E916)</f>
        <v/>
      </c>
      <c r="I916" s="9">
        <f>IF(D916="USD",F916*$N$1,F916)</f>
        <v/>
      </c>
      <c r="J916" s="9">
        <f>IF(D916="USD",G916*$N$1,G916)</f>
        <v/>
      </c>
      <c r="K916" s="9">
        <f>H916+I916</f>
        <v/>
      </c>
    </row>
    <row r="917">
      <c r="A917" s="8" t="n">
        <v>46124</v>
      </c>
      <c r="B917" t="inlineStr">
        <is>
          <t>2026-W15</t>
        </is>
      </c>
      <c r="C917" t="inlineStr">
        <is>
          <t>Shift4</t>
        </is>
      </c>
      <c r="D917" t="inlineStr">
        <is>
          <t>EUR</t>
        </is>
      </c>
      <c r="E917" s="9" t="n">
        <v>672385.27</v>
      </c>
      <c r="F917" s="9" t="n">
        <v>-6409.42</v>
      </c>
      <c r="G917" s="9" t="n">
        <v>0</v>
      </c>
      <c r="H917" s="9">
        <f>IF(D917="USD",E917*$N$1,E917)</f>
        <v/>
      </c>
      <c r="I917" s="9">
        <f>IF(D917="USD",F917*$N$1,F917)</f>
        <v/>
      </c>
      <c r="J917" s="9">
        <f>IF(D917="USD",G917*$N$1,G917)</f>
        <v/>
      </c>
      <c r="K917" s="9">
        <f>H917+I917</f>
        <v/>
      </c>
    </row>
    <row r="918">
      <c r="A918" s="8" t="n">
        <v>46125</v>
      </c>
      <c r="B918" t="inlineStr">
        <is>
          <t>2026-W16</t>
        </is>
      </c>
      <c r="C918" t="inlineStr">
        <is>
          <t>Adyen</t>
        </is>
      </c>
      <c r="D918" t="inlineStr">
        <is>
          <t>EUR</t>
        </is>
      </c>
      <c r="E918" s="9" t="n">
        <v>0</v>
      </c>
      <c r="F918" s="9" t="n">
        <v>0</v>
      </c>
      <c r="G918" s="9" t="n">
        <v>-700029.6699999999</v>
      </c>
      <c r="H918" s="9">
        <f>IF(D918="USD",E918*$N$1,E918)</f>
        <v/>
      </c>
      <c r="I918" s="9">
        <f>IF(D918="USD",F918*$N$1,F918)</f>
        <v/>
      </c>
      <c r="J918" s="9">
        <f>IF(D918="USD",G918*$N$1,G918)</f>
        <v/>
      </c>
      <c r="K918" s="9">
        <f>H918+I918</f>
        <v/>
      </c>
    </row>
    <row r="919">
      <c r="A919" s="8" t="n">
        <v>46125</v>
      </c>
      <c r="B919" t="inlineStr">
        <is>
          <t>2026-W16</t>
        </is>
      </c>
      <c r="C919" t="inlineStr">
        <is>
          <t>Adyen</t>
        </is>
      </c>
      <c r="D919" t="inlineStr">
        <is>
          <t>EUR</t>
        </is>
      </c>
      <c r="E919" s="9" t="n">
        <v>618425.6899999999</v>
      </c>
      <c r="F919" s="9" t="n">
        <v>-13626.07000000007</v>
      </c>
      <c r="G919" s="9" t="n">
        <v>0</v>
      </c>
      <c r="H919" s="9">
        <f>IF(D919="USD",E919*$N$1,E919)</f>
        <v/>
      </c>
      <c r="I919" s="9">
        <f>IF(D919="USD",F919*$N$1,F919)</f>
        <v/>
      </c>
      <c r="J919" s="9">
        <f>IF(D919="USD",G919*$N$1,G919)</f>
        <v/>
      </c>
      <c r="K919" s="9">
        <f>H919+I919</f>
        <v/>
      </c>
    </row>
    <row r="920">
      <c r="A920" s="8" t="n">
        <v>46125</v>
      </c>
      <c r="B920" t="inlineStr">
        <is>
          <t>2026-W16</t>
        </is>
      </c>
      <c r="C920" t="inlineStr">
        <is>
          <t>Adyen</t>
        </is>
      </c>
      <c r="D920" t="inlineStr">
        <is>
          <t>EUR</t>
        </is>
      </c>
      <c r="E920" s="9" t="n">
        <v>95939.05</v>
      </c>
      <c r="F920" s="9" t="n">
        <v>0</v>
      </c>
      <c r="G920" s="9" t="n">
        <v>0</v>
      </c>
      <c r="H920" s="9">
        <f>IF(D920="USD",E920*$N$1,E920)</f>
        <v/>
      </c>
      <c r="I920" s="9">
        <f>IF(D920="USD",F920*$N$1,F920)</f>
        <v/>
      </c>
      <c r="J920" s="9">
        <f>IF(D920="USD",G920*$N$1,G920)</f>
        <v/>
      </c>
      <c r="K920" s="9">
        <f>H920+I920</f>
        <v/>
      </c>
    </row>
    <row r="921">
      <c r="A921" s="8" t="n">
        <v>46125</v>
      </c>
      <c r="B921" t="inlineStr">
        <is>
          <t>2026-W16</t>
        </is>
      </c>
      <c r="C921" t="inlineStr">
        <is>
          <t>Nuvei</t>
        </is>
      </c>
      <c r="D921" t="inlineStr">
        <is>
          <t>EUR</t>
        </is>
      </c>
      <c r="E921" s="9" t="n">
        <v>468223.37</v>
      </c>
      <c r="F921" s="9" t="n">
        <v>-9602.969999999999</v>
      </c>
      <c r="G921" s="9" t="n">
        <v>0</v>
      </c>
      <c r="H921" s="9">
        <f>IF(D921="USD",E921*$N$1,E921)</f>
        <v/>
      </c>
      <c r="I921" s="9">
        <f>IF(D921="USD",F921*$N$1,F921)</f>
        <v/>
      </c>
      <c r="J921" s="9">
        <f>IF(D921="USD",G921*$N$1,G921)</f>
        <v/>
      </c>
      <c r="K921" s="9">
        <f>H921+I921</f>
        <v/>
      </c>
    </row>
    <row r="922">
      <c r="A922" s="8" t="n">
        <v>46125</v>
      </c>
      <c r="B922" t="inlineStr">
        <is>
          <t>2026-W16</t>
        </is>
      </c>
      <c r="C922" t="inlineStr">
        <is>
          <t>Nuvei</t>
        </is>
      </c>
      <c r="D922" t="inlineStr">
        <is>
          <t>EUR</t>
        </is>
      </c>
      <c r="E922" s="9" t="n">
        <v>198150.65</v>
      </c>
      <c r="F922" s="9" t="n">
        <v>-5567.15</v>
      </c>
      <c r="G922" s="9" t="n">
        <v>0</v>
      </c>
      <c r="H922" s="9">
        <f>IF(D922="USD",E922*$N$1,E922)</f>
        <v/>
      </c>
      <c r="I922" s="9">
        <f>IF(D922="USD",F922*$N$1,F922)</f>
        <v/>
      </c>
      <c r="J922" s="9">
        <f>IF(D922="USD",G922*$N$1,G922)</f>
        <v/>
      </c>
      <c r="K922" s="9">
        <f>H922+I922</f>
        <v/>
      </c>
    </row>
    <row r="923">
      <c r="A923" s="8" t="n">
        <v>46125</v>
      </c>
      <c r="B923" t="inlineStr">
        <is>
          <t>2026-W16</t>
        </is>
      </c>
      <c r="C923" t="inlineStr">
        <is>
          <t>Shift4</t>
        </is>
      </c>
      <c r="D923" t="inlineStr">
        <is>
          <t>EUR</t>
        </is>
      </c>
      <c r="E923" s="9" t="n">
        <v>0</v>
      </c>
      <c r="F923" s="9" t="n">
        <v>0</v>
      </c>
      <c r="G923" s="9" t="n">
        <v>-582936.95</v>
      </c>
      <c r="H923" s="9">
        <f>IF(D923="USD",E923*$N$1,E923)</f>
        <v/>
      </c>
      <c r="I923" s="9">
        <f>IF(D923="USD",F923*$N$1,F923)</f>
        <v/>
      </c>
      <c r="J923" s="9">
        <f>IF(D923="USD",G923*$N$1,G923)</f>
        <v/>
      </c>
      <c r="K923" s="9">
        <f>H923+I923</f>
        <v/>
      </c>
    </row>
    <row r="924">
      <c r="A924" s="8" t="n">
        <v>46125</v>
      </c>
      <c r="B924" t="inlineStr">
        <is>
          <t>2026-W16</t>
        </is>
      </c>
      <c r="C924" t="inlineStr">
        <is>
          <t>Shift4</t>
        </is>
      </c>
      <c r="D924" t="inlineStr">
        <is>
          <t>EUR</t>
        </is>
      </c>
      <c r="E924" s="9" t="n">
        <v>649677.8</v>
      </c>
      <c r="F924" s="9" t="n">
        <v>-7457.9</v>
      </c>
      <c r="G924" s="9" t="n">
        <v>0</v>
      </c>
      <c r="H924" s="9">
        <f>IF(D924="USD",E924*$N$1,E924)</f>
        <v/>
      </c>
      <c r="I924" s="9">
        <f>IF(D924="USD",F924*$N$1,F924)</f>
        <v/>
      </c>
      <c r="J924" s="9">
        <f>IF(D924="USD",G924*$N$1,G924)</f>
        <v/>
      </c>
      <c r="K924" s="9">
        <f>H924+I924</f>
        <v/>
      </c>
    </row>
    <row r="925">
      <c r="A925" s="8" t="n">
        <v>46126</v>
      </c>
      <c r="B925" t="inlineStr">
        <is>
          <t>2026-W16</t>
        </is>
      </c>
      <c r="C925" t="inlineStr">
        <is>
          <t>Adyen</t>
        </is>
      </c>
      <c r="D925" t="inlineStr">
        <is>
          <t>EUR</t>
        </is>
      </c>
      <c r="E925" s="9" t="n">
        <v>0</v>
      </c>
      <c r="F925" s="9" t="n">
        <v>0</v>
      </c>
      <c r="G925" s="9" t="n">
        <v>-1524414.82</v>
      </c>
      <c r="H925" s="9">
        <f>IF(D925="USD",E925*$N$1,E925)</f>
        <v/>
      </c>
      <c r="I925" s="9">
        <f>IF(D925="USD",F925*$N$1,F925)</f>
        <v/>
      </c>
      <c r="J925" s="9">
        <f>IF(D925="USD",G925*$N$1,G925)</f>
        <v/>
      </c>
      <c r="K925" s="9">
        <f>H925+I925</f>
        <v/>
      </c>
    </row>
    <row r="926">
      <c r="A926" s="8" t="n">
        <v>46126</v>
      </c>
      <c r="B926" t="inlineStr">
        <is>
          <t>2026-W16</t>
        </is>
      </c>
      <c r="C926" t="inlineStr">
        <is>
          <t>Adyen</t>
        </is>
      </c>
      <c r="D926" t="inlineStr">
        <is>
          <t>EUR</t>
        </is>
      </c>
      <c r="E926" s="9" t="n">
        <v>618517.38</v>
      </c>
      <c r="F926" s="9" t="n">
        <v>-14883.54000000004</v>
      </c>
      <c r="G926" s="9" t="n">
        <v>0</v>
      </c>
      <c r="H926" s="9">
        <f>IF(D926="USD",E926*$N$1,E926)</f>
        <v/>
      </c>
      <c r="I926" s="9">
        <f>IF(D926="USD",F926*$N$1,F926)</f>
        <v/>
      </c>
      <c r="J926" s="9">
        <f>IF(D926="USD",G926*$N$1,G926)</f>
        <v/>
      </c>
      <c r="K926" s="9">
        <f>H926+I926</f>
        <v/>
      </c>
    </row>
    <row r="927">
      <c r="A927" s="8" t="n">
        <v>46126</v>
      </c>
      <c r="B927" t="inlineStr">
        <is>
          <t>2026-W16</t>
        </is>
      </c>
      <c r="C927" t="inlineStr">
        <is>
          <t>Adyen</t>
        </is>
      </c>
      <c r="D927" t="inlineStr">
        <is>
          <t>EUR</t>
        </is>
      </c>
      <c r="E927" s="9" t="n">
        <v>93474.03</v>
      </c>
      <c r="F927" s="9" t="n">
        <v>0</v>
      </c>
      <c r="G927" s="9" t="n">
        <v>0</v>
      </c>
      <c r="H927" s="9">
        <f>IF(D927="USD",E927*$N$1,E927)</f>
        <v/>
      </c>
      <c r="I927" s="9">
        <f>IF(D927="USD",F927*$N$1,F927)</f>
        <v/>
      </c>
      <c r="J927" s="9">
        <f>IF(D927="USD",G927*$N$1,G927)</f>
        <v/>
      </c>
      <c r="K927" s="9">
        <f>H927+I927</f>
        <v/>
      </c>
    </row>
    <row r="928">
      <c r="A928" s="8" t="n">
        <v>46126</v>
      </c>
      <c r="B928" t="inlineStr">
        <is>
          <t>2026-W16</t>
        </is>
      </c>
      <c r="C928" t="inlineStr">
        <is>
          <t>Nuvei</t>
        </is>
      </c>
      <c r="D928" t="inlineStr">
        <is>
          <t>EUR</t>
        </is>
      </c>
      <c r="E928" s="9" t="n">
        <v>0</v>
      </c>
      <c r="F928" s="9" t="n">
        <v>0</v>
      </c>
      <c r="G928" s="9" t="n">
        <v>-360251.42</v>
      </c>
      <c r="H928" s="9">
        <f>IF(D928="USD",E928*$N$1,E928)</f>
        <v/>
      </c>
      <c r="I928" s="9">
        <f>IF(D928="USD",F928*$N$1,F928)</f>
        <v/>
      </c>
      <c r="J928" s="9">
        <f>IF(D928="USD",G928*$N$1,G928)</f>
        <v/>
      </c>
      <c r="K928" s="9">
        <f>H928+I928</f>
        <v/>
      </c>
    </row>
    <row r="929">
      <c r="A929" s="8" t="n">
        <v>46126</v>
      </c>
      <c r="B929" t="inlineStr">
        <is>
          <t>2026-W16</t>
        </is>
      </c>
      <c r="C929" t="inlineStr">
        <is>
          <t>Nuvei</t>
        </is>
      </c>
      <c r="D929" t="inlineStr">
        <is>
          <t>EUR</t>
        </is>
      </c>
      <c r="E929" s="9" t="n">
        <v>0</v>
      </c>
      <c r="F929" s="9" t="n">
        <v>0</v>
      </c>
      <c r="G929" s="9" t="n">
        <v>-157431.26</v>
      </c>
      <c r="H929" s="9">
        <f>IF(D929="USD",E929*$N$1,E929)</f>
        <v/>
      </c>
      <c r="I929" s="9">
        <f>IF(D929="USD",F929*$N$1,F929)</f>
        <v/>
      </c>
      <c r="J929" s="9">
        <f>IF(D929="USD",G929*$N$1,G929)</f>
        <v/>
      </c>
      <c r="K929" s="9">
        <f>H929+I929</f>
        <v/>
      </c>
    </row>
    <row r="930">
      <c r="A930" s="8" t="n">
        <v>46126</v>
      </c>
      <c r="B930" t="inlineStr">
        <is>
          <t>2026-W16</t>
        </is>
      </c>
      <c r="C930" t="inlineStr">
        <is>
          <t>Nuvei</t>
        </is>
      </c>
      <c r="D930" t="inlineStr">
        <is>
          <t>EUR</t>
        </is>
      </c>
      <c r="E930" s="9" t="n">
        <v>0</v>
      </c>
      <c r="F930" s="9" t="n">
        <v>0</v>
      </c>
      <c r="G930" s="9" t="n">
        <v>-293535.98</v>
      </c>
      <c r="H930" s="9">
        <f>IF(D930="USD",E930*$N$1,E930)</f>
        <v/>
      </c>
      <c r="I930" s="9">
        <f>IF(D930="USD",F930*$N$1,F930)</f>
        <v/>
      </c>
      <c r="J930" s="9">
        <f>IF(D930="USD",G930*$N$1,G930)</f>
        <v/>
      </c>
      <c r="K930" s="9">
        <f>H930+I930</f>
        <v/>
      </c>
    </row>
    <row r="931">
      <c r="A931" s="8" t="n">
        <v>46126</v>
      </c>
      <c r="B931" t="inlineStr">
        <is>
          <t>2026-W16</t>
        </is>
      </c>
      <c r="C931" t="inlineStr">
        <is>
          <t>Nuvei</t>
        </is>
      </c>
      <c r="D931" t="inlineStr">
        <is>
          <t>EUR</t>
        </is>
      </c>
      <c r="E931" s="9" t="n">
        <v>0</v>
      </c>
      <c r="F931" s="9" t="n">
        <v>0</v>
      </c>
      <c r="G931" s="9" t="n">
        <v>-147345.82</v>
      </c>
      <c r="H931" s="9">
        <f>IF(D931="USD",E931*$N$1,E931)</f>
        <v/>
      </c>
      <c r="I931" s="9">
        <f>IF(D931="USD",F931*$N$1,F931)</f>
        <v/>
      </c>
      <c r="J931" s="9">
        <f>IF(D931="USD",G931*$N$1,G931)</f>
        <v/>
      </c>
      <c r="K931" s="9">
        <f>H931+I931</f>
        <v/>
      </c>
    </row>
    <row r="932">
      <c r="A932" s="8" t="n">
        <v>46126</v>
      </c>
      <c r="B932" t="inlineStr">
        <is>
          <t>2026-W16</t>
        </is>
      </c>
      <c r="C932" t="inlineStr">
        <is>
          <t>Nuvei</t>
        </is>
      </c>
      <c r="D932" t="inlineStr">
        <is>
          <t>EUR</t>
        </is>
      </c>
      <c r="E932" s="9" t="n">
        <v>472193.48</v>
      </c>
      <c r="F932" s="9" t="n">
        <v>-10335.7</v>
      </c>
      <c r="G932" s="9" t="n">
        <v>0</v>
      </c>
      <c r="H932" s="9">
        <f>IF(D932="USD",E932*$N$1,E932)</f>
        <v/>
      </c>
      <c r="I932" s="9">
        <f>IF(D932="USD",F932*$N$1,F932)</f>
        <v/>
      </c>
      <c r="J932" s="9">
        <f>IF(D932="USD",G932*$N$1,G932)</f>
        <v/>
      </c>
      <c r="K932" s="9">
        <f>H932+I932</f>
        <v/>
      </c>
    </row>
    <row r="933">
      <c r="A933" s="8" t="n">
        <v>46126</v>
      </c>
      <c r="B933" t="inlineStr">
        <is>
          <t>2026-W16</t>
        </is>
      </c>
      <c r="C933" t="inlineStr">
        <is>
          <t>Nuvei</t>
        </is>
      </c>
      <c r="D933" t="inlineStr">
        <is>
          <t>EUR</t>
        </is>
      </c>
      <c r="E933" s="9" t="n">
        <v>206574.42</v>
      </c>
      <c r="F933" s="9" t="n">
        <v>-5992</v>
      </c>
      <c r="G933" s="9" t="n">
        <v>0</v>
      </c>
      <c r="H933" s="9">
        <f>IF(D933="USD",E933*$N$1,E933)</f>
        <v/>
      </c>
      <c r="I933" s="9">
        <f>IF(D933="USD",F933*$N$1,F933)</f>
        <v/>
      </c>
      <c r="J933" s="9">
        <f>IF(D933="USD",G933*$N$1,G933)</f>
        <v/>
      </c>
      <c r="K933" s="9">
        <f>H933+I933</f>
        <v/>
      </c>
    </row>
    <row r="934">
      <c r="A934" s="8" t="n">
        <v>46126</v>
      </c>
      <c r="B934" t="inlineStr">
        <is>
          <t>2026-W16</t>
        </is>
      </c>
      <c r="C934" t="inlineStr">
        <is>
          <t>Shift4</t>
        </is>
      </c>
      <c r="D934" t="inlineStr">
        <is>
          <t>EUR</t>
        </is>
      </c>
      <c r="E934" s="9" t="n">
        <v>0</v>
      </c>
      <c r="F934" s="9" t="n">
        <v>0</v>
      </c>
      <c r="G934" s="9" t="n">
        <v>-605027.5600000001</v>
      </c>
      <c r="H934" s="9">
        <f>IF(D934="USD",E934*$N$1,E934)</f>
        <v/>
      </c>
      <c r="I934" s="9">
        <f>IF(D934="USD",F934*$N$1,F934)</f>
        <v/>
      </c>
      <c r="J934" s="9">
        <f>IF(D934="USD",G934*$N$1,G934)</f>
        <v/>
      </c>
      <c r="K934" s="9">
        <f>H934+I934</f>
        <v/>
      </c>
    </row>
    <row r="935">
      <c r="A935" s="8" t="n">
        <v>46126</v>
      </c>
      <c r="B935" t="inlineStr">
        <is>
          <t>2026-W16</t>
        </is>
      </c>
      <c r="C935" t="inlineStr">
        <is>
          <t>Shift4</t>
        </is>
      </c>
      <c r="D935" t="inlineStr">
        <is>
          <t>EUR</t>
        </is>
      </c>
      <c r="E935" s="9" t="n">
        <v>742026.15</v>
      </c>
      <c r="F935" s="9" t="n">
        <v>-8444.620000000001</v>
      </c>
      <c r="G935" s="9" t="n">
        <v>0</v>
      </c>
      <c r="H935" s="9">
        <f>IF(D935="USD",E935*$N$1,E935)</f>
        <v/>
      </c>
      <c r="I935" s="9">
        <f>IF(D935="USD",F935*$N$1,F935)</f>
        <v/>
      </c>
      <c r="J935" s="9">
        <f>IF(D935="USD",G935*$N$1,G935)</f>
        <v/>
      </c>
      <c r="K935" s="9">
        <f>H935+I935</f>
        <v/>
      </c>
    </row>
    <row r="936">
      <c r="A936" s="8" t="n">
        <v>46127</v>
      </c>
      <c r="B936" t="inlineStr">
        <is>
          <t>2026-W16</t>
        </is>
      </c>
      <c r="C936" t="inlineStr">
        <is>
          <t>Adyen</t>
        </is>
      </c>
      <c r="D936" t="inlineStr">
        <is>
          <t>EUR</t>
        </is>
      </c>
      <c r="E936" s="9" t="n">
        <v>0</v>
      </c>
      <c r="F936" s="9" t="n">
        <v>0</v>
      </c>
      <c r="G936" s="9" t="n">
        <v>-700738.6699999999</v>
      </c>
      <c r="H936" s="9">
        <f>IF(D936="USD",E936*$N$1,E936)</f>
        <v/>
      </c>
      <c r="I936" s="9">
        <f>IF(D936="USD",F936*$N$1,F936)</f>
        <v/>
      </c>
      <c r="J936" s="9">
        <f>IF(D936="USD",G936*$N$1,G936)</f>
        <v/>
      </c>
      <c r="K936" s="9">
        <f>H936+I936</f>
        <v/>
      </c>
    </row>
    <row r="937">
      <c r="A937" s="8" t="n">
        <v>46127</v>
      </c>
      <c r="B937" t="inlineStr">
        <is>
          <t>2026-W16</t>
        </is>
      </c>
      <c r="C937" t="inlineStr">
        <is>
          <t>Adyen</t>
        </is>
      </c>
      <c r="D937" t="inlineStr">
        <is>
          <t>EUR</t>
        </is>
      </c>
      <c r="E937" s="9" t="n">
        <v>591633.6800000001</v>
      </c>
      <c r="F937" s="9" t="n">
        <v>-24705.83000000007</v>
      </c>
      <c r="G937" s="9" t="n">
        <v>0</v>
      </c>
      <c r="H937" s="9">
        <f>IF(D937="USD",E937*$N$1,E937)</f>
        <v/>
      </c>
      <c r="I937" s="9">
        <f>IF(D937="USD",F937*$N$1,F937)</f>
        <v/>
      </c>
      <c r="J937" s="9">
        <f>IF(D937="USD",G937*$N$1,G937)</f>
        <v/>
      </c>
      <c r="K937" s="9">
        <f>H937+I937</f>
        <v/>
      </c>
    </row>
    <row r="938">
      <c r="A938" s="8" t="n">
        <v>46127</v>
      </c>
      <c r="B938" t="inlineStr">
        <is>
          <t>2026-W16</t>
        </is>
      </c>
      <c r="C938" t="inlineStr">
        <is>
          <t>Adyen</t>
        </is>
      </c>
      <c r="D938" t="inlineStr">
        <is>
          <t>EUR</t>
        </is>
      </c>
      <c r="E938" s="9" t="n">
        <v>91563.66</v>
      </c>
      <c r="F938" s="9" t="n">
        <v>0</v>
      </c>
      <c r="G938" s="9" t="n">
        <v>0</v>
      </c>
      <c r="H938" s="9">
        <f>IF(D938="USD",E938*$N$1,E938)</f>
        <v/>
      </c>
      <c r="I938" s="9">
        <f>IF(D938="USD",F938*$N$1,F938)</f>
        <v/>
      </c>
      <c r="J938" s="9">
        <f>IF(D938="USD",G938*$N$1,G938)</f>
        <v/>
      </c>
      <c r="K938" s="9">
        <f>H938+I938</f>
        <v/>
      </c>
    </row>
    <row r="939">
      <c r="A939" s="8" t="n">
        <v>46127</v>
      </c>
      <c r="B939" t="inlineStr">
        <is>
          <t>2026-W16</t>
        </is>
      </c>
      <c r="C939" t="inlineStr">
        <is>
          <t>Nuvei</t>
        </is>
      </c>
      <c r="D939" t="inlineStr">
        <is>
          <t>EUR</t>
        </is>
      </c>
      <c r="E939" s="9" t="n">
        <v>0</v>
      </c>
      <c r="F939" s="9" t="n">
        <v>0</v>
      </c>
      <c r="G939" s="9" t="n">
        <v>-407331.99</v>
      </c>
      <c r="H939" s="9">
        <f>IF(D939="USD",E939*$N$1,E939)</f>
        <v/>
      </c>
      <c r="I939" s="9">
        <f>IF(D939="USD",F939*$N$1,F939)</f>
        <v/>
      </c>
      <c r="J939" s="9">
        <f>IF(D939="USD",G939*$N$1,G939)</f>
        <v/>
      </c>
      <c r="K939" s="9">
        <f>H939+I939</f>
        <v/>
      </c>
    </row>
    <row r="940">
      <c r="A940" s="8" t="n">
        <v>46127</v>
      </c>
      <c r="B940" t="inlineStr">
        <is>
          <t>2026-W16</t>
        </is>
      </c>
      <c r="C940" t="inlineStr">
        <is>
          <t>Nuvei</t>
        </is>
      </c>
      <c r="D940" t="inlineStr">
        <is>
          <t>EUR</t>
        </is>
      </c>
      <c r="E940" s="9" t="n">
        <v>0</v>
      </c>
      <c r="F940" s="9" t="n">
        <v>0</v>
      </c>
      <c r="G940" s="9" t="n">
        <v>-162028.19</v>
      </c>
      <c r="H940" s="9">
        <f>IF(D940="USD",E940*$N$1,E940)</f>
        <v/>
      </c>
      <c r="I940" s="9">
        <f>IF(D940="USD",F940*$N$1,F940)</f>
        <v/>
      </c>
      <c r="J940" s="9">
        <f>IF(D940="USD",G940*$N$1,G940)</f>
        <v/>
      </c>
      <c r="K940" s="9">
        <f>H940+I940</f>
        <v/>
      </c>
    </row>
    <row r="941">
      <c r="A941" s="8" t="n">
        <v>46127</v>
      </c>
      <c r="B941" t="inlineStr">
        <is>
          <t>2026-W16</t>
        </is>
      </c>
      <c r="C941" t="inlineStr">
        <is>
          <t>Nuvei</t>
        </is>
      </c>
      <c r="D941" t="inlineStr">
        <is>
          <t>EUR</t>
        </is>
      </c>
      <c r="E941" s="9" t="n">
        <v>414329.61</v>
      </c>
      <c r="F941" s="9" t="n">
        <v>-10235.45</v>
      </c>
      <c r="G941" s="9" t="n">
        <v>0</v>
      </c>
      <c r="H941" s="9">
        <f>IF(D941="USD",E941*$N$1,E941)</f>
        <v/>
      </c>
      <c r="I941" s="9">
        <f>IF(D941="USD",F941*$N$1,F941)</f>
        <v/>
      </c>
      <c r="J941" s="9">
        <f>IF(D941="USD",G941*$N$1,G941)</f>
        <v/>
      </c>
      <c r="K941" s="9">
        <f>H941+I941</f>
        <v/>
      </c>
    </row>
    <row r="942">
      <c r="A942" s="8" t="n">
        <v>46127</v>
      </c>
      <c r="B942" t="inlineStr">
        <is>
          <t>2026-W16</t>
        </is>
      </c>
      <c r="C942" t="inlineStr">
        <is>
          <t>Nuvei</t>
        </is>
      </c>
      <c r="D942" t="inlineStr">
        <is>
          <t>EUR</t>
        </is>
      </c>
      <c r="E942" s="9" t="n">
        <v>156838.61</v>
      </c>
      <c r="F942" s="9" t="n">
        <v>-4918.76</v>
      </c>
      <c r="G942" s="9" t="n">
        <v>0</v>
      </c>
      <c r="H942" s="9">
        <f>IF(D942="USD",E942*$N$1,E942)</f>
        <v/>
      </c>
      <c r="I942" s="9">
        <f>IF(D942="USD",F942*$N$1,F942)</f>
        <v/>
      </c>
      <c r="J942" s="9">
        <f>IF(D942="USD",G942*$N$1,G942)</f>
        <v/>
      </c>
      <c r="K942" s="9">
        <f>H942+I942</f>
        <v/>
      </c>
    </row>
    <row r="943">
      <c r="A943" s="8" t="n">
        <v>46127</v>
      </c>
      <c r="B943" t="inlineStr">
        <is>
          <t>2026-W16</t>
        </is>
      </c>
      <c r="C943" t="inlineStr">
        <is>
          <t>Shift4</t>
        </is>
      </c>
      <c r="D943" t="inlineStr">
        <is>
          <t>EUR</t>
        </is>
      </c>
      <c r="E943" s="9" t="n">
        <v>0</v>
      </c>
      <c r="F943" s="9" t="n">
        <v>0</v>
      </c>
      <c r="G943" s="9" t="n">
        <v>-618781.3100000001</v>
      </c>
      <c r="H943" s="9">
        <f>IF(D943="USD",E943*$N$1,E943)</f>
        <v/>
      </c>
      <c r="I943" s="9">
        <f>IF(D943="USD",F943*$N$1,F943)</f>
        <v/>
      </c>
      <c r="J943" s="9">
        <f>IF(D943="USD",G943*$N$1,G943)</f>
        <v/>
      </c>
      <c r="K943" s="9">
        <f>H943+I943</f>
        <v/>
      </c>
    </row>
    <row r="944">
      <c r="A944" s="8" t="n">
        <v>46127</v>
      </c>
      <c r="B944" t="inlineStr">
        <is>
          <t>2026-W16</t>
        </is>
      </c>
      <c r="C944" t="inlineStr">
        <is>
          <t>Shift4</t>
        </is>
      </c>
      <c r="D944" t="inlineStr">
        <is>
          <t>EUR</t>
        </is>
      </c>
      <c r="E944" s="9" t="n">
        <v>689126.47</v>
      </c>
      <c r="F944" s="9" t="n">
        <v>-8119.98</v>
      </c>
      <c r="G944" s="9" t="n">
        <v>0</v>
      </c>
      <c r="H944" s="9">
        <f>IF(D944="USD",E944*$N$1,E944)</f>
        <v/>
      </c>
      <c r="I944" s="9">
        <f>IF(D944="USD",F944*$N$1,F944)</f>
        <v/>
      </c>
      <c r="J944" s="9">
        <f>IF(D944="USD",G944*$N$1,G944)</f>
        <v/>
      </c>
      <c r="K944" s="9">
        <f>H944+I944</f>
        <v/>
      </c>
    </row>
    <row r="945">
      <c r="A945" s="8" t="n">
        <v>46128</v>
      </c>
      <c r="B945" t="inlineStr">
        <is>
          <t>2026-W16</t>
        </is>
      </c>
      <c r="C945" t="inlineStr">
        <is>
          <t>Adyen</t>
        </is>
      </c>
      <c r="D945" t="inlineStr">
        <is>
          <t>EUR</t>
        </is>
      </c>
      <c r="E945" s="9" t="n">
        <v>0</v>
      </c>
      <c r="F945" s="9" t="n">
        <v>0</v>
      </c>
      <c r="G945" s="9" t="n">
        <v>-697107.87</v>
      </c>
      <c r="H945" s="9">
        <f>IF(D945="USD",E945*$N$1,E945)</f>
        <v/>
      </c>
      <c r="I945" s="9">
        <f>IF(D945="USD",F945*$N$1,F945)</f>
        <v/>
      </c>
      <c r="J945" s="9">
        <f>IF(D945="USD",G945*$N$1,G945)</f>
        <v/>
      </c>
      <c r="K945" s="9">
        <f>H945+I945</f>
        <v/>
      </c>
    </row>
    <row r="946">
      <c r="A946" s="8" t="n">
        <v>46128</v>
      </c>
      <c r="B946" t="inlineStr">
        <is>
          <t>2026-W16</t>
        </is>
      </c>
      <c r="C946" t="inlineStr">
        <is>
          <t>Adyen</t>
        </is>
      </c>
      <c r="D946" t="inlineStr">
        <is>
          <t>EUR</t>
        </is>
      </c>
      <c r="E946" s="9" t="n">
        <v>440166</v>
      </c>
      <c r="F946" s="9" t="n">
        <v>-3655.409999999974</v>
      </c>
      <c r="G946" s="9" t="n">
        <v>0</v>
      </c>
      <c r="H946" s="9">
        <f>IF(D946="USD",E946*$N$1,E946)</f>
        <v/>
      </c>
      <c r="I946" s="9">
        <f>IF(D946="USD",F946*$N$1,F946)</f>
        <v/>
      </c>
      <c r="J946" s="9">
        <f>IF(D946="USD",G946*$N$1,G946)</f>
        <v/>
      </c>
      <c r="K946" s="9">
        <f>H946+I946</f>
        <v/>
      </c>
    </row>
    <row r="947">
      <c r="A947" s="8" t="n">
        <v>46128</v>
      </c>
      <c r="B947" t="inlineStr">
        <is>
          <t>2026-W16</t>
        </is>
      </c>
      <c r="C947" t="inlineStr">
        <is>
          <t>Adyen</t>
        </is>
      </c>
      <c r="D947" t="inlineStr">
        <is>
          <t>EUR</t>
        </is>
      </c>
      <c r="E947" s="9" t="n">
        <v>67676.07000000001</v>
      </c>
      <c r="F947" s="9" t="n">
        <v>0</v>
      </c>
      <c r="G947" s="9" t="n">
        <v>0</v>
      </c>
      <c r="H947" s="9">
        <f>IF(D947="USD",E947*$N$1,E947)</f>
        <v/>
      </c>
      <c r="I947" s="9">
        <f>IF(D947="USD",F947*$N$1,F947)</f>
        <v/>
      </c>
      <c r="J947" s="9">
        <f>IF(D947="USD",G947*$N$1,G947)</f>
        <v/>
      </c>
      <c r="K947" s="9">
        <f>H947+I947</f>
        <v/>
      </c>
    </row>
    <row r="948">
      <c r="A948" s="8" t="n">
        <v>46128</v>
      </c>
      <c r="B948" t="inlineStr">
        <is>
          <t>2026-W16</t>
        </is>
      </c>
      <c r="C948" t="inlineStr">
        <is>
          <t>Nuvei</t>
        </is>
      </c>
      <c r="D948" t="inlineStr">
        <is>
          <t>EUR</t>
        </is>
      </c>
      <c r="E948" s="9" t="n">
        <v>0</v>
      </c>
      <c r="F948" s="9" t="n">
        <v>0</v>
      </c>
      <c r="G948" s="9" t="n">
        <v>-467441.62</v>
      </c>
      <c r="H948" s="9">
        <f>IF(D948="USD",E948*$N$1,E948)</f>
        <v/>
      </c>
      <c r="I948" s="9">
        <f>IF(D948="USD",F948*$N$1,F948)</f>
        <v/>
      </c>
      <c r="J948" s="9">
        <f>IF(D948="USD",G948*$N$1,G948)</f>
        <v/>
      </c>
      <c r="K948" s="9">
        <f>H948+I948</f>
        <v/>
      </c>
    </row>
    <row r="949">
      <c r="A949" s="8" t="n">
        <v>46128</v>
      </c>
      <c r="B949" t="inlineStr">
        <is>
          <t>2026-W16</t>
        </is>
      </c>
      <c r="C949" t="inlineStr">
        <is>
          <t>Nuvei</t>
        </is>
      </c>
      <c r="D949" t="inlineStr">
        <is>
          <t>EUR</t>
        </is>
      </c>
      <c r="E949" s="9" t="n">
        <v>0</v>
      </c>
      <c r="F949" s="9" t="n">
        <v>0</v>
      </c>
      <c r="G949" s="9" t="n">
        <v>-184422.55</v>
      </c>
      <c r="H949" s="9">
        <f>IF(D949="USD",E949*$N$1,E949)</f>
        <v/>
      </c>
      <c r="I949" s="9">
        <f>IF(D949="USD",F949*$N$1,F949)</f>
        <v/>
      </c>
      <c r="J949" s="9">
        <f>IF(D949="USD",G949*$N$1,G949)</f>
        <v/>
      </c>
      <c r="K949" s="9">
        <f>H949+I949</f>
        <v/>
      </c>
    </row>
    <row r="950">
      <c r="A950" s="8" t="n">
        <v>46128</v>
      </c>
      <c r="B950" t="inlineStr">
        <is>
          <t>2026-W16</t>
        </is>
      </c>
      <c r="C950" t="inlineStr">
        <is>
          <t>Nuvei</t>
        </is>
      </c>
      <c r="D950" t="inlineStr">
        <is>
          <t>EUR</t>
        </is>
      </c>
      <c r="E950" s="9" t="n">
        <v>340534.3</v>
      </c>
      <c r="F950" s="9" t="n">
        <v>-6614.68</v>
      </c>
      <c r="G950" s="9" t="n">
        <v>0</v>
      </c>
      <c r="H950" s="9">
        <f>IF(D950="USD",E950*$N$1,E950)</f>
        <v/>
      </c>
      <c r="I950" s="9">
        <f>IF(D950="USD",F950*$N$1,F950)</f>
        <v/>
      </c>
      <c r="J950" s="9">
        <f>IF(D950="USD",G950*$N$1,G950)</f>
        <v/>
      </c>
      <c r="K950" s="9">
        <f>H950+I950</f>
        <v/>
      </c>
    </row>
    <row r="951">
      <c r="A951" s="8" t="n">
        <v>46128</v>
      </c>
      <c r="B951" t="inlineStr">
        <is>
          <t>2026-W16</t>
        </is>
      </c>
      <c r="C951" t="inlineStr">
        <is>
          <t>Nuvei</t>
        </is>
      </c>
      <c r="D951" t="inlineStr">
        <is>
          <t>EUR</t>
        </is>
      </c>
      <c r="E951" s="9" t="n">
        <v>147292.19</v>
      </c>
      <c r="F951" s="9" t="n">
        <v>-4188.35</v>
      </c>
      <c r="G951" s="9" t="n">
        <v>0</v>
      </c>
      <c r="H951" s="9">
        <f>IF(D951="USD",E951*$N$1,E951)</f>
        <v/>
      </c>
      <c r="I951" s="9">
        <f>IF(D951="USD",F951*$N$1,F951)</f>
        <v/>
      </c>
      <c r="J951" s="9">
        <f>IF(D951="USD",G951*$N$1,G951)</f>
        <v/>
      </c>
      <c r="K951" s="9">
        <f>H951+I951</f>
        <v/>
      </c>
    </row>
    <row r="952">
      <c r="A952" s="8" t="n">
        <v>46128</v>
      </c>
      <c r="B952" t="inlineStr">
        <is>
          <t>2026-W16</t>
        </is>
      </c>
      <c r="C952" t="inlineStr">
        <is>
          <t>Shift4</t>
        </is>
      </c>
      <c r="D952" t="inlineStr">
        <is>
          <t>EUR</t>
        </is>
      </c>
      <c r="E952" s="9" t="n">
        <v>0</v>
      </c>
      <c r="F952" s="9" t="n">
        <v>0</v>
      </c>
      <c r="G952" s="9" t="n">
        <v>-1828343.14</v>
      </c>
      <c r="H952" s="9">
        <f>IF(D952="USD",E952*$N$1,E952)</f>
        <v/>
      </c>
      <c r="I952" s="9">
        <f>IF(D952="USD",F952*$N$1,F952)</f>
        <v/>
      </c>
      <c r="J952" s="9">
        <f>IF(D952="USD",G952*$N$1,G952)</f>
        <v/>
      </c>
      <c r="K952" s="9">
        <f>H952+I952</f>
        <v/>
      </c>
    </row>
    <row r="953">
      <c r="A953" s="8" t="n">
        <v>46128</v>
      </c>
      <c r="B953" t="inlineStr">
        <is>
          <t>2026-W16</t>
        </is>
      </c>
      <c r="C953" t="inlineStr">
        <is>
          <t>Shift4</t>
        </is>
      </c>
      <c r="D953" t="inlineStr">
        <is>
          <t>EUR</t>
        </is>
      </c>
      <c r="E953" s="9" t="n">
        <v>422116.8</v>
      </c>
      <c r="F953" s="9" t="n">
        <v>-4669.95</v>
      </c>
      <c r="G953" s="9" t="n">
        <v>0</v>
      </c>
      <c r="H953" s="9">
        <f>IF(D953="USD",E953*$N$1,E953)</f>
        <v/>
      </c>
      <c r="I953" s="9">
        <f>IF(D953="USD",F953*$N$1,F953)</f>
        <v/>
      </c>
      <c r="J953" s="9">
        <f>IF(D953="USD",G953*$N$1,G953)</f>
        <v/>
      </c>
      <c r="K953" s="9">
        <f>H953+I953</f>
        <v/>
      </c>
    </row>
    <row r="954">
      <c r="A954" s="8" t="n">
        <v>46129</v>
      </c>
      <c r="B954" t="inlineStr">
        <is>
          <t>2026-W16</t>
        </is>
      </c>
      <c r="C954" t="inlineStr">
        <is>
          <t>Adyen</t>
        </is>
      </c>
      <c r="D954" t="inlineStr">
        <is>
          <t>EUR</t>
        </is>
      </c>
      <c r="E954" s="9" t="n">
        <v>0</v>
      </c>
      <c r="F954" s="9" t="n">
        <v>0</v>
      </c>
      <c r="G954" s="9" t="n">
        <v>-658491.51</v>
      </c>
      <c r="H954" s="9">
        <f>IF(D954="USD",E954*$N$1,E954)</f>
        <v/>
      </c>
      <c r="I954" s="9">
        <f>IF(D954="USD",F954*$N$1,F954)</f>
        <v/>
      </c>
      <c r="J954" s="9">
        <f>IF(D954="USD",G954*$N$1,G954)</f>
        <v/>
      </c>
      <c r="K954" s="9">
        <f>H954+I954</f>
        <v/>
      </c>
    </row>
    <row r="955">
      <c r="A955" s="8" t="n">
        <v>46129</v>
      </c>
      <c r="B955" t="inlineStr">
        <is>
          <t>2026-W16</t>
        </is>
      </c>
      <c r="C955" t="inlineStr">
        <is>
          <t>Adyen</t>
        </is>
      </c>
      <c r="D955" t="inlineStr">
        <is>
          <t>EUR</t>
        </is>
      </c>
      <c r="E955" s="9" t="n">
        <v>599199.72</v>
      </c>
      <c r="F955" s="9" t="n">
        <v>-14831.2799999998</v>
      </c>
      <c r="G955" s="9" t="n">
        <v>0</v>
      </c>
      <c r="H955" s="9">
        <f>IF(D955="USD",E955*$N$1,E955)</f>
        <v/>
      </c>
      <c r="I955" s="9">
        <f>IF(D955="USD",F955*$N$1,F955)</f>
        <v/>
      </c>
      <c r="J955" s="9">
        <f>IF(D955="USD",G955*$N$1,G955)</f>
        <v/>
      </c>
      <c r="K955" s="9">
        <f>H955+I955</f>
        <v/>
      </c>
    </row>
    <row r="956">
      <c r="A956" s="8" t="n">
        <v>46129</v>
      </c>
      <c r="B956" t="inlineStr">
        <is>
          <t>2026-W16</t>
        </is>
      </c>
      <c r="C956" t="inlineStr">
        <is>
          <t>Adyen</t>
        </is>
      </c>
      <c r="D956" t="inlineStr">
        <is>
          <t>EUR</t>
        </is>
      </c>
      <c r="E956" s="9" t="n">
        <v>175048.66</v>
      </c>
      <c r="F956" s="9" t="n">
        <v>0</v>
      </c>
      <c r="G956" s="9" t="n">
        <v>0</v>
      </c>
      <c r="H956" s="9">
        <f>IF(D956="USD",E956*$N$1,E956)</f>
        <v/>
      </c>
      <c r="I956" s="9">
        <f>IF(D956="USD",F956*$N$1,F956)</f>
        <v/>
      </c>
      <c r="J956" s="9">
        <f>IF(D956="USD",G956*$N$1,G956)</f>
        <v/>
      </c>
      <c r="K956" s="9">
        <f>H956+I956</f>
        <v/>
      </c>
    </row>
    <row r="957">
      <c r="A957" s="8" t="n">
        <v>46129</v>
      </c>
      <c r="B957" t="inlineStr">
        <is>
          <t>2026-W16</t>
        </is>
      </c>
      <c r="C957" t="inlineStr">
        <is>
          <t>Nuvei</t>
        </is>
      </c>
      <c r="D957" t="inlineStr">
        <is>
          <t>EUR</t>
        </is>
      </c>
      <c r="E957" s="9" t="n">
        <v>0</v>
      </c>
      <c r="F957" s="9" t="n">
        <v>0</v>
      </c>
      <c r="G957" s="9" t="n">
        <v>-1261328.27</v>
      </c>
      <c r="H957" s="9">
        <f>IF(D957="USD",E957*$N$1,E957)</f>
        <v/>
      </c>
      <c r="I957" s="9">
        <f>IF(D957="USD",F957*$N$1,F957)</f>
        <v/>
      </c>
      <c r="J957" s="9">
        <f>IF(D957="USD",G957*$N$1,G957)</f>
        <v/>
      </c>
      <c r="K957" s="9">
        <f>H957+I957</f>
        <v/>
      </c>
    </row>
    <row r="958">
      <c r="A958" s="8" t="n">
        <v>46129</v>
      </c>
      <c r="B958" t="inlineStr">
        <is>
          <t>2026-W16</t>
        </is>
      </c>
      <c r="C958" t="inlineStr">
        <is>
          <t>Nuvei</t>
        </is>
      </c>
      <c r="D958" t="inlineStr">
        <is>
          <t>EUR</t>
        </is>
      </c>
      <c r="E958" s="9" t="n">
        <v>0</v>
      </c>
      <c r="F958" s="9" t="n">
        <v>0</v>
      </c>
      <c r="G958" s="9" t="n">
        <v>-492509.89</v>
      </c>
      <c r="H958" s="9">
        <f>IF(D958="USD",E958*$N$1,E958)</f>
        <v/>
      </c>
      <c r="I958" s="9">
        <f>IF(D958="USD",F958*$N$1,F958)</f>
        <v/>
      </c>
      <c r="J958" s="9">
        <f>IF(D958="USD",G958*$N$1,G958)</f>
        <v/>
      </c>
      <c r="K958" s="9">
        <f>H958+I958</f>
        <v/>
      </c>
    </row>
    <row r="959">
      <c r="A959" s="8" t="n">
        <v>46129</v>
      </c>
      <c r="B959" t="inlineStr">
        <is>
          <t>2026-W16</t>
        </is>
      </c>
      <c r="C959" t="inlineStr">
        <is>
          <t>Nuvei</t>
        </is>
      </c>
      <c r="D959" t="inlineStr">
        <is>
          <t>EUR</t>
        </is>
      </c>
      <c r="E959" s="9" t="n">
        <v>407765.88</v>
      </c>
      <c r="F959" s="9" t="n">
        <v>-8324.870000000001</v>
      </c>
      <c r="G959" s="9" t="n">
        <v>0</v>
      </c>
      <c r="H959" s="9">
        <f>IF(D959="USD",E959*$N$1,E959)</f>
        <v/>
      </c>
      <c r="I959" s="9">
        <f>IF(D959="USD",F959*$N$1,F959)</f>
        <v/>
      </c>
      <c r="J959" s="9">
        <f>IF(D959="USD",G959*$N$1,G959)</f>
        <v/>
      </c>
      <c r="K959" s="9">
        <f>H959+I959</f>
        <v/>
      </c>
    </row>
    <row r="960">
      <c r="A960" s="8" t="n">
        <v>46129</v>
      </c>
      <c r="B960" t="inlineStr">
        <is>
          <t>2026-W16</t>
        </is>
      </c>
      <c r="C960" t="inlineStr">
        <is>
          <t>Nuvei</t>
        </is>
      </c>
      <c r="D960" t="inlineStr">
        <is>
          <t>EUR</t>
        </is>
      </c>
      <c r="E960" s="9" t="n">
        <v>179633.93</v>
      </c>
      <c r="F960" s="9" t="n">
        <v>-4987.46</v>
      </c>
      <c r="G960" s="9" t="n">
        <v>0</v>
      </c>
      <c r="H960" s="9">
        <f>IF(D960="USD",E960*$N$1,E960)</f>
        <v/>
      </c>
      <c r="I960" s="9">
        <f>IF(D960="USD",F960*$N$1,F960)</f>
        <v/>
      </c>
      <c r="J960" s="9">
        <f>IF(D960="USD",G960*$N$1,G960)</f>
        <v/>
      </c>
      <c r="K960" s="9">
        <f>H960+I960</f>
        <v/>
      </c>
    </row>
    <row r="961">
      <c r="A961" s="8" t="n">
        <v>46129</v>
      </c>
      <c r="B961" t="inlineStr">
        <is>
          <t>2026-W16</t>
        </is>
      </c>
      <c r="C961" t="inlineStr">
        <is>
          <t>Shift4</t>
        </is>
      </c>
      <c r="D961" t="inlineStr">
        <is>
          <t>EUR</t>
        </is>
      </c>
      <c r="E961" s="9" t="n">
        <v>0</v>
      </c>
      <c r="F961" s="9" t="n">
        <v>0</v>
      </c>
      <c r="G961" s="9" t="n">
        <v>-733476.22</v>
      </c>
      <c r="H961" s="9">
        <f>IF(D961="USD",E961*$N$1,E961)</f>
        <v/>
      </c>
      <c r="I961" s="9">
        <f>IF(D961="USD",F961*$N$1,F961)</f>
        <v/>
      </c>
      <c r="J961" s="9">
        <f>IF(D961="USD",G961*$N$1,G961)</f>
        <v/>
      </c>
      <c r="K961" s="9">
        <f>H961+I961</f>
        <v/>
      </c>
    </row>
    <row r="962">
      <c r="A962" s="8" t="n">
        <v>46129</v>
      </c>
      <c r="B962" t="inlineStr">
        <is>
          <t>2026-W16</t>
        </is>
      </c>
      <c r="C962" t="inlineStr">
        <is>
          <t>Shift4</t>
        </is>
      </c>
      <c r="D962" t="inlineStr">
        <is>
          <t>EUR</t>
        </is>
      </c>
      <c r="E962" s="9" t="n">
        <v>497315.09</v>
      </c>
      <c r="F962" s="9" t="n">
        <v>-5437.09</v>
      </c>
      <c r="G962" s="9" t="n">
        <v>0</v>
      </c>
      <c r="H962" s="9">
        <f>IF(D962="USD",E962*$N$1,E962)</f>
        <v/>
      </c>
      <c r="I962" s="9">
        <f>IF(D962="USD",F962*$N$1,F962)</f>
        <v/>
      </c>
      <c r="J962" s="9">
        <f>IF(D962="USD",G962*$N$1,G962)</f>
        <v/>
      </c>
      <c r="K962" s="9">
        <f>H962+I962</f>
        <v/>
      </c>
    </row>
    <row r="963">
      <c r="A963" s="8" t="n">
        <v>46130</v>
      </c>
      <c r="B963" t="inlineStr">
        <is>
          <t>2026-W16</t>
        </is>
      </c>
      <c r="C963" t="inlineStr">
        <is>
          <t>Adyen</t>
        </is>
      </c>
      <c r="D963" t="inlineStr">
        <is>
          <t>EUR</t>
        </is>
      </c>
      <c r="E963" s="9" t="n">
        <v>371588.02</v>
      </c>
      <c r="F963" s="9" t="n">
        <v>0</v>
      </c>
      <c r="G963" s="9" t="n">
        <v>0</v>
      </c>
      <c r="H963" s="9">
        <f>IF(D963="USD",E963*$N$1,E963)</f>
        <v/>
      </c>
      <c r="I963" s="9">
        <f>IF(D963="USD",F963*$N$1,F963)</f>
        <v/>
      </c>
      <c r="J963" s="9">
        <f>IF(D963="USD",G963*$N$1,G963)</f>
        <v/>
      </c>
      <c r="K963" s="9">
        <f>H963+I963</f>
        <v/>
      </c>
    </row>
    <row r="964">
      <c r="A964" s="8" t="n">
        <v>46130</v>
      </c>
      <c r="B964" t="inlineStr">
        <is>
          <t>2026-W16</t>
        </is>
      </c>
      <c r="C964" t="inlineStr">
        <is>
          <t>Adyen</t>
        </is>
      </c>
      <c r="D964" t="inlineStr">
        <is>
          <t>EUR</t>
        </is>
      </c>
      <c r="E964" s="9" t="n">
        <v>83990.24000000001</v>
      </c>
      <c r="F964" s="9" t="n">
        <v>0</v>
      </c>
      <c r="G964" s="9" t="n">
        <v>0</v>
      </c>
      <c r="H964" s="9">
        <f>IF(D964="USD",E964*$N$1,E964)</f>
        <v/>
      </c>
      <c r="I964" s="9">
        <f>IF(D964="USD",F964*$N$1,F964)</f>
        <v/>
      </c>
      <c r="J964" s="9">
        <f>IF(D964="USD",G964*$N$1,G964)</f>
        <v/>
      </c>
      <c r="K964" s="9">
        <f>H964+I964</f>
        <v/>
      </c>
    </row>
    <row r="965">
      <c r="A965" s="8" t="n">
        <v>46130</v>
      </c>
      <c r="B965" t="inlineStr">
        <is>
          <t>2026-W16</t>
        </is>
      </c>
      <c r="C965" t="inlineStr">
        <is>
          <t>Nuvei</t>
        </is>
      </c>
      <c r="D965" t="inlineStr">
        <is>
          <t>EUR</t>
        </is>
      </c>
      <c r="E965" s="9" t="n">
        <v>310019.23</v>
      </c>
      <c r="F965" s="9" t="n">
        <v>-6188.76</v>
      </c>
      <c r="G965" s="9" t="n">
        <v>0</v>
      </c>
      <c r="H965" s="9">
        <f>IF(D965="USD",E965*$N$1,E965)</f>
        <v/>
      </c>
      <c r="I965" s="9">
        <f>IF(D965="USD",F965*$N$1,F965)</f>
        <v/>
      </c>
      <c r="J965" s="9">
        <f>IF(D965="USD",G965*$N$1,G965)</f>
        <v/>
      </c>
      <c r="K965" s="9">
        <f>H965+I965</f>
        <v/>
      </c>
    </row>
    <row r="966">
      <c r="A966" s="8" t="n">
        <v>46130</v>
      </c>
      <c r="B966" t="inlineStr">
        <is>
          <t>2026-W16</t>
        </is>
      </c>
      <c r="C966" t="inlineStr">
        <is>
          <t>Nuvei</t>
        </is>
      </c>
      <c r="D966" t="inlineStr">
        <is>
          <t>EUR</t>
        </is>
      </c>
      <c r="E966" s="9" t="n">
        <v>150516.45</v>
      </c>
      <c r="F966" s="9" t="n">
        <v>-4311.51</v>
      </c>
      <c r="G966" s="9" t="n">
        <v>0</v>
      </c>
      <c r="H966" s="9">
        <f>IF(D966="USD",E966*$N$1,E966)</f>
        <v/>
      </c>
      <c r="I966" s="9">
        <f>IF(D966="USD",F966*$N$1,F966)</f>
        <v/>
      </c>
      <c r="J966" s="9">
        <f>IF(D966="USD",G966*$N$1,G966)</f>
        <v/>
      </c>
      <c r="K966" s="9">
        <f>H966+I966</f>
        <v/>
      </c>
    </row>
    <row r="967">
      <c r="A967" s="8" t="n">
        <v>46130</v>
      </c>
      <c r="B967" t="inlineStr">
        <is>
          <t>2026-W16</t>
        </is>
      </c>
      <c r="C967" t="inlineStr">
        <is>
          <t>Shift4</t>
        </is>
      </c>
      <c r="D967" t="inlineStr">
        <is>
          <t>EUR</t>
        </is>
      </c>
      <c r="E967" s="9" t="n">
        <v>418632.35</v>
      </c>
      <c r="F967" s="9" t="n">
        <v>-4140.83</v>
      </c>
      <c r="G967" s="9" t="n">
        <v>0</v>
      </c>
      <c r="H967" s="9">
        <f>IF(D967="USD",E967*$N$1,E967)</f>
        <v/>
      </c>
      <c r="I967" s="9">
        <f>IF(D967="USD",F967*$N$1,F967)</f>
        <v/>
      </c>
      <c r="J967" s="9">
        <f>IF(D967="USD",G967*$N$1,G967)</f>
        <v/>
      </c>
      <c r="K967" s="9">
        <f>H967+I967</f>
        <v/>
      </c>
    </row>
    <row r="968">
      <c r="A968" s="8" t="n">
        <v>46131</v>
      </c>
      <c r="B968" t="inlineStr">
        <is>
          <t>2026-W16</t>
        </is>
      </c>
      <c r="C968" t="inlineStr">
        <is>
          <t>Adyen</t>
        </is>
      </c>
      <c r="D968" t="inlineStr">
        <is>
          <t>EUR</t>
        </is>
      </c>
      <c r="E968" s="9" t="n">
        <v>379164.49</v>
      </c>
      <c r="F968" s="9" t="n">
        <v>0</v>
      </c>
      <c r="G968" s="9" t="n">
        <v>0</v>
      </c>
      <c r="H968" s="9">
        <f>IF(D968="USD",E968*$N$1,E968)</f>
        <v/>
      </c>
      <c r="I968" s="9">
        <f>IF(D968="USD",F968*$N$1,F968)</f>
        <v/>
      </c>
      <c r="J968" s="9">
        <f>IF(D968="USD",G968*$N$1,G968)</f>
        <v/>
      </c>
      <c r="K968" s="9">
        <f>H968+I968</f>
        <v/>
      </c>
    </row>
    <row r="969">
      <c r="A969" s="8" t="n">
        <v>46131</v>
      </c>
      <c r="B969" t="inlineStr">
        <is>
          <t>2026-W16</t>
        </is>
      </c>
      <c r="C969" t="inlineStr">
        <is>
          <t>Adyen</t>
        </is>
      </c>
      <c r="D969" t="inlineStr">
        <is>
          <t>EUR</t>
        </is>
      </c>
      <c r="E969" s="9" t="n">
        <v>60679.04</v>
      </c>
      <c r="F969" s="9" t="n">
        <v>0</v>
      </c>
      <c r="G969" s="9" t="n">
        <v>0</v>
      </c>
      <c r="H969" s="9">
        <f>IF(D969="USD",E969*$N$1,E969)</f>
        <v/>
      </c>
      <c r="I969" s="9">
        <f>IF(D969="USD",F969*$N$1,F969)</f>
        <v/>
      </c>
      <c r="J969" s="9">
        <f>IF(D969="USD",G969*$N$1,G969)</f>
        <v/>
      </c>
      <c r="K969" s="9">
        <f>H969+I969</f>
        <v/>
      </c>
    </row>
    <row r="970">
      <c r="A970" s="8" t="n">
        <v>46131</v>
      </c>
      <c r="B970" t="inlineStr">
        <is>
          <t>2026-W16</t>
        </is>
      </c>
      <c r="C970" t="inlineStr">
        <is>
          <t>Nuvei</t>
        </is>
      </c>
      <c r="D970" t="inlineStr">
        <is>
          <t>EUR</t>
        </is>
      </c>
      <c r="E970" s="9" t="n">
        <v>350769.43</v>
      </c>
      <c r="F970" s="9" t="n">
        <v>-6773.51</v>
      </c>
      <c r="G970" s="9" t="n">
        <v>0</v>
      </c>
      <c r="H970" s="9">
        <f>IF(D970="USD",E970*$N$1,E970)</f>
        <v/>
      </c>
      <c r="I970" s="9">
        <f>IF(D970="USD",F970*$N$1,F970)</f>
        <v/>
      </c>
      <c r="J970" s="9">
        <f>IF(D970="USD",G970*$N$1,G970)</f>
        <v/>
      </c>
      <c r="K970" s="9">
        <f>H970+I970</f>
        <v/>
      </c>
    </row>
    <row r="971">
      <c r="A971" s="8" t="n">
        <v>46131</v>
      </c>
      <c r="B971" t="inlineStr">
        <is>
          <t>2026-W16</t>
        </is>
      </c>
      <c r="C971" t="inlineStr">
        <is>
          <t>Nuvei</t>
        </is>
      </c>
      <c r="D971" t="inlineStr">
        <is>
          <t>EUR</t>
        </is>
      </c>
      <c r="E971" s="9" t="n">
        <v>121030.67</v>
      </c>
      <c r="F971" s="9" t="n">
        <v>-3423.74</v>
      </c>
      <c r="G971" s="9" t="n">
        <v>0</v>
      </c>
      <c r="H971" s="9">
        <f>IF(D971="USD",E971*$N$1,E971)</f>
        <v/>
      </c>
      <c r="I971" s="9">
        <f>IF(D971="USD",F971*$N$1,F971)</f>
        <v/>
      </c>
      <c r="J971" s="9">
        <f>IF(D971="USD",G971*$N$1,G971)</f>
        <v/>
      </c>
      <c r="K971" s="9">
        <f>H971+I971</f>
        <v/>
      </c>
    </row>
    <row r="972">
      <c r="A972" s="8" t="n">
        <v>46131</v>
      </c>
      <c r="B972" t="inlineStr">
        <is>
          <t>2026-W16</t>
        </is>
      </c>
      <c r="C972" t="inlineStr">
        <is>
          <t>Shift4</t>
        </is>
      </c>
      <c r="D972" t="inlineStr">
        <is>
          <t>EUR</t>
        </is>
      </c>
      <c r="E972" s="9" t="n">
        <v>580326.77</v>
      </c>
      <c r="F972" s="9" t="n">
        <v>-5770.9</v>
      </c>
      <c r="G972" s="9" t="n">
        <v>0</v>
      </c>
      <c r="H972" s="9">
        <f>IF(D972="USD",E972*$N$1,E972)</f>
        <v/>
      </c>
      <c r="I972" s="9">
        <f>IF(D972="USD",F972*$N$1,F972)</f>
        <v/>
      </c>
      <c r="J972" s="9">
        <f>IF(D972="USD",G972*$N$1,G972)</f>
        <v/>
      </c>
      <c r="K972" s="9">
        <f>H972+I972</f>
        <v/>
      </c>
    </row>
    <row r="973">
      <c r="A973" s="8" t="n">
        <v>46132</v>
      </c>
      <c r="B973" t="inlineStr">
        <is>
          <t>2026-W17</t>
        </is>
      </c>
      <c r="C973" t="inlineStr">
        <is>
          <t>Adyen</t>
        </is>
      </c>
      <c r="D973" t="inlineStr">
        <is>
          <t>EUR</t>
        </is>
      </c>
      <c r="E973" s="9" t="n">
        <v>0</v>
      </c>
      <c r="F973" s="9" t="n">
        <v>0</v>
      </c>
      <c r="G973" s="9" t="n">
        <v>-504186.66</v>
      </c>
      <c r="H973" s="9">
        <f>IF(D973="USD",E973*$N$1,E973)</f>
        <v/>
      </c>
      <c r="I973" s="9">
        <f>IF(D973="USD",F973*$N$1,F973)</f>
        <v/>
      </c>
      <c r="J973" s="9">
        <f>IF(D973="USD",G973*$N$1,G973)</f>
        <v/>
      </c>
      <c r="K973" s="9">
        <f>H973+I973</f>
        <v/>
      </c>
    </row>
    <row r="974">
      <c r="A974" s="8" t="n">
        <v>46132</v>
      </c>
      <c r="B974" t="inlineStr">
        <is>
          <t>2026-W17</t>
        </is>
      </c>
      <c r="C974" t="inlineStr">
        <is>
          <t>Adyen</t>
        </is>
      </c>
      <c r="D974" t="inlineStr">
        <is>
          <t>EUR</t>
        </is>
      </c>
      <c r="E974" s="9" t="n">
        <v>703391.4399999999</v>
      </c>
      <c r="F974" s="9" t="n">
        <v>-7975.859999999986</v>
      </c>
      <c r="G974" s="9" t="n">
        <v>0</v>
      </c>
      <c r="H974" s="9">
        <f>IF(D974="USD",E974*$N$1,E974)</f>
        <v/>
      </c>
      <c r="I974" s="9">
        <f>IF(D974="USD",F974*$N$1,F974)</f>
        <v/>
      </c>
      <c r="J974" s="9">
        <f>IF(D974="USD",G974*$N$1,G974)</f>
        <v/>
      </c>
      <c r="K974" s="9">
        <f>H974+I974</f>
        <v/>
      </c>
    </row>
    <row r="975">
      <c r="A975" s="8" t="n">
        <v>46132</v>
      </c>
      <c r="B975" t="inlineStr">
        <is>
          <t>2026-W17</t>
        </is>
      </c>
      <c r="C975" t="inlineStr">
        <is>
          <t>Adyen</t>
        </is>
      </c>
      <c r="D975" t="inlineStr">
        <is>
          <t>EUR</t>
        </is>
      </c>
      <c r="E975" s="9" t="n">
        <v>105305.77</v>
      </c>
      <c r="F975" s="9" t="n">
        <v>0</v>
      </c>
      <c r="G975" s="9" t="n">
        <v>0</v>
      </c>
      <c r="H975" s="9">
        <f>IF(D975="USD",E975*$N$1,E975)</f>
        <v/>
      </c>
      <c r="I975" s="9">
        <f>IF(D975="USD",F975*$N$1,F975)</f>
        <v/>
      </c>
      <c r="J975" s="9">
        <f>IF(D975="USD",G975*$N$1,G975)</f>
        <v/>
      </c>
      <c r="K975" s="9">
        <f>H975+I975</f>
        <v/>
      </c>
    </row>
    <row r="976">
      <c r="A976" s="8" t="n">
        <v>46132</v>
      </c>
      <c r="B976" t="inlineStr">
        <is>
          <t>2026-W17</t>
        </is>
      </c>
      <c r="C976" t="inlineStr">
        <is>
          <t>Nuvei</t>
        </is>
      </c>
      <c r="D976" t="inlineStr">
        <is>
          <t>EUR</t>
        </is>
      </c>
      <c r="E976" s="9" t="n">
        <v>0</v>
      </c>
      <c r="F976" s="9" t="n">
        <v>0</v>
      </c>
      <c r="G976" s="9" t="n">
        <v>-461854.28</v>
      </c>
      <c r="H976" s="9">
        <f>IF(D976="USD",E976*$N$1,E976)</f>
        <v/>
      </c>
      <c r="I976" s="9">
        <f>IF(D976="USD",F976*$N$1,F976)</f>
        <v/>
      </c>
      <c r="J976" s="9">
        <f>IF(D976="USD",G976*$N$1,G976)</f>
        <v/>
      </c>
      <c r="K976" s="9">
        <f>H976+I976</f>
        <v/>
      </c>
    </row>
    <row r="977">
      <c r="A977" s="8" t="n">
        <v>46132</v>
      </c>
      <c r="B977" t="inlineStr">
        <is>
          <t>2026-W17</t>
        </is>
      </c>
      <c r="C977" t="inlineStr">
        <is>
          <t>Nuvei</t>
        </is>
      </c>
      <c r="D977" t="inlineStr">
        <is>
          <t>EUR</t>
        </is>
      </c>
      <c r="E977" s="9" t="n">
        <v>0</v>
      </c>
      <c r="F977" s="9" t="n">
        <v>0</v>
      </c>
      <c r="G977" s="9" t="n">
        <v>-200578.93</v>
      </c>
      <c r="H977" s="9">
        <f>IF(D977="USD",E977*$N$1,E977)</f>
        <v/>
      </c>
      <c r="I977" s="9">
        <f>IF(D977="USD",F977*$N$1,F977)</f>
        <v/>
      </c>
      <c r="J977" s="9">
        <f>IF(D977="USD",G977*$N$1,G977)</f>
        <v/>
      </c>
      <c r="K977" s="9">
        <f>H977+I977</f>
        <v/>
      </c>
    </row>
    <row r="978">
      <c r="A978" s="8" t="n">
        <v>46132</v>
      </c>
      <c r="B978" t="inlineStr">
        <is>
          <t>2026-W17</t>
        </is>
      </c>
      <c r="C978" t="inlineStr">
        <is>
          <t>Nuvei</t>
        </is>
      </c>
      <c r="D978" t="inlineStr">
        <is>
          <t>EUR</t>
        </is>
      </c>
      <c r="E978" s="9" t="n">
        <v>448301.98</v>
      </c>
      <c r="F978" s="9" t="n">
        <v>-9140.65</v>
      </c>
      <c r="G978" s="9" t="n">
        <v>0</v>
      </c>
      <c r="H978" s="9">
        <f>IF(D978="USD",E978*$N$1,E978)</f>
        <v/>
      </c>
      <c r="I978" s="9">
        <f>IF(D978="USD",F978*$N$1,F978)</f>
        <v/>
      </c>
      <c r="J978" s="9">
        <f>IF(D978="USD",G978*$N$1,G978)</f>
        <v/>
      </c>
      <c r="K978" s="9">
        <f>H978+I978</f>
        <v/>
      </c>
    </row>
    <row r="979">
      <c r="A979" s="8" t="n">
        <v>46132</v>
      </c>
      <c r="B979" t="inlineStr">
        <is>
          <t>2026-W17</t>
        </is>
      </c>
      <c r="C979" t="inlineStr">
        <is>
          <t>Nuvei</t>
        </is>
      </c>
      <c r="D979" t="inlineStr">
        <is>
          <t>EUR</t>
        </is>
      </c>
      <c r="E979" s="9" t="n">
        <v>184148.56</v>
      </c>
      <c r="F979" s="9" t="n">
        <v>-5140.86</v>
      </c>
      <c r="G979" s="9" t="n">
        <v>0</v>
      </c>
      <c r="H979" s="9">
        <f>IF(D979="USD",E979*$N$1,E979)</f>
        <v/>
      </c>
      <c r="I979" s="9">
        <f>IF(D979="USD",F979*$N$1,F979)</f>
        <v/>
      </c>
      <c r="J979" s="9">
        <f>IF(D979="USD",G979*$N$1,G979)</f>
        <v/>
      </c>
      <c r="K979" s="9">
        <f>H979+I979</f>
        <v/>
      </c>
    </row>
    <row r="980">
      <c r="A980" s="8" t="n">
        <v>46132</v>
      </c>
      <c r="B980" t="inlineStr">
        <is>
          <t>2026-W17</t>
        </is>
      </c>
      <c r="C980" t="inlineStr">
        <is>
          <t>Shift4</t>
        </is>
      </c>
      <c r="D980" t="inlineStr">
        <is>
          <t>EUR</t>
        </is>
      </c>
      <c r="E980" s="9" t="n">
        <v>0</v>
      </c>
      <c r="F980" s="9" t="n">
        <v>0</v>
      </c>
      <c r="G980" s="9" t="n">
        <v>-681006.49</v>
      </c>
      <c r="H980" s="9">
        <f>IF(D980="USD",E980*$N$1,E980)</f>
        <v/>
      </c>
      <c r="I980" s="9">
        <f>IF(D980="USD",F980*$N$1,F980)</f>
        <v/>
      </c>
      <c r="J980" s="9">
        <f>IF(D980="USD",G980*$N$1,G980)</f>
        <v/>
      </c>
      <c r="K980" s="9">
        <f>H980+I980</f>
        <v/>
      </c>
    </row>
    <row r="981">
      <c r="A981" s="8" t="n">
        <v>46132</v>
      </c>
      <c r="B981" t="inlineStr">
        <is>
          <t>2026-W17</t>
        </is>
      </c>
      <c r="C981" t="inlineStr">
        <is>
          <t>Shift4</t>
        </is>
      </c>
      <c r="D981" t="inlineStr">
        <is>
          <t>EUR</t>
        </is>
      </c>
      <c r="E981" s="9" t="n">
        <v>591116.75</v>
      </c>
      <c r="F981" s="9" t="n">
        <v>-6500.54</v>
      </c>
      <c r="G981" s="9" t="n">
        <v>0</v>
      </c>
      <c r="H981" s="9">
        <f>IF(D981="USD",E981*$N$1,E981)</f>
        <v/>
      </c>
      <c r="I981" s="9">
        <f>IF(D981="USD",F981*$N$1,F981)</f>
        <v/>
      </c>
      <c r="J981" s="9">
        <f>IF(D981="USD",G981*$N$1,G981)</f>
        <v/>
      </c>
      <c r="K981" s="9">
        <f>H981+I981</f>
        <v/>
      </c>
    </row>
    <row r="982">
      <c r="A982" s="8" t="n">
        <v>46133</v>
      </c>
      <c r="B982" t="inlineStr">
        <is>
          <t>2026-W17</t>
        </is>
      </c>
      <c r="C982" t="inlineStr">
        <is>
          <t>Adyen</t>
        </is>
      </c>
      <c r="D982" t="inlineStr">
        <is>
          <t>EUR</t>
        </is>
      </c>
      <c r="E982" s="9" t="n">
        <v>0</v>
      </c>
      <c r="F982" s="9" t="n">
        <v>0</v>
      </c>
      <c r="G982" s="9" t="n">
        <v>-1654838.89</v>
      </c>
      <c r="H982" s="9">
        <f>IF(D982="USD",E982*$N$1,E982)</f>
        <v/>
      </c>
      <c r="I982" s="9">
        <f>IF(D982="USD",F982*$N$1,F982)</f>
        <v/>
      </c>
      <c r="J982" s="9">
        <f>IF(D982="USD",G982*$N$1,G982)</f>
        <v/>
      </c>
      <c r="K982" s="9">
        <f>H982+I982</f>
        <v/>
      </c>
    </row>
    <row r="983">
      <c r="A983" s="8" t="n">
        <v>46133</v>
      </c>
      <c r="B983" t="inlineStr">
        <is>
          <t>2026-W17</t>
        </is>
      </c>
      <c r="C983" t="inlineStr">
        <is>
          <t>Adyen</t>
        </is>
      </c>
      <c r="D983" t="inlineStr">
        <is>
          <t>EUR</t>
        </is>
      </c>
      <c r="E983" s="9" t="n">
        <v>652500.74</v>
      </c>
      <c r="F983" s="9" t="n">
        <v>-37082.39000000001</v>
      </c>
      <c r="G983" s="9" t="n">
        <v>0</v>
      </c>
      <c r="H983" s="9">
        <f>IF(D983="USD",E983*$N$1,E983)</f>
        <v/>
      </c>
      <c r="I983" s="9">
        <f>IF(D983="USD",F983*$N$1,F983)</f>
        <v/>
      </c>
      <c r="J983" s="9">
        <f>IF(D983="USD",G983*$N$1,G983)</f>
        <v/>
      </c>
      <c r="K983" s="9">
        <f>H983+I983</f>
        <v/>
      </c>
    </row>
    <row r="984">
      <c r="A984" s="8" t="n">
        <v>46133</v>
      </c>
      <c r="B984" t="inlineStr">
        <is>
          <t>2026-W17</t>
        </is>
      </c>
      <c r="C984" t="inlineStr">
        <is>
          <t>Adyen</t>
        </is>
      </c>
      <c r="D984" t="inlineStr">
        <is>
          <t>EUR</t>
        </is>
      </c>
      <c r="E984" s="9" t="n">
        <v>105130.66</v>
      </c>
      <c r="F984" s="9" t="n">
        <v>0</v>
      </c>
      <c r="G984" s="9" t="n">
        <v>0</v>
      </c>
      <c r="H984" s="9">
        <f>IF(D984="USD",E984*$N$1,E984)</f>
        <v/>
      </c>
      <c r="I984" s="9">
        <f>IF(D984="USD",F984*$N$1,F984)</f>
        <v/>
      </c>
      <c r="J984" s="9">
        <f>IF(D984="USD",G984*$N$1,G984)</f>
        <v/>
      </c>
      <c r="K984" s="9">
        <f>H984+I984</f>
        <v/>
      </c>
    </row>
    <row r="985">
      <c r="A985" s="8" t="n">
        <v>46133</v>
      </c>
      <c r="B985" t="inlineStr">
        <is>
          <t>2026-W17</t>
        </is>
      </c>
      <c r="C985" t="inlineStr">
        <is>
          <t>Nuvei</t>
        </is>
      </c>
      <c r="D985" t="inlineStr">
        <is>
          <t>EUR</t>
        </is>
      </c>
      <c r="E985" s="9" t="n">
        <v>0</v>
      </c>
      <c r="F985" s="9" t="n">
        <v>0</v>
      </c>
      <c r="G985" s="9" t="n">
        <v>-404090.67</v>
      </c>
      <c r="H985" s="9">
        <f>IF(D985="USD",E985*$N$1,E985)</f>
        <v/>
      </c>
      <c r="I985" s="9">
        <f>IF(D985="USD",F985*$N$1,F985)</f>
        <v/>
      </c>
      <c r="J985" s="9">
        <f>IF(D985="USD",G985*$N$1,G985)</f>
        <v/>
      </c>
      <c r="K985" s="9">
        <f>H985+I985</f>
        <v/>
      </c>
    </row>
    <row r="986">
      <c r="A986" s="8" t="n">
        <v>46133</v>
      </c>
      <c r="B986" t="inlineStr">
        <is>
          <t>2026-W17</t>
        </is>
      </c>
      <c r="C986" t="inlineStr">
        <is>
          <t>Nuvei</t>
        </is>
      </c>
      <c r="D986" t="inlineStr">
        <is>
          <t>EUR</t>
        </is>
      </c>
      <c r="E986" s="9" t="n">
        <v>0</v>
      </c>
      <c r="F986" s="9" t="n">
        <v>0</v>
      </c>
      <c r="G986" s="9" t="n">
        <v>-151916.34</v>
      </c>
      <c r="H986" s="9">
        <f>IF(D986="USD",E986*$N$1,E986)</f>
        <v/>
      </c>
      <c r="I986" s="9">
        <f>IF(D986="USD",F986*$N$1,F986)</f>
        <v/>
      </c>
      <c r="J986" s="9">
        <f>IF(D986="USD",G986*$N$1,G986)</f>
        <v/>
      </c>
      <c r="K986" s="9">
        <f>H986+I986</f>
        <v/>
      </c>
    </row>
    <row r="987">
      <c r="A987" s="8" t="n">
        <v>46133</v>
      </c>
      <c r="B987" t="inlineStr">
        <is>
          <t>2026-W17</t>
        </is>
      </c>
      <c r="C987" t="inlineStr">
        <is>
          <t>Nuvei</t>
        </is>
      </c>
      <c r="D987" t="inlineStr">
        <is>
          <t>EUR</t>
        </is>
      </c>
      <c r="E987" s="9" t="n">
        <v>407356.04</v>
      </c>
      <c r="F987" s="9" t="n">
        <v>-9527.52</v>
      </c>
      <c r="G987" s="9" t="n">
        <v>0</v>
      </c>
      <c r="H987" s="9">
        <f>IF(D987="USD",E987*$N$1,E987)</f>
        <v/>
      </c>
      <c r="I987" s="9">
        <f>IF(D987="USD",F987*$N$1,F987)</f>
        <v/>
      </c>
      <c r="J987" s="9">
        <f>IF(D987="USD",G987*$N$1,G987)</f>
        <v/>
      </c>
      <c r="K987" s="9">
        <f>H987+I987</f>
        <v/>
      </c>
    </row>
    <row r="988">
      <c r="A988" s="8" t="n">
        <v>46133</v>
      </c>
      <c r="B988" t="inlineStr">
        <is>
          <t>2026-W17</t>
        </is>
      </c>
      <c r="C988" t="inlineStr">
        <is>
          <t>Nuvei</t>
        </is>
      </c>
      <c r="D988" t="inlineStr">
        <is>
          <t>EUR</t>
        </is>
      </c>
      <c r="E988" s="9" t="n">
        <v>165139.03</v>
      </c>
      <c r="F988" s="9" t="n">
        <v>-4605.25</v>
      </c>
      <c r="G988" s="9" t="n">
        <v>0</v>
      </c>
      <c r="H988" s="9">
        <f>IF(D988="USD",E988*$N$1,E988)</f>
        <v/>
      </c>
      <c r="I988" s="9">
        <f>IF(D988="USD",F988*$N$1,F988)</f>
        <v/>
      </c>
      <c r="J988" s="9">
        <f>IF(D988="USD",G988*$N$1,G988)</f>
        <v/>
      </c>
      <c r="K988" s="9">
        <f>H988+I988</f>
        <v/>
      </c>
    </row>
    <row r="989">
      <c r="A989" s="8" t="n">
        <v>46133</v>
      </c>
      <c r="B989" t="inlineStr">
        <is>
          <t>2026-W17</t>
        </is>
      </c>
      <c r="C989" t="inlineStr">
        <is>
          <t>Shift4</t>
        </is>
      </c>
      <c r="D989" t="inlineStr">
        <is>
          <t>EUR</t>
        </is>
      </c>
      <c r="E989" s="9" t="n">
        <v>0</v>
      </c>
      <c r="F989" s="9" t="n">
        <v>0</v>
      </c>
      <c r="G989" s="9" t="n">
        <v>-417446.85</v>
      </c>
      <c r="H989" s="9">
        <f>IF(D989="USD",E989*$N$1,E989)</f>
        <v/>
      </c>
      <c r="I989" s="9">
        <f>IF(D989="USD",F989*$N$1,F989)</f>
        <v/>
      </c>
      <c r="J989" s="9">
        <f>IF(D989="USD",G989*$N$1,G989)</f>
        <v/>
      </c>
      <c r="K989" s="9">
        <f>H989+I989</f>
        <v/>
      </c>
    </row>
    <row r="990">
      <c r="A990" s="8" t="n">
        <v>46133</v>
      </c>
      <c r="B990" t="inlineStr">
        <is>
          <t>2026-W17</t>
        </is>
      </c>
      <c r="C990" t="inlineStr">
        <is>
          <t>Shift4</t>
        </is>
      </c>
      <c r="D990" t="inlineStr">
        <is>
          <t>EUR</t>
        </is>
      </c>
      <c r="E990" s="9" t="n">
        <v>630570.01</v>
      </c>
      <c r="F990" s="9" t="n">
        <v>-6918.84</v>
      </c>
      <c r="G990" s="9" t="n">
        <v>0</v>
      </c>
      <c r="H990" s="9">
        <f>IF(D990="USD",E990*$N$1,E990)</f>
        <v/>
      </c>
      <c r="I990" s="9">
        <f>IF(D990="USD",F990*$N$1,F990)</f>
        <v/>
      </c>
      <c r="J990" s="9">
        <f>IF(D990="USD",G990*$N$1,G990)</f>
        <v/>
      </c>
      <c r="K990" s="9">
        <f>H990+I990</f>
        <v/>
      </c>
    </row>
    <row r="991">
      <c r="A991" s="8" t="n">
        <v>46134</v>
      </c>
      <c r="B991" t="inlineStr">
        <is>
          <t>2026-W17</t>
        </is>
      </c>
      <c r="C991" t="inlineStr">
        <is>
          <t>Adyen</t>
        </is>
      </c>
      <c r="D991" t="inlineStr">
        <is>
          <t>EUR</t>
        </is>
      </c>
      <c r="E991" s="9" t="n">
        <v>0</v>
      </c>
      <c r="F991" s="9" t="n">
        <v>0</v>
      </c>
      <c r="G991" s="9" t="n">
        <v>-800721.35</v>
      </c>
      <c r="H991" s="9">
        <f>IF(D991="USD",E991*$N$1,E991)</f>
        <v/>
      </c>
      <c r="I991" s="9">
        <f>IF(D991="USD",F991*$N$1,F991)</f>
        <v/>
      </c>
      <c r="J991" s="9">
        <f>IF(D991="USD",G991*$N$1,G991)</f>
        <v/>
      </c>
      <c r="K991" s="9">
        <f>H991+I991</f>
        <v/>
      </c>
    </row>
    <row r="992">
      <c r="A992" s="8" t="n">
        <v>46134</v>
      </c>
      <c r="B992" t="inlineStr">
        <is>
          <t>2026-W17</t>
        </is>
      </c>
      <c r="C992" t="inlineStr">
        <is>
          <t>Adyen</t>
        </is>
      </c>
      <c r="D992" t="inlineStr">
        <is>
          <t>EUR</t>
        </is>
      </c>
      <c r="E992" s="9" t="n">
        <v>644445.47</v>
      </c>
      <c r="F992" s="9" t="n">
        <v>-9485.670000000042</v>
      </c>
      <c r="G992" s="9" t="n">
        <v>0</v>
      </c>
      <c r="H992" s="9">
        <f>IF(D992="USD",E992*$N$1,E992)</f>
        <v/>
      </c>
      <c r="I992" s="9">
        <f>IF(D992="USD",F992*$N$1,F992)</f>
        <v/>
      </c>
      <c r="J992" s="9">
        <f>IF(D992="USD",G992*$N$1,G992)</f>
        <v/>
      </c>
      <c r="K992" s="9">
        <f>H992+I992</f>
        <v/>
      </c>
    </row>
    <row r="993">
      <c r="A993" s="8" t="n">
        <v>46134</v>
      </c>
      <c r="B993" t="inlineStr">
        <is>
          <t>2026-W17</t>
        </is>
      </c>
      <c r="C993" t="inlineStr">
        <is>
          <t>Adyen</t>
        </is>
      </c>
      <c r="D993" t="inlineStr">
        <is>
          <t>EUR</t>
        </is>
      </c>
      <c r="E993" s="9" t="n">
        <v>97555.22</v>
      </c>
      <c r="F993" s="9" t="n">
        <v>0</v>
      </c>
      <c r="G993" s="9" t="n">
        <v>0</v>
      </c>
      <c r="H993" s="9">
        <f>IF(D993="USD",E993*$N$1,E993)</f>
        <v/>
      </c>
      <c r="I993" s="9">
        <f>IF(D993="USD",F993*$N$1,F993)</f>
        <v/>
      </c>
      <c r="J993" s="9">
        <f>IF(D993="USD",G993*$N$1,G993)</f>
        <v/>
      </c>
      <c r="K993" s="9">
        <f>H993+I993</f>
        <v/>
      </c>
    </row>
    <row r="994">
      <c r="A994" s="8" t="n">
        <v>46134</v>
      </c>
      <c r="B994" t="inlineStr">
        <is>
          <t>2026-W17</t>
        </is>
      </c>
      <c r="C994" t="inlineStr">
        <is>
          <t>Nuvei</t>
        </is>
      </c>
      <c r="D994" t="inlineStr">
        <is>
          <t>EUR</t>
        </is>
      </c>
      <c r="E994" s="9" t="n">
        <v>0</v>
      </c>
      <c r="F994" s="9" t="n">
        <v>0</v>
      </c>
      <c r="G994" s="9" t="n">
        <v>-333896.13</v>
      </c>
      <c r="H994" s="9">
        <f>IF(D994="USD",E994*$N$1,E994)</f>
        <v/>
      </c>
      <c r="I994" s="9">
        <f>IF(D994="USD",F994*$N$1,F994)</f>
        <v/>
      </c>
      <c r="J994" s="9">
        <f>IF(D994="USD",G994*$N$1,G994)</f>
        <v/>
      </c>
      <c r="K994" s="9">
        <f>H994+I994</f>
        <v/>
      </c>
    </row>
    <row r="995">
      <c r="A995" s="8" t="n">
        <v>46134</v>
      </c>
      <c r="B995" t="inlineStr">
        <is>
          <t>2026-W17</t>
        </is>
      </c>
      <c r="C995" t="inlineStr">
        <is>
          <t>Nuvei</t>
        </is>
      </c>
      <c r="D995" t="inlineStr">
        <is>
          <t>EUR</t>
        </is>
      </c>
      <c r="E995" s="9" t="n">
        <v>0</v>
      </c>
      <c r="F995" s="9" t="n">
        <v>0</v>
      </c>
      <c r="G995" s="9" t="n">
        <v>-143100.33</v>
      </c>
      <c r="H995" s="9">
        <f>IF(D995="USD",E995*$N$1,E995)</f>
        <v/>
      </c>
      <c r="I995" s="9">
        <f>IF(D995="USD",F995*$N$1,F995)</f>
        <v/>
      </c>
      <c r="J995" s="9">
        <f>IF(D995="USD",G995*$N$1,G995)</f>
        <v/>
      </c>
      <c r="K995" s="9">
        <f>H995+I995</f>
        <v/>
      </c>
    </row>
    <row r="996">
      <c r="A996" s="8" t="n">
        <v>46134</v>
      </c>
      <c r="B996" t="inlineStr">
        <is>
          <t>2026-W17</t>
        </is>
      </c>
      <c r="C996" t="inlineStr">
        <is>
          <t>Nuvei</t>
        </is>
      </c>
      <c r="D996" t="inlineStr">
        <is>
          <t>EUR</t>
        </is>
      </c>
      <c r="E996" s="9" t="n">
        <v>317875.9</v>
      </c>
      <c r="F996" s="9" t="n">
        <v>-9803.66</v>
      </c>
      <c r="G996" s="9" t="n">
        <v>0</v>
      </c>
      <c r="H996" s="9">
        <f>IF(D996="USD",E996*$N$1,E996)</f>
        <v/>
      </c>
      <c r="I996" s="9">
        <f>IF(D996="USD",F996*$N$1,F996)</f>
        <v/>
      </c>
      <c r="J996" s="9">
        <f>IF(D996="USD",G996*$N$1,G996)</f>
        <v/>
      </c>
      <c r="K996" s="9">
        <f>H996+I996</f>
        <v/>
      </c>
    </row>
    <row r="997">
      <c r="A997" s="8" t="n">
        <v>46134</v>
      </c>
      <c r="B997" t="inlineStr">
        <is>
          <t>2026-W17</t>
        </is>
      </c>
      <c r="C997" t="inlineStr">
        <is>
          <t>Nuvei</t>
        </is>
      </c>
      <c r="D997" t="inlineStr">
        <is>
          <t>EUR</t>
        </is>
      </c>
      <c r="E997" s="9" t="n">
        <v>172409.43</v>
      </c>
      <c r="F997" s="9" t="n">
        <v>-5167.83</v>
      </c>
      <c r="G997" s="9" t="n">
        <v>0</v>
      </c>
      <c r="H997" s="9">
        <f>IF(D997="USD",E997*$N$1,E997)</f>
        <v/>
      </c>
      <c r="I997" s="9">
        <f>IF(D997="USD",F997*$N$1,F997)</f>
        <v/>
      </c>
      <c r="J997" s="9">
        <f>IF(D997="USD",G997*$N$1,G997)</f>
        <v/>
      </c>
      <c r="K997" s="9">
        <f>H997+I997</f>
        <v/>
      </c>
    </row>
    <row r="998">
      <c r="A998" s="8" t="n">
        <v>46134</v>
      </c>
      <c r="B998" t="inlineStr">
        <is>
          <t>2026-W17</t>
        </is>
      </c>
      <c r="C998" t="inlineStr">
        <is>
          <t>Shift4</t>
        </is>
      </c>
      <c r="D998" t="inlineStr">
        <is>
          <t>EUR</t>
        </is>
      </c>
      <c r="E998" s="9" t="n">
        <v>0</v>
      </c>
      <c r="F998" s="9" t="n">
        <v>0</v>
      </c>
      <c r="G998" s="9" t="n">
        <v>-491878</v>
      </c>
      <c r="H998" s="9">
        <f>IF(D998="USD",E998*$N$1,E998)</f>
        <v/>
      </c>
      <c r="I998" s="9">
        <f>IF(D998="USD",F998*$N$1,F998)</f>
        <v/>
      </c>
      <c r="J998" s="9">
        <f>IF(D998="USD",G998*$N$1,G998)</f>
        <v/>
      </c>
      <c r="K998" s="9">
        <f>H998+I998</f>
        <v/>
      </c>
    </row>
    <row r="999">
      <c r="A999" s="8" t="n">
        <v>46134</v>
      </c>
      <c r="B999" t="inlineStr">
        <is>
          <t>2026-W17</t>
        </is>
      </c>
      <c r="C999" t="inlineStr">
        <is>
          <t>Shift4</t>
        </is>
      </c>
      <c r="D999" t="inlineStr">
        <is>
          <t>EUR</t>
        </is>
      </c>
      <c r="E999" s="9" t="n">
        <v>639006.03</v>
      </c>
      <c r="F999" s="9" t="n">
        <v>-6980.42</v>
      </c>
      <c r="G999" s="9" t="n">
        <v>0</v>
      </c>
      <c r="H999" s="9">
        <f>IF(D999="USD",E999*$N$1,E999)</f>
        <v/>
      </c>
      <c r="I999" s="9">
        <f>IF(D999="USD",F999*$N$1,F999)</f>
        <v/>
      </c>
      <c r="J999" s="9">
        <f>IF(D999="USD",G999*$N$1,G999)</f>
        <v/>
      </c>
      <c r="K999" s="9">
        <f>H999+I999</f>
        <v/>
      </c>
    </row>
    <row r="1000">
      <c r="A1000" s="8" t="n">
        <v>46135</v>
      </c>
      <c r="B1000" t="inlineStr">
        <is>
          <t>2026-W17</t>
        </is>
      </c>
      <c r="C1000" t="inlineStr">
        <is>
          <t>Adyen</t>
        </is>
      </c>
      <c r="D1000" t="inlineStr">
        <is>
          <t>EUR</t>
        </is>
      </c>
      <c r="E1000" s="9" t="n">
        <v>0</v>
      </c>
      <c r="F1000" s="9" t="n">
        <v>0</v>
      </c>
      <c r="G1000" s="9" t="n">
        <v>-720549.01</v>
      </c>
      <c r="H1000" s="9">
        <f>IF(D1000="USD",E1000*$N$1,E1000)</f>
        <v/>
      </c>
      <c r="I1000" s="9">
        <f>IF(D1000="USD",F1000*$N$1,F1000)</f>
        <v/>
      </c>
      <c r="J1000" s="9">
        <f>IF(D1000="USD",G1000*$N$1,G1000)</f>
        <v/>
      </c>
      <c r="K1000" s="9">
        <f>H1000+I1000</f>
        <v/>
      </c>
    </row>
    <row r="1001">
      <c r="A1001" s="8" t="n">
        <v>46135</v>
      </c>
      <c r="B1001" t="inlineStr">
        <is>
          <t>2026-W17</t>
        </is>
      </c>
      <c r="C1001" t="inlineStr">
        <is>
          <t>Adyen</t>
        </is>
      </c>
      <c r="D1001" t="inlineStr">
        <is>
          <t>EUR</t>
        </is>
      </c>
      <c r="E1001" s="9" t="n">
        <v>582389.14</v>
      </c>
      <c r="F1001" s="9" t="n">
        <v>-67629.22000000009</v>
      </c>
      <c r="G1001" s="9" t="n">
        <v>0</v>
      </c>
      <c r="H1001" s="9">
        <f>IF(D1001="USD",E1001*$N$1,E1001)</f>
        <v/>
      </c>
      <c r="I1001" s="9">
        <f>IF(D1001="USD",F1001*$N$1,F1001)</f>
        <v/>
      </c>
      <c r="J1001" s="9">
        <f>IF(D1001="USD",G1001*$N$1,G1001)</f>
        <v/>
      </c>
      <c r="K1001" s="9">
        <f>H1001+I1001</f>
        <v/>
      </c>
    </row>
    <row r="1002">
      <c r="A1002" s="8" t="n">
        <v>46135</v>
      </c>
      <c r="B1002" t="inlineStr">
        <is>
          <t>2026-W17</t>
        </is>
      </c>
      <c r="C1002" t="inlineStr">
        <is>
          <t>Adyen</t>
        </is>
      </c>
      <c r="D1002" t="inlineStr">
        <is>
          <t>EUR</t>
        </is>
      </c>
      <c r="E1002" s="9" t="n">
        <v>96697.89999999999</v>
      </c>
      <c r="F1002" s="9" t="n">
        <v>0</v>
      </c>
      <c r="G1002" s="9" t="n">
        <v>0</v>
      </c>
      <c r="H1002" s="9">
        <f>IF(D1002="USD",E1002*$N$1,E1002)</f>
        <v/>
      </c>
      <c r="I1002" s="9">
        <f>IF(D1002="USD",F1002*$N$1,F1002)</f>
        <v/>
      </c>
      <c r="J1002" s="9">
        <f>IF(D1002="USD",G1002*$N$1,G1002)</f>
        <v/>
      </c>
      <c r="K1002" s="9">
        <f>H1002+I1002</f>
        <v/>
      </c>
    </row>
    <row r="1003">
      <c r="A1003" s="8" t="n">
        <v>46135</v>
      </c>
      <c r="B1003" t="inlineStr">
        <is>
          <t>2026-W17</t>
        </is>
      </c>
      <c r="C1003" t="inlineStr">
        <is>
          <t>Nuvei</t>
        </is>
      </c>
      <c r="D1003" t="inlineStr">
        <is>
          <t>EUR</t>
        </is>
      </c>
      <c r="E1003" s="9" t="n">
        <v>0</v>
      </c>
      <c r="F1003" s="9" t="n">
        <v>0</v>
      </c>
      <c r="G1003" s="9" t="n">
        <v>-399437.5</v>
      </c>
      <c r="H1003" s="9">
        <f>IF(D1003="USD",E1003*$N$1,E1003)</f>
        <v/>
      </c>
      <c r="I1003" s="9">
        <f>IF(D1003="USD",F1003*$N$1,F1003)</f>
        <v/>
      </c>
      <c r="J1003" s="9">
        <f>IF(D1003="USD",G1003*$N$1,G1003)</f>
        <v/>
      </c>
      <c r="K1003" s="9">
        <f>H1003+I1003</f>
        <v/>
      </c>
    </row>
    <row r="1004">
      <c r="A1004" s="8" t="n">
        <v>46135</v>
      </c>
      <c r="B1004" t="inlineStr">
        <is>
          <t>2026-W17</t>
        </is>
      </c>
      <c r="C1004" t="inlineStr">
        <is>
          <t>Nuvei</t>
        </is>
      </c>
      <c r="D1004" t="inlineStr">
        <is>
          <t>EUR</t>
        </is>
      </c>
      <c r="E1004" s="9" t="n">
        <v>0</v>
      </c>
      <c r="F1004" s="9" t="n">
        <v>0</v>
      </c>
      <c r="G1004" s="9" t="n">
        <v>-174642.97</v>
      </c>
      <c r="H1004" s="9">
        <f>IF(D1004="USD",E1004*$N$1,E1004)</f>
        <v/>
      </c>
      <c r="I1004" s="9">
        <f>IF(D1004="USD",F1004*$N$1,F1004)</f>
        <v/>
      </c>
      <c r="J1004" s="9">
        <f>IF(D1004="USD",G1004*$N$1,G1004)</f>
        <v/>
      </c>
      <c r="K1004" s="9">
        <f>H1004+I1004</f>
        <v/>
      </c>
    </row>
    <row r="1005">
      <c r="A1005" s="8" t="n">
        <v>46135</v>
      </c>
      <c r="B1005" t="inlineStr">
        <is>
          <t>2026-W17</t>
        </is>
      </c>
      <c r="C1005" t="inlineStr">
        <is>
          <t>Nuvei</t>
        </is>
      </c>
      <c r="D1005" t="inlineStr">
        <is>
          <t>EUR</t>
        </is>
      </c>
      <c r="E1005" s="9" t="n">
        <v>356406.71</v>
      </c>
      <c r="F1005" s="9" t="n">
        <v>2044.33</v>
      </c>
      <c r="G1005" s="9" t="n">
        <v>0</v>
      </c>
      <c r="H1005" s="9">
        <f>IF(D1005="USD",E1005*$N$1,E1005)</f>
        <v/>
      </c>
      <c r="I1005" s="9">
        <f>IF(D1005="USD",F1005*$N$1,F1005)</f>
        <v/>
      </c>
      <c r="J1005" s="9">
        <f>IF(D1005="USD",G1005*$N$1,G1005)</f>
        <v/>
      </c>
      <c r="K1005" s="9">
        <f>H1005+I1005</f>
        <v/>
      </c>
    </row>
    <row r="1006">
      <c r="A1006" s="8" t="n">
        <v>46135</v>
      </c>
      <c r="B1006" t="inlineStr">
        <is>
          <t>2026-W17</t>
        </is>
      </c>
      <c r="C1006" t="inlineStr">
        <is>
          <t>Nuvei</t>
        </is>
      </c>
      <c r="D1006" t="inlineStr">
        <is>
          <t>EUR</t>
        </is>
      </c>
      <c r="E1006" s="9" t="n">
        <v>196683.72</v>
      </c>
      <c r="F1006" s="9" t="n">
        <v>-4660.51</v>
      </c>
      <c r="G1006" s="9" t="n">
        <v>0</v>
      </c>
      <c r="H1006" s="9">
        <f>IF(D1006="USD",E1006*$N$1,E1006)</f>
        <v/>
      </c>
      <c r="I1006" s="9">
        <f>IF(D1006="USD",F1006*$N$1,F1006)</f>
        <v/>
      </c>
      <c r="J1006" s="9">
        <f>IF(D1006="USD",G1006*$N$1,G1006)</f>
        <v/>
      </c>
      <c r="K1006" s="9">
        <f>H1006+I1006</f>
        <v/>
      </c>
    </row>
    <row r="1007">
      <c r="A1007" s="8" t="n">
        <v>46135</v>
      </c>
      <c r="B1007" t="inlineStr">
        <is>
          <t>2026-W17</t>
        </is>
      </c>
      <c r="C1007" t="inlineStr">
        <is>
          <t>Shift4</t>
        </is>
      </c>
      <c r="D1007" t="inlineStr">
        <is>
          <t>EUR</t>
        </is>
      </c>
      <c r="E1007" s="9" t="n">
        <v>0</v>
      </c>
      <c r="F1007" s="9" t="n">
        <v>0</v>
      </c>
      <c r="G1007" s="9" t="n">
        <v>-1573663.6</v>
      </c>
      <c r="H1007" s="9">
        <f>IF(D1007="USD",E1007*$N$1,E1007)</f>
        <v/>
      </c>
      <c r="I1007" s="9">
        <f>IF(D1007="USD",F1007*$N$1,F1007)</f>
        <v/>
      </c>
      <c r="J1007" s="9">
        <f>IF(D1007="USD",G1007*$N$1,G1007)</f>
        <v/>
      </c>
      <c r="K1007" s="9">
        <f>H1007+I1007</f>
        <v/>
      </c>
    </row>
    <row r="1008">
      <c r="A1008" s="8" t="n">
        <v>46135</v>
      </c>
      <c r="B1008" t="inlineStr">
        <is>
          <t>2026-W17</t>
        </is>
      </c>
      <c r="C1008" t="inlineStr">
        <is>
          <t>Shift4</t>
        </is>
      </c>
      <c r="D1008" t="inlineStr">
        <is>
          <t>EUR</t>
        </is>
      </c>
      <c r="E1008" s="9" t="n">
        <v>515576.22</v>
      </c>
      <c r="F1008" s="9" t="n">
        <v>-5496.15</v>
      </c>
      <c r="G1008" s="9" t="n">
        <v>0</v>
      </c>
      <c r="H1008" s="9">
        <f>IF(D1008="USD",E1008*$N$1,E1008)</f>
        <v/>
      </c>
      <c r="I1008" s="9">
        <f>IF(D1008="USD",F1008*$N$1,F1008)</f>
        <v/>
      </c>
      <c r="J1008" s="9">
        <f>IF(D1008="USD",G1008*$N$1,G1008)</f>
        <v/>
      </c>
      <c r="K1008" s="9">
        <f>H1008+I1008</f>
        <v/>
      </c>
    </row>
    <row r="1009">
      <c r="A1009" s="8" t="n">
        <v>46136</v>
      </c>
      <c r="B1009" t="inlineStr">
        <is>
          <t>2026-W17</t>
        </is>
      </c>
      <c r="C1009" t="inlineStr">
        <is>
          <t>Adyen</t>
        </is>
      </c>
      <c r="D1009" t="inlineStr">
        <is>
          <t>EUR</t>
        </is>
      </c>
      <c r="E1009" s="9" t="n">
        <v>0</v>
      </c>
      <c r="F1009" s="9" t="n">
        <v>0</v>
      </c>
      <c r="G1009" s="9" t="n">
        <v>-732515.0199999999</v>
      </c>
      <c r="H1009" s="9">
        <f>IF(D1009="USD",E1009*$N$1,E1009)</f>
        <v/>
      </c>
      <c r="I1009" s="9">
        <f>IF(D1009="USD",F1009*$N$1,F1009)</f>
        <v/>
      </c>
      <c r="J1009" s="9">
        <f>IF(D1009="USD",G1009*$N$1,G1009)</f>
        <v/>
      </c>
      <c r="K1009" s="9">
        <f>H1009+I1009</f>
        <v/>
      </c>
    </row>
    <row r="1010">
      <c r="A1010" s="8" t="n">
        <v>46136</v>
      </c>
      <c r="B1010" t="inlineStr">
        <is>
          <t>2026-W17</t>
        </is>
      </c>
      <c r="C1010" t="inlineStr">
        <is>
          <t>Adyen</t>
        </is>
      </c>
      <c r="D1010" t="inlineStr">
        <is>
          <t>EUR</t>
        </is>
      </c>
      <c r="E1010" s="9" t="n">
        <v>492052.88</v>
      </c>
      <c r="F1010" s="9" t="n">
        <v>-122123.0000000002</v>
      </c>
      <c r="G1010" s="9" t="n">
        <v>0</v>
      </c>
      <c r="H1010" s="9">
        <f>IF(D1010="USD",E1010*$N$1,E1010)</f>
        <v/>
      </c>
      <c r="I1010" s="9">
        <f>IF(D1010="USD",F1010*$N$1,F1010)</f>
        <v/>
      </c>
      <c r="J1010" s="9">
        <f>IF(D1010="USD",G1010*$N$1,G1010)</f>
        <v/>
      </c>
      <c r="K1010" s="9">
        <f>H1010+I1010</f>
        <v/>
      </c>
    </row>
    <row r="1011">
      <c r="A1011" s="8" t="n">
        <v>46136</v>
      </c>
      <c r="B1011" t="inlineStr">
        <is>
          <t>2026-W17</t>
        </is>
      </c>
      <c r="C1011" t="inlineStr">
        <is>
          <t>Adyen</t>
        </is>
      </c>
      <c r="D1011" t="inlineStr">
        <is>
          <t>EUR</t>
        </is>
      </c>
      <c r="E1011" s="9" t="n">
        <v>97614.06</v>
      </c>
      <c r="F1011" s="9" t="n">
        <v>0</v>
      </c>
      <c r="G1011" s="9" t="n">
        <v>0</v>
      </c>
      <c r="H1011" s="9">
        <f>IF(D1011="USD",E1011*$N$1,E1011)</f>
        <v/>
      </c>
      <c r="I1011" s="9">
        <f>IF(D1011="USD",F1011*$N$1,F1011)</f>
        <v/>
      </c>
      <c r="J1011" s="9">
        <f>IF(D1011="USD",G1011*$N$1,G1011)</f>
        <v/>
      </c>
      <c r="K1011" s="9">
        <f>H1011+I1011</f>
        <v/>
      </c>
    </row>
    <row r="1012">
      <c r="A1012" s="8" t="n">
        <v>46136</v>
      </c>
      <c r="B1012" t="inlineStr">
        <is>
          <t>2026-W17</t>
        </is>
      </c>
      <c r="C1012" t="inlineStr">
        <is>
          <t>Nuvei</t>
        </is>
      </c>
      <c r="D1012" t="inlineStr">
        <is>
          <t>EUR</t>
        </is>
      </c>
      <c r="E1012" s="9" t="n">
        <v>0</v>
      </c>
      <c r="F1012" s="9" t="n">
        <v>0</v>
      </c>
      <c r="G1012" s="9" t="n">
        <v>-1086974.23</v>
      </c>
      <c r="H1012" s="9">
        <f>IF(D1012="USD",E1012*$N$1,E1012)</f>
        <v/>
      </c>
      <c r="I1012" s="9">
        <f>IF(D1012="USD",F1012*$N$1,F1012)</f>
        <v/>
      </c>
      <c r="J1012" s="9">
        <f>IF(D1012="USD",G1012*$N$1,G1012)</f>
        <v/>
      </c>
      <c r="K1012" s="9">
        <f>H1012+I1012</f>
        <v/>
      </c>
    </row>
    <row r="1013">
      <c r="A1013" s="8" t="n">
        <v>46136</v>
      </c>
      <c r="B1013" t="inlineStr">
        <is>
          <t>2026-W17</t>
        </is>
      </c>
      <c r="C1013" t="inlineStr">
        <is>
          <t>Nuvei</t>
        </is>
      </c>
      <c r="D1013" t="inlineStr">
        <is>
          <t>EUR</t>
        </is>
      </c>
      <c r="E1013" s="9" t="n">
        <v>0</v>
      </c>
      <c r="F1013" s="9" t="n">
        <v>0</v>
      </c>
      <c r="G1013" s="9" t="n">
        <v>-442816.06</v>
      </c>
      <c r="H1013" s="9">
        <f>IF(D1013="USD",E1013*$N$1,E1013)</f>
        <v/>
      </c>
      <c r="I1013" s="9">
        <f>IF(D1013="USD",F1013*$N$1,F1013)</f>
        <v/>
      </c>
      <c r="J1013" s="9">
        <f>IF(D1013="USD",G1013*$N$1,G1013)</f>
        <v/>
      </c>
      <c r="K1013" s="9">
        <f>H1013+I1013</f>
        <v/>
      </c>
    </row>
    <row r="1014">
      <c r="A1014" s="8" t="n">
        <v>46136</v>
      </c>
      <c r="B1014" t="inlineStr">
        <is>
          <t>2026-W17</t>
        </is>
      </c>
      <c r="C1014" t="inlineStr">
        <is>
          <t>Nuvei</t>
        </is>
      </c>
      <c r="D1014" t="inlineStr">
        <is>
          <t>EUR</t>
        </is>
      </c>
      <c r="E1014" s="9" t="n">
        <v>122254.28</v>
      </c>
      <c r="F1014" s="9" t="n">
        <v>-7253.19</v>
      </c>
      <c r="G1014" s="9" t="n">
        <v>0</v>
      </c>
      <c r="H1014" s="9">
        <f>IF(D1014="USD",E1014*$N$1,E1014)</f>
        <v/>
      </c>
      <c r="I1014" s="9">
        <f>IF(D1014="USD",F1014*$N$1,F1014)</f>
        <v/>
      </c>
      <c r="J1014" s="9">
        <f>IF(D1014="USD",G1014*$N$1,G1014)</f>
        <v/>
      </c>
      <c r="K1014" s="9">
        <f>H1014+I1014</f>
        <v/>
      </c>
    </row>
    <row r="1015">
      <c r="A1015" s="8" t="n">
        <v>46136</v>
      </c>
      <c r="B1015" t="inlineStr">
        <is>
          <t>2026-W17</t>
        </is>
      </c>
      <c r="C1015" t="inlineStr">
        <is>
          <t>Nuvei</t>
        </is>
      </c>
      <c r="D1015" t="inlineStr">
        <is>
          <t>EUR</t>
        </is>
      </c>
      <c r="E1015" s="9" t="n">
        <v>171849.28</v>
      </c>
      <c r="F1015" s="9" t="n">
        <v>-6015.23</v>
      </c>
      <c r="G1015" s="9" t="n">
        <v>0</v>
      </c>
      <c r="H1015" s="9">
        <f>IF(D1015="USD",E1015*$N$1,E1015)</f>
        <v/>
      </c>
      <c r="I1015" s="9">
        <f>IF(D1015="USD",F1015*$N$1,F1015)</f>
        <v/>
      </c>
      <c r="J1015" s="9">
        <f>IF(D1015="USD",G1015*$N$1,G1015)</f>
        <v/>
      </c>
      <c r="K1015" s="9">
        <f>H1015+I1015</f>
        <v/>
      </c>
    </row>
    <row r="1016">
      <c r="A1016" s="8" t="n">
        <v>46136</v>
      </c>
      <c r="B1016" t="inlineStr">
        <is>
          <t>2026-W17</t>
        </is>
      </c>
      <c r="C1016" t="inlineStr">
        <is>
          <t>Shift4</t>
        </is>
      </c>
      <c r="D1016" t="inlineStr">
        <is>
          <t>EUR</t>
        </is>
      </c>
      <c r="E1016" s="9" t="n">
        <v>0</v>
      </c>
      <c r="F1016" s="9" t="n">
        <v>0</v>
      </c>
      <c r="G1016" s="9" t="n">
        <v>-623651.17</v>
      </c>
      <c r="H1016" s="9">
        <f>IF(D1016="USD",E1016*$N$1,E1016)</f>
        <v/>
      </c>
      <c r="I1016" s="9">
        <f>IF(D1016="USD",F1016*$N$1,F1016)</f>
        <v/>
      </c>
      <c r="J1016" s="9">
        <f>IF(D1016="USD",G1016*$N$1,G1016)</f>
        <v/>
      </c>
      <c r="K1016" s="9">
        <f>H1016+I1016</f>
        <v/>
      </c>
    </row>
    <row r="1017">
      <c r="A1017" s="8" t="n">
        <v>46136</v>
      </c>
      <c r="B1017" t="inlineStr">
        <is>
          <t>2026-W17</t>
        </is>
      </c>
      <c r="C1017" t="inlineStr">
        <is>
          <t>Shift4</t>
        </is>
      </c>
      <c r="D1017" t="inlineStr">
        <is>
          <t>EUR</t>
        </is>
      </c>
      <c r="E1017" s="9" t="n">
        <v>433899.46</v>
      </c>
      <c r="F1017" s="9" t="n">
        <v>-4786.19</v>
      </c>
      <c r="G1017" s="9" t="n">
        <v>0</v>
      </c>
      <c r="H1017" s="9">
        <f>IF(D1017="USD",E1017*$N$1,E1017)</f>
        <v/>
      </c>
      <c r="I1017" s="9">
        <f>IF(D1017="USD",F1017*$N$1,F1017)</f>
        <v/>
      </c>
      <c r="J1017" s="9">
        <f>IF(D1017="USD",G1017*$N$1,G1017)</f>
        <v/>
      </c>
      <c r="K1017" s="9">
        <f>H1017+I1017</f>
        <v/>
      </c>
    </row>
    <row r="1018">
      <c r="A1018" s="8" t="n">
        <v>46137</v>
      </c>
      <c r="B1018" t="inlineStr">
        <is>
          <t>2026-W17</t>
        </is>
      </c>
      <c r="C1018" t="inlineStr">
        <is>
          <t>Adyen</t>
        </is>
      </c>
      <c r="D1018" t="inlineStr">
        <is>
          <t>EUR</t>
        </is>
      </c>
      <c r="E1018" s="9" t="n">
        <v>390931.5</v>
      </c>
      <c r="F1018" s="9" t="n">
        <v>0</v>
      </c>
      <c r="G1018" s="9" t="n">
        <v>0</v>
      </c>
      <c r="H1018" s="9">
        <f>IF(D1018="USD",E1018*$N$1,E1018)</f>
        <v/>
      </c>
      <c r="I1018" s="9">
        <f>IF(D1018="USD",F1018*$N$1,F1018)</f>
        <v/>
      </c>
      <c r="J1018" s="9">
        <f>IF(D1018="USD",G1018*$N$1,G1018)</f>
        <v/>
      </c>
      <c r="K1018" s="9">
        <f>H1018+I1018</f>
        <v/>
      </c>
    </row>
    <row r="1019">
      <c r="A1019" s="8" t="n">
        <v>46137</v>
      </c>
      <c r="B1019" t="inlineStr">
        <is>
          <t>2026-W17</t>
        </is>
      </c>
      <c r="C1019" t="inlineStr">
        <is>
          <t>Adyen</t>
        </is>
      </c>
      <c r="D1019" t="inlineStr">
        <is>
          <t>EUR</t>
        </is>
      </c>
      <c r="E1019" s="9" t="n">
        <v>86528.12</v>
      </c>
      <c r="F1019" s="9" t="n">
        <v>0</v>
      </c>
      <c r="G1019" s="9" t="n">
        <v>0</v>
      </c>
      <c r="H1019" s="9">
        <f>IF(D1019="USD",E1019*$N$1,E1019)</f>
        <v/>
      </c>
      <c r="I1019" s="9">
        <f>IF(D1019="USD",F1019*$N$1,F1019)</f>
        <v/>
      </c>
      <c r="J1019" s="9">
        <f>IF(D1019="USD",G1019*$N$1,G1019)</f>
        <v/>
      </c>
      <c r="K1019" s="9">
        <f>H1019+I1019</f>
        <v/>
      </c>
    </row>
    <row r="1020">
      <c r="A1020" s="8" t="n">
        <v>46137</v>
      </c>
      <c r="B1020" t="inlineStr">
        <is>
          <t>2026-W17</t>
        </is>
      </c>
      <c r="C1020" t="inlineStr">
        <is>
          <t>Nuvei</t>
        </is>
      </c>
      <c r="D1020" t="inlineStr">
        <is>
          <t>EUR</t>
        </is>
      </c>
      <c r="E1020" s="9" t="n">
        <v>263768.08</v>
      </c>
      <c r="F1020" s="9" t="n">
        <v>-4683.38</v>
      </c>
      <c r="G1020" s="9" t="n">
        <v>0</v>
      </c>
      <c r="H1020" s="9">
        <f>IF(D1020="USD",E1020*$N$1,E1020)</f>
        <v/>
      </c>
      <c r="I1020" s="9">
        <f>IF(D1020="USD",F1020*$N$1,F1020)</f>
        <v/>
      </c>
      <c r="J1020" s="9">
        <f>IF(D1020="USD",G1020*$N$1,G1020)</f>
        <v/>
      </c>
      <c r="K1020" s="9">
        <f>H1020+I1020</f>
        <v/>
      </c>
    </row>
    <row r="1021">
      <c r="A1021" s="8" t="n">
        <v>46137</v>
      </c>
      <c r="B1021" t="inlineStr">
        <is>
          <t>2026-W17</t>
        </is>
      </c>
      <c r="C1021" t="inlineStr">
        <is>
          <t>Nuvei</t>
        </is>
      </c>
      <c r="D1021" t="inlineStr">
        <is>
          <t>EUR</t>
        </is>
      </c>
      <c r="E1021" s="9" t="n">
        <v>222351.96</v>
      </c>
      <c r="F1021" s="9" t="n">
        <v>-6430.4</v>
      </c>
      <c r="G1021" s="9" t="n">
        <v>0</v>
      </c>
      <c r="H1021" s="9">
        <f>IF(D1021="USD",E1021*$N$1,E1021)</f>
        <v/>
      </c>
      <c r="I1021" s="9">
        <f>IF(D1021="USD",F1021*$N$1,F1021)</f>
        <v/>
      </c>
      <c r="J1021" s="9">
        <f>IF(D1021="USD",G1021*$N$1,G1021)</f>
        <v/>
      </c>
      <c r="K1021" s="9">
        <f>H1021+I1021</f>
        <v/>
      </c>
    </row>
    <row r="1022">
      <c r="A1022" s="8" t="n">
        <v>46137</v>
      </c>
      <c r="B1022" t="inlineStr">
        <is>
          <t>2026-W17</t>
        </is>
      </c>
      <c r="C1022" t="inlineStr">
        <is>
          <t>Shift4</t>
        </is>
      </c>
      <c r="D1022" t="inlineStr">
        <is>
          <t>EUR</t>
        </is>
      </c>
      <c r="E1022" s="9" t="n">
        <v>390685.6</v>
      </c>
      <c r="F1022" s="9" t="n">
        <v>-3455.54</v>
      </c>
      <c r="G1022" s="9" t="n">
        <v>0</v>
      </c>
      <c r="H1022" s="9">
        <f>IF(D1022="USD",E1022*$N$1,E1022)</f>
        <v/>
      </c>
      <c r="I1022" s="9">
        <f>IF(D1022="USD",F1022*$N$1,F1022)</f>
        <v/>
      </c>
      <c r="J1022" s="9">
        <f>IF(D1022="USD",G1022*$N$1,G1022)</f>
        <v/>
      </c>
      <c r="K1022" s="9">
        <f>H1022+I1022</f>
        <v/>
      </c>
    </row>
    <row r="1023">
      <c r="A1023" s="8" t="n">
        <v>46138</v>
      </c>
      <c r="B1023" t="inlineStr">
        <is>
          <t>2026-W17</t>
        </is>
      </c>
      <c r="C1023" t="inlineStr">
        <is>
          <t>Adyen</t>
        </is>
      </c>
      <c r="D1023" t="inlineStr">
        <is>
          <t>EUR</t>
        </is>
      </c>
      <c r="E1023" s="9" t="n">
        <v>403599.02</v>
      </c>
      <c r="F1023" s="9" t="n">
        <v>0</v>
      </c>
      <c r="G1023" s="9" t="n">
        <v>0</v>
      </c>
      <c r="H1023" s="9">
        <f>IF(D1023="USD",E1023*$N$1,E1023)</f>
        <v/>
      </c>
      <c r="I1023" s="9">
        <f>IF(D1023="USD",F1023*$N$1,F1023)</f>
        <v/>
      </c>
      <c r="J1023" s="9">
        <f>IF(D1023="USD",G1023*$N$1,G1023)</f>
        <v/>
      </c>
      <c r="K1023" s="9">
        <f>H1023+I1023</f>
        <v/>
      </c>
    </row>
    <row r="1024">
      <c r="A1024" s="8" t="n">
        <v>46138</v>
      </c>
      <c r="B1024" t="inlineStr">
        <is>
          <t>2026-W17</t>
        </is>
      </c>
      <c r="C1024" t="inlineStr">
        <is>
          <t>Adyen</t>
        </is>
      </c>
      <c r="D1024" t="inlineStr">
        <is>
          <t>EUR</t>
        </is>
      </c>
      <c r="E1024" s="9" t="n">
        <v>64682.59</v>
      </c>
      <c r="F1024" s="9" t="n">
        <v>0</v>
      </c>
      <c r="G1024" s="9" t="n">
        <v>0</v>
      </c>
      <c r="H1024" s="9">
        <f>IF(D1024="USD",E1024*$N$1,E1024)</f>
        <v/>
      </c>
      <c r="I1024" s="9">
        <f>IF(D1024="USD",F1024*$N$1,F1024)</f>
        <v/>
      </c>
      <c r="J1024" s="9">
        <f>IF(D1024="USD",G1024*$N$1,G1024)</f>
        <v/>
      </c>
      <c r="K1024" s="9">
        <f>H1024+I1024</f>
        <v/>
      </c>
    </row>
    <row r="1025">
      <c r="A1025" s="8" t="n">
        <v>46138</v>
      </c>
      <c r="B1025" t="inlineStr">
        <is>
          <t>2026-W17</t>
        </is>
      </c>
      <c r="C1025" t="inlineStr">
        <is>
          <t>Nuvei</t>
        </is>
      </c>
      <c r="D1025" t="inlineStr">
        <is>
          <t>EUR</t>
        </is>
      </c>
      <c r="E1025" s="9" t="n">
        <v>313855.24</v>
      </c>
      <c r="F1025" s="9" t="n">
        <v>-5183.86</v>
      </c>
      <c r="G1025" s="9" t="n">
        <v>0</v>
      </c>
      <c r="H1025" s="9">
        <f>IF(D1025="USD",E1025*$N$1,E1025)</f>
        <v/>
      </c>
      <c r="I1025" s="9">
        <f>IF(D1025="USD",F1025*$N$1,F1025)</f>
        <v/>
      </c>
      <c r="J1025" s="9">
        <f>IF(D1025="USD",G1025*$N$1,G1025)</f>
        <v/>
      </c>
      <c r="K1025" s="9">
        <f>H1025+I1025</f>
        <v/>
      </c>
    </row>
    <row r="1026">
      <c r="A1026" s="8" t="n">
        <v>46138</v>
      </c>
      <c r="B1026" t="inlineStr">
        <is>
          <t>2026-W17</t>
        </is>
      </c>
      <c r="C1026" t="inlineStr">
        <is>
          <t>Nuvei</t>
        </is>
      </c>
      <c r="D1026" t="inlineStr">
        <is>
          <t>EUR</t>
        </is>
      </c>
      <c r="E1026" s="9" t="n">
        <v>181941.15</v>
      </c>
      <c r="F1026" s="9" t="n">
        <v>-5197.68</v>
      </c>
      <c r="G1026" s="9" t="n">
        <v>0</v>
      </c>
      <c r="H1026" s="9">
        <f>IF(D1026="USD",E1026*$N$1,E1026)</f>
        <v/>
      </c>
      <c r="I1026" s="9">
        <f>IF(D1026="USD",F1026*$N$1,F1026)</f>
        <v/>
      </c>
      <c r="J1026" s="9">
        <f>IF(D1026="USD",G1026*$N$1,G1026)</f>
        <v/>
      </c>
      <c r="K1026" s="9">
        <f>H1026+I1026</f>
        <v/>
      </c>
    </row>
    <row r="1027">
      <c r="A1027" s="8" t="n">
        <v>46138</v>
      </c>
      <c r="B1027" t="inlineStr">
        <is>
          <t>2026-W17</t>
        </is>
      </c>
      <c r="C1027" t="inlineStr">
        <is>
          <t>Shift4</t>
        </is>
      </c>
      <c r="D1027" t="inlineStr">
        <is>
          <t>EUR</t>
        </is>
      </c>
      <c r="E1027" s="9" t="n">
        <v>517931.47</v>
      </c>
      <c r="F1027" s="9" t="n">
        <v>-4437.64</v>
      </c>
      <c r="G1027" s="9" t="n">
        <v>0</v>
      </c>
      <c r="H1027" s="9">
        <f>IF(D1027="USD",E1027*$N$1,E1027)</f>
        <v/>
      </c>
      <c r="I1027" s="9">
        <f>IF(D1027="USD",F1027*$N$1,F1027)</f>
        <v/>
      </c>
      <c r="J1027" s="9">
        <f>IF(D1027="USD",G1027*$N$1,G1027)</f>
        <v/>
      </c>
      <c r="K1027" s="9">
        <f>H1027+I1027</f>
        <v/>
      </c>
    </row>
    <row r="1028">
      <c r="A1028" s="8" t="n">
        <v>46139</v>
      </c>
      <c r="B1028" t="inlineStr">
        <is>
          <t>2026-W18</t>
        </is>
      </c>
      <c r="C1028" t="inlineStr">
        <is>
          <t>Adyen</t>
        </is>
      </c>
      <c r="D1028" t="inlineStr">
        <is>
          <t>EUR</t>
        </is>
      </c>
      <c r="E1028" s="9" t="n">
        <v>0</v>
      </c>
      <c r="F1028" s="9" t="n">
        <v>0</v>
      </c>
      <c r="G1028" s="9" t="n">
        <v>-611457.8199999999</v>
      </c>
      <c r="H1028" s="9">
        <f>IF(D1028="USD",E1028*$N$1,E1028)</f>
        <v/>
      </c>
      <c r="I1028" s="9">
        <f>IF(D1028="USD",F1028*$N$1,F1028)</f>
        <v/>
      </c>
      <c r="J1028" s="9">
        <f>IF(D1028="USD",G1028*$N$1,G1028)</f>
        <v/>
      </c>
      <c r="K1028" s="9">
        <f>H1028+I1028</f>
        <v/>
      </c>
    </row>
    <row r="1029">
      <c r="A1029" s="8" t="n">
        <v>46139</v>
      </c>
      <c r="B1029" t="inlineStr">
        <is>
          <t>2026-W18</t>
        </is>
      </c>
      <c r="C1029" t="inlineStr">
        <is>
          <t>Adyen</t>
        </is>
      </c>
      <c r="D1029" t="inlineStr">
        <is>
          <t>EUR</t>
        </is>
      </c>
      <c r="E1029" s="9" t="n">
        <v>696906.61</v>
      </c>
      <c r="F1029" s="9" t="n">
        <v>104447.4399999999</v>
      </c>
      <c r="G1029" s="9" t="n">
        <v>0</v>
      </c>
      <c r="H1029" s="9">
        <f>IF(D1029="USD",E1029*$N$1,E1029)</f>
        <v/>
      </c>
      <c r="I1029" s="9">
        <f>IF(D1029="USD",F1029*$N$1,F1029)</f>
        <v/>
      </c>
      <c r="J1029" s="9">
        <f>IF(D1029="USD",G1029*$N$1,G1029)</f>
        <v/>
      </c>
      <c r="K1029" s="9">
        <f>H1029+I1029</f>
        <v/>
      </c>
    </row>
    <row r="1030">
      <c r="A1030" s="8" t="n">
        <v>46139</v>
      </c>
      <c r="B1030" t="inlineStr">
        <is>
          <t>2026-W18</t>
        </is>
      </c>
      <c r="C1030" t="inlineStr">
        <is>
          <t>Adyen</t>
        </is>
      </c>
      <c r="D1030" t="inlineStr">
        <is>
          <t>EUR</t>
        </is>
      </c>
      <c r="E1030" s="9" t="n">
        <v>93297.12</v>
      </c>
      <c r="F1030" s="9" t="n">
        <v>0</v>
      </c>
      <c r="G1030" s="9" t="n">
        <v>0</v>
      </c>
      <c r="H1030" s="9">
        <f>IF(D1030="USD",E1030*$N$1,E1030)</f>
        <v/>
      </c>
      <c r="I1030" s="9">
        <f>IF(D1030="USD",F1030*$N$1,F1030)</f>
        <v/>
      </c>
      <c r="J1030" s="9">
        <f>IF(D1030="USD",G1030*$N$1,G1030)</f>
        <v/>
      </c>
      <c r="K1030" s="9">
        <f>H1030+I1030</f>
        <v/>
      </c>
    </row>
    <row r="1031">
      <c r="A1031" s="8" t="n">
        <v>46139</v>
      </c>
      <c r="B1031" t="inlineStr">
        <is>
          <t>2026-W18</t>
        </is>
      </c>
      <c r="C1031" t="inlineStr">
        <is>
          <t>Nuvei</t>
        </is>
      </c>
      <c r="D1031" t="inlineStr">
        <is>
          <t>EUR</t>
        </is>
      </c>
      <c r="E1031" s="9" t="n">
        <v>0</v>
      </c>
      <c r="F1031" s="9" t="n">
        <v>0</v>
      </c>
      <c r="G1031" s="9" t="n">
        <v>-397815.02</v>
      </c>
      <c r="H1031" s="9">
        <f>IF(D1031="USD",E1031*$N$1,E1031)</f>
        <v/>
      </c>
      <c r="I1031" s="9">
        <f>IF(D1031="USD",F1031*$N$1,F1031)</f>
        <v/>
      </c>
      <c r="J1031" s="9">
        <f>IF(D1031="USD",G1031*$N$1,G1031)</f>
        <v/>
      </c>
      <c r="K1031" s="9">
        <f>H1031+I1031</f>
        <v/>
      </c>
    </row>
    <row r="1032">
      <c r="A1032" s="8" t="n">
        <v>46139</v>
      </c>
      <c r="B1032" t="inlineStr">
        <is>
          <t>2026-W18</t>
        </is>
      </c>
      <c r="C1032" t="inlineStr">
        <is>
          <t>Nuvei</t>
        </is>
      </c>
      <c r="D1032" t="inlineStr">
        <is>
          <t>EUR</t>
        </is>
      </c>
      <c r="E1032" s="9" t="n">
        <v>0</v>
      </c>
      <c r="F1032" s="9" t="n">
        <v>0</v>
      </c>
      <c r="G1032" s="9" t="n">
        <v>-160530.28</v>
      </c>
      <c r="H1032" s="9">
        <f>IF(D1032="USD",E1032*$N$1,E1032)</f>
        <v/>
      </c>
      <c r="I1032" s="9">
        <f>IF(D1032="USD",F1032*$N$1,F1032)</f>
        <v/>
      </c>
      <c r="J1032" s="9">
        <f>IF(D1032="USD",G1032*$N$1,G1032)</f>
        <v/>
      </c>
      <c r="K1032" s="9">
        <f>H1032+I1032</f>
        <v/>
      </c>
    </row>
    <row r="1033">
      <c r="A1033" s="8" t="n">
        <v>46139</v>
      </c>
      <c r="B1033" t="inlineStr">
        <is>
          <t>2026-W18</t>
        </is>
      </c>
      <c r="C1033" t="inlineStr">
        <is>
          <t>Nuvei</t>
        </is>
      </c>
      <c r="D1033" t="inlineStr">
        <is>
          <t>EUR</t>
        </is>
      </c>
      <c r="E1033" s="9" t="n">
        <v>430293.36</v>
      </c>
      <c r="F1033" s="9" t="n">
        <v>-7670.75</v>
      </c>
      <c r="G1033" s="9" t="n">
        <v>0</v>
      </c>
      <c r="H1033" s="9">
        <f>IF(D1033="USD",E1033*$N$1,E1033)</f>
        <v/>
      </c>
      <c r="I1033" s="9">
        <f>IF(D1033="USD",F1033*$N$1,F1033)</f>
        <v/>
      </c>
      <c r="J1033" s="9">
        <f>IF(D1033="USD",G1033*$N$1,G1033)</f>
        <v/>
      </c>
      <c r="K1033" s="9">
        <f>H1033+I1033</f>
        <v/>
      </c>
    </row>
    <row r="1034">
      <c r="A1034" s="8" t="n">
        <v>46139</v>
      </c>
      <c r="B1034" t="inlineStr">
        <is>
          <t>2026-W18</t>
        </is>
      </c>
      <c r="C1034" t="inlineStr">
        <is>
          <t>Nuvei</t>
        </is>
      </c>
      <c r="D1034" t="inlineStr">
        <is>
          <t>EUR</t>
        </is>
      </c>
      <c r="E1034" s="9" t="n">
        <v>202781.86</v>
      </c>
      <c r="F1034" s="9" t="n">
        <v>-5768.1</v>
      </c>
      <c r="G1034" s="9" t="n">
        <v>0</v>
      </c>
      <c r="H1034" s="9">
        <f>IF(D1034="USD",E1034*$N$1,E1034)</f>
        <v/>
      </c>
      <c r="I1034" s="9">
        <f>IF(D1034="USD",F1034*$N$1,F1034)</f>
        <v/>
      </c>
      <c r="J1034" s="9">
        <f>IF(D1034="USD",G1034*$N$1,G1034)</f>
        <v/>
      </c>
      <c r="K1034" s="9">
        <f>H1034+I1034</f>
        <v/>
      </c>
    </row>
    <row r="1035">
      <c r="A1035" s="8" t="n">
        <v>46139</v>
      </c>
      <c r="B1035" t="inlineStr">
        <is>
          <t>2026-W18</t>
        </is>
      </c>
      <c r="C1035" t="inlineStr">
        <is>
          <t>Shift4</t>
        </is>
      </c>
      <c r="D1035" t="inlineStr">
        <is>
          <t>EUR</t>
        </is>
      </c>
      <c r="E1035" s="9" t="n">
        <v>0</v>
      </c>
      <c r="F1035" s="9" t="n">
        <v>0</v>
      </c>
      <c r="G1035" s="9" t="n">
        <v>-632025.62</v>
      </c>
      <c r="H1035" s="9">
        <f>IF(D1035="USD",E1035*$N$1,E1035)</f>
        <v/>
      </c>
      <c r="I1035" s="9">
        <f>IF(D1035="USD",F1035*$N$1,F1035)</f>
        <v/>
      </c>
      <c r="J1035" s="9">
        <f>IF(D1035="USD",G1035*$N$1,G1035)</f>
        <v/>
      </c>
      <c r="K1035" s="9">
        <f>H1035+I1035</f>
        <v/>
      </c>
    </row>
    <row r="1036">
      <c r="A1036" s="8" t="n">
        <v>46139</v>
      </c>
      <c r="B1036" t="inlineStr">
        <is>
          <t>2026-W18</t>
        </is>
      </c>
      <c r="C1036" t="inlineStr">
        <is>
          <t>Shift4</t>
        </is>
      </c>
      <c r="D1036" t="inlineStr">
        <is>
          <t>EUR</t>
        </is>
      </c>
      <c r="E1036" s="9" t="n">
        <v>570764.49</v>
      </c>
      <c r="F1036" s="9" t="n">
        <v>-5438.47</v>
      </c>
      <c r="G1036" s="9" t="n">
        <v>0</v>
      </c>
      <c r="H1036" s="9">
        <f>IF(D1036="USD",E1036*$N$1,E1036)</f>
        <v/>
      </c>
      <c r="I1036" s="9">
        <f>IF(D1036="USD",F1036*$N$1,F1036)</f>
        <v/>
      </c>
      <c r="J1036" s="9">
        <f>IF(D1036="USD",G1036*$N$1,G1036)</f>
        <v/>
      </c>
      <c r="K1036" s="9">
        <f>H1036+I1036</f>
        <v/>
      </c>
    </row>
    <row r="1037">
      <c r="A1037" s="8" t="n">
        <v>46140</v>
      </c>
      <c r="B1037" t="inlineStr">
        <is>
          <t>2026-W18</t>
        </is>
      </c>
      <c r="C1037" t="inlineStr">
        <is>
          <t>Adyen</t>
        </is>
      </c>
      <c r="D1037" t="inlineStr">
        <is>
          <t>EUR</t>
        </is>
      </c>
      <c r="E1037" s="9" t="n">
        <v>0</v>
      </c>
      <c r="F1037" s="9" t="n">
        <v>0</v>
      </c>
      <c r="G1037" s="9" t="n">
        <v>-1413285.17</v>
      </c>
      <c r="H1037" s="9">
        <f>IF(D1037="USD",E1037*$N$1,E1037)</f>
        <v/>
      </c>
      <c r="I1037" s="9">
        <f>IF(D1037="USD",F1037*$N$1,F1037)</f>
        <v/>
      </c>
      <c r="J1037" s="9">
        <f>IF(D1037="USD",G1037*$N$1,G1037)</f>
        <v/>
      </c>
      <c r="K1037" s="9">
        <f>H1037+I1037</f>
        <v/>
      </c>
    </row>
    <row r="1038">
      <c r="A1038" s="8" t="n">
        <v>46140</v>
      </c>
      <c r="B1038" t="inlineStr">
        <is>
          <t>2026-W18</t>
        </is>
      </c>
      <c r="C1038" t="inlineStr">
        <is>
          <t>Adyen</t>
        </is>
      </c>
      <c r="D1038" t="inlineStr">
        <is>
          <t>EUR</t>
        </is>
      </c>
      <c r="E1038" s="9" t="n">
        <v>661820.7</v>
      </c>
      <c r="F1038" s="9" t="n">
        <v>-6788.130000000005</v>
      </c>
      <c r="G1038" s="9" t="n">
        <v>0</v>
      </c>
      <c r="H1038" s="9">
        <f>IF(D1038="USD",E1038*$N$1,E1038)</f>
        <v/>
      </c>
      <c r="I1038" s="9">
        <f>IF(D1038="USD",F1038*$N$1,F1038)</f>
        <v/>
      </c>
      <c r="J1038" s="9">
        <f>IF(D1038="USD",G1038*$N$1,G1038)</f>
        <v/>
      </c>
      <c r="K1038" s="9">
        <f>H1038+I1038</f>
        <v/>
      </c>
    </row>
    <row r="1039">
      <c r="A1039" s="8" t="n">
        <v>46140</v>
      </c>
      <c r="B1039" t="inlineStr">
        <is>
          <t>2026-W18</t>
        </is>
      </c>
      <c r="C1039" t="inlineStr">
        <is>
          <t>Adyen</t>
        </is>
      </c>
      <c r="D1039" t="inlineStr">
        <is>
          <t>EUR</t>
        </is>
      </c>
      <c r="E1039" s="9" t="n">
        <v>97418.12</v>
      </c>
      <c r="F1039" s="9" t="n">
        <v>0</v>
      </c>
      <c r="G1039" s="9" t="n">
        <v>0</v>
      </c>
      <c r="H1039" s="9">
        <f>IF(D1039="USD",E1039*$N$1,E1039)</f>
        <v/>
      </c>
      <c r="I1039" s="9">
        <f>IF(D1039="USD",F1039*$N$1,F1039)</f>
        <v/>
      </c>
      <c r="J1039" s="9">
        <f>IF(D1039="USD",G1039*$N$1,G1039)</f>
        <v/>
      </c>
      <c r="K1039" s="9">
        <f>H1039+I1039</f>
        <v/>
      </c>
    </row>
    <row r="1040">
      <c r="A1040" s="8" t="n">
        <v>46140</v>
      </c>
      <c r="B1040" t="inlineStr">
        <is>
          <t>2026-W18</t>
        </is>
      </c>
      <c r="C1040" t="inlineStr">
        <is>
          <t>Nuvei</t>
        </is>
      </c>
      <c r="D1040" t="inlineStr">
        <is>
          <t>EUR</t>
        </is>
      </c>
      <c r="E1040" s="9" t="n">
        <v>0</v>
      </c>
      <c r="F1040" s="9" t="n">
        <v>0</v>
      </c>
      <c r="G1040" s="9" t="n">
        <v>-308038.74</v>
      </c>
      <c r="H1040" s="9">
        <f>IF(D1040="USD",E1040*$N$1,E1040)</f>
        <v/>
      </c>
      <c r="I1040" s="9">
        <f>IF(D1040="USD",F1040*$N$1,F1040)</f>
        <v/>
      </c>
      <c r="J1040" s="9">
        <f>IF(D1040="USD",G1040*$N$1,G1040)</f>
        <v/>
      </c>
      <c r="K1040" s="9">
        <f>H1040+I1040</f>
        <v/>
      </c>
    </row>
    <row r="1041">
      <c r="A1041" s="8" t="n">
        <v>46140</v>
      </c>
      <c r="B1041" t="inlineStr">
        <is>
          <t>2026-W18</t>
        </is>
      </c>
      <c r="C1041" t="inlineStr">
        <is>
          <t>Nuvei</t>
        </is>
      </c>
      <c r="D1041" t="inlineStr">
        <is>
          <t>EUR</t>
        </is>
      </c>
      <c r="E1041" s="9" t="n">
        <v>0</v>
      </c>
      <c r="F1041" s="9" t="n">
        <v>0</v>
      </c>
      <c r="G1041" s="9" t="n">
        <v>-167238.09</v>
      </c>
      <c r="H1041" s="9">
        <f>IF(D1041="USD",E1041*$N$1,E1041)</f>
        <v/>
      </c>
      <c r="I1041" s="9">
        <f>IF(D1041="USD",F1041*$N$1,F1041)</f>
        <v/>
      </c>
      <c r="J1041" s="9">
        <f>IF(D1041="USD",G1041*$N$1,G1041)</f>
        <v/>
      </c>
      <c r="K1041" s="9">
        <f>H1041+I1041</f>
        <v/>
      </c>
    </row>
    <row r="1042">
      <c r="A1042" s="8" t="n">
        <v>46140</v>
      </c>
      <c r="B1042" t="inlineStr">
        <is>
          <t>2026-W18</t>
        </is>
      </c>
      <c r="C1042" t="inlineStr">
        <is>
          <t>Nuvei</t>
        </is>
      </c>
      <c r="D1042" t="inlineStr">
        <is>
          <t>EUR</t>
        </is>
      </c>
      <c r="E1042" s="9" t="n">
        <v>444144.44</v>
      </c>
      <c r="F1042" s="9" t="n">
        <v>-8231.040000000001</v>
      </c>
      <c r="G1042" s="9" t="n">
        <v>0</v>
      </c>
      <c r="H1042" s="9">
        <f>IF(D1042="USD",E1042*$N$1,E1042)</f>
        <v/>
      </c>
      <c r="I1042" s="9">
        <f>IF(D1042="USD",F1042*$N$1,F1042)</f>
        <v/>
      </c>
      <c r="J1042" s="9">
        <f>IF(D1042="USD",G1042*$N$1,G1042)</f>
        <v/>
      </c>
      <c r="K1042" s="9">
        <f>H1042+I1042</f>
        <v/>
      </c>
    </row>
    <row r="1043">
      <c r="A1043" s="8" t="n">
        <v>46140</v>
      </c>
      <c r="B1043" t="inlineStr">
        <is>
          <t>2026-W18</t>
        </is>
      </c>
      <c r="C1043" t="inlineStr">
        <is>
          <t>Nuvei</t>
        </is>
      </c>
      <c r="D1043" t="inlineStr">
        <is>
          <t>EUR</t>
        </is>
      </c>
      <c r="E1043" s="9" t="n">
        <v>190706.51</v>
      </c>
      <c r="F1043" s="9" t="n">
        <v>-5374.04</v>
      </c>
      <c r="G1043" s="9" t="n">
        <v>0</v>
      </c>
      <c r="H1043" s="9">
        <f>IF(D1043="USD",E1043*$N$1,E1043)</f>
        <v/>
      </c>
      <c r="I1043" s="9">
        <f>IF(D1043="USD",F1043*$N$1,F1043)</f>
        <v/>
      </c>
      <c r="J1043" s="9">
        <f>IF(D1043="USD",G1043*$N$1,G1043)</f>
        <v/>
      </c>
      <c r="K1043" s="9">
        <f>H1043+I1043</f>
        <v/>
      </c>
    </row>
    <row r="1044">
      <c r="A1044" s="8" t="n">
        <v>46140</v>
      </c>
      <c r="B1044" t="inlineStr">
        <is>
          <t>2026-W18</t>
        </is>
      </c>
      <c r="C1044" t="inlineStr">
        <is>
          <t>Shift4</t>
        </is>
      </c>
      <c r="D1044" t="inlineStr">
        <is>
          <t>EUR</t>
        </is>
      </c>
      <c r="E1044" s="9" t="n">
        <v>0</v>
      </c>
      <c r="F1044" s="9" t="n">
        <v>0</v>
      </c>
      <c r="G1044" s="9" t="n">
        <v>-510080.07</v>
      </c>
      <c r="H1044" s="9">
        <f>IF(D1044="USD",E1044*$N$1,E1044)</f>
        <v/>
      </c>
      <c r="I1044" s="9">
        <f>IF(D1044="USD",F1044*$N$1,F1044)</f>
        <v/>
      </c>
      <c r="J1044" s="9">
        <f>IF(D1044="USD",G1044*$N$1,G1044)</f>
        <v/>
      </c>
      <c r="K1044" s="9">
        <f>H1044+I1044</f>
        <v/>
      </c>
    </row>
    <row r="1045">
      <c r="A1045" s="8" t="n">
        <v>46140</v>
      </c>
      <c r="B1045" t="inlineStr">
        <is>
          <t>2026-W18</t>
        </is>
      </c>
      <c r="C1045" t="inlineStr">
        <is>
          <t>Shift4</t>
        </is>
      </c>
      <c r="D1045" t="inlineStr">
        <is>
          <t>EUR</t>
        </is>
      </c>
      <c r="E1045" s="9" t="n">
        <v>631968.95</v>
      </c>
      <c r="F1045" s="9" t="n">
        <v>-6478.9</v>
      </c>
      <c r="G1045" s="9" t="n">
        <v>0</v>
      </c>
      <c r="H1045" s="9">
        <f>IF(D1045="USD",E1045*$N$1,E1045)</f>
        <v/>
      </c>
      <c r="I1045" s="9">
        <f>IF(D1045="USD",F1045*$N$1,F1045)</f>
        <v/>
      </c>
      <c r="J1045" s="9">
        <f>IF(D1045="USD",G1045*$N$1,G1045)</f>
        <v/>
      </c>
      <c r="K1045" s="9">
        <f>H1045+I1045</f>
        <v/>
      </c>
    </row>
    <row r="1046">
      <c r="A1046" s="8" t="n">
        <v>46141</v>
      </c>
      <c r="B1046" t="inlineStr">
        <is>
          <t>2026-W18</t>
        </is>
      </c>
      <c r="C1046" t="inlineStr">
        <is>
          <t>Adyen</t>
        </is>
      </c>
      <c r="D1046" t="inlineStr">
        <is>
          <t>EUR</t>
        </is>
      </c>
      <c r="E1046" s="9" t="n">
        <v>0</v>
      </c>
      <c r="F1046" s="9" t="n">
        <v>0</v>
      </c>
      <c r="G1046" s="9" t="n">
        <v>-894651.1699999999</v>
      </c>
      <c r="H1046" s="9">
        <f>IF(D1046="USD",E1046*$N$1,E1046)</f>
        <v/>
      </c>
      <c r="I1046" s="9">
        <f>IF(D1046="USD",F1046*$N$1,F1046)</f>
        <v/>
      </c>
      <c r="J1046" s="9">
        <f>IF(D1046="USD",G1046*$N$1,G1046)</f>
        <v/>
      </c>
      <c r="K1046" s="9">
        <f>H1046+I1046</f>
        <v/>
      </c>
    </row>
    <row r="1047">
      <c r="A1047" s="8" t="n">
        <v>46141</v>
      </c>
      <c r="B1047" t="inlineStr">
        <is>
          <t>2026-W18</t>
        </is>
      </c>
      <c r="C1047" t="inlineStr">
        <is>
          <t>Adyen</t>
        </is>
      </c>
      <c r="D1047" t="inlineStr">
        <is>
          <t>EUR</t>
        </is>
      </c>
      <c r="E1047" s="9" t="n">
        <v>652489.71</v>
      </c>
      <c r="F1047" s="9" t="n">
        <v>-747830.52</v>
      </c>
      <c r="G1047" s="9" t="n">
        <v>0</v>
      </c>
      <c r="H1047" s="9">
        <f>IF(D1047="USD",E1047*$N$1,E1047)</f>
        <v/>
      </c>
      <c r="I1047" s="9">
        <f>IF(D1047="USD",F1047*$N$1,F1047)</f>
        <v/>
      </c>
      <c r="J1047" s="9">
        <f>IF(D1047="USD",G1047*$N$1,G1047)</f>
        <v/>
      </c>
      <c r="K1047" s="9">
        <f>H1047+I1047</f>
        <v/>
      </c>
    </row>
    <row r="1048">
      <c r="A1048" s="8" t="n">
        <v>46141</v>
      </c>
      <c r="B1048" t="inlineStr">
        <is>
          <t>2026-W18</t>
        </is>
      </c>
      <c r="C1048" t="inlineStr">
        <is>
          <t>Adyen</t>
        </is>
      </c>
      <c r="D1048" t="inlineStr">
        <is>
          <t>EUR</t>
        </is>
      </c>
      <c r="E1048" s="9" t="n">
        <v>81281.99000000001</v>
      </c>
      <c r="F1048" s="9" t="n">
        <v>0</v>
      </c>
      <c r="G1048" s="9" t="n">
        <v>0</v>
      </c>
      <c r="H1048" s="9">
        <f>IF(D1048="USD",E1048*$N$1,E1048)</f>
        <v/>
      </c>
      <c r="I1048" s="9">
        <f>IF(D1048="USD",F1048*$N$1,F1048)</f>
        <v/>
      </c>
      <c r="J1048" s="9">
        <f>IF(D1048="USD",G1048*$N$1,G1048)</f>
        <v/>
      </c>
      <c r="K1048" s="9">
        <f>H1048+I1048</f>
        <v/>
      </c>
    </row>
    <row r="1049">
      <c r="A1049" s="8" t="n">
        <v>46141</v>
      </c>
      <c r="B1049" t="inlineStr">
        <is>
          <t>2026-W18</t>
        </is>
      </c>
      <c r="C1049" t="inlineStr">
        <is>
          <t>Nuvei</t>
        </is>
      </c>
      <c r="D1049" t="inlineStr">
        <is>
          <t>EUR</t>
        </is>
      </c>
      <c r="E1049" s="9" t="n">
        <v>0</v>
      </c>
      <c r="F1049" s="9" t="n">
        <v>0</v>
      </c>
      <c r="G1049" s="9" t="n">
        <v>-358451.05</v>
      </c>
      <c r="H1049" s="9">
        <f>IF(D1049="USD",E1049*$N$1,E1049)</f>
        <v/>
      </c>
      <c r="I1049" s="9">
        <f>IF(D1049="USD",F1049*$N$1,F1049)</f>
        <v/>
      </c>
      <c r="J1049" s="9">
        <f>IF(D1049="USD",G1049*$N$1,G1049)</f>
        <v/>
      </c>
      <c r="K1049" s="9">
        <f>H1049+I1049</f>
        <v/>
      </c>
    </row>
    <row r="1050">
      <c r="A1050" s="8" t="n">
        <v>46141</v>
      </c>
      <c r="B1050" t="inlineStr">
        <is>
          <t>2026-W18</t>
        </is>
      </c>
      <c r="C1050" t="inlineStr">
        <is>
          <t>Nuvei</t>
        </is>
      </c>
      <c r="D1050" t="inlineStr">
        <is>
          <t>EUR</t>
        </is>
      </c>
      <c r="E1050" s="9" t="n">
        <v>0</v>
      </c>
      <c r="F1050" s="9" t="n">
        <v>0</v>
      </c>
      <c r="G1050" s="9" t="n">
        <v>-192023.21</v>
      </c>
      <c r="H1050" s="9">
        <f>IF(D1050="USD",E1050*$N$1,E1050)</f>
        <v/>
      </c>
      <c r="I1050" s="9">
        <f>IF(D1050="USD",F1050*$N$1,F1050)</f>
        <v/>
      </c>
      <c r="J1050" s="9">
        <f>IF(D1050="USD",G1050*$N$1,G1050)</f>
        <v/>
      </c>
      <c r="K1050" s="9">
        <f>H1050+I1050</f>
        <v/>
      </c>
    </row>
    <row r="1051">
      <c r="A1051" s="8" t="n">
        <v>46141</v>
      </c>
      <c r="B1051" t="inlineStr">
        <is>
          <t>2026-W18</t>
        </is>
      </c>
      <c r="C1051" t="inlineStr">
        <is>
          <t>Nuvei</t>
        </is>
      </c>
      <c r="D1051" t="inlineStr">
        <is>
          <t>EUR</t>
        </is>
      </c>
      <c r="E1051" s="9" t="n">
        <v>456564.5</v>
      </c>
      <c r="F1051" s="9" t="n">
        <v>-8342.93</v>
      </c>
      <c r="G1051" s="9" t="n">
        <v>0</v>
      </c>
      <c r="H1051" s="9">
        <f>IF(D1051="USD",E1051*$N$1,E1051)</f>
        <v/>
      </c>
      <c r="I1051" s="9">
        <f>IF(D1051="USD",F1051*$N$1,F1051)</f>
        <v/>
      </c>
      <c r="J1051" s="9">
        <f>IF(D1051="USD",G1051*$N$1,G1051)</f>
        <v/>
      </c>
      <c r="K1051" s="9">
        <f>H1051+I1051</f>
        <v/>
      </c>
    </row>
    <row r="1052">
      <c r="A1052" s="8" t="n">
        <v>46141</v>
      </c>
      <c r="B1052" t="inlineStr">
        <is>
          <t>2026-W18</t>
        </is>
      </c>
      <c r="C1052" t="inlineStr">
        <is>
          <t>Nuvei</t>
        </is>
      </c>
      <c r="D1052" t="inlineStr">
        <is>
          <t>EUR</t>
        </is>
      </c>
      <c r="E1052" s="9" t="n">
        <v>165857.98</v>
      </c>
      <c r="F1052" s="9" t="n">
        <v>-4548.23</v>
      </c>
      <c r="G1052" s="9" t="n">
        <v>0</v>
      </c>
      <c r="H1052" s="9">
        <f>IF(D1052="USD",E1052*$N$1,E1052)</f>
        <v/>
      </c>
      <c r="I1052" s="9">
        <f>IF(D1052="USD",F1052*$N$1,F1052)</f>
        <v/>
      </c>
      <c r="J1052" s="9">
        <f>IF(D1052="USD",G1052*$N$1,G1052)</f>
        <v/>
      </c>
      <c r="K1052" s="9">
        <f>H1052+I1052</f>
        <v/>
      </c>
    </row>
    <row r="1053">
      <c r="A1053" s="8" t="n">
        <v>46141</v>
      </c>
      <c r="B1053" t="inlineStr">
        <is>
          <t>2026-W18</t>
        </is>
      </c>
      <c r="C1053" t="inlineStr">
        <is>
          <t>Shift4</t>
        </is>
      </c>
      <c r="D1053" t="inlineStr">
        <is>
          <t>EUR</t>
        </is>
      </c>
      <c r="E1053" s="9" t="n">
        <v>0</v>
      </c>
      <c r="F1053" s="9" t="n">
        <v>0</v>
      </c>
      <c r="G1053" s="9" t="n">
        <v>-429113.27</v>
      </c>
      <c r="H1053" s="9">
        <f>IF(D1053="USD",E1053*$N$1,E1053)</f>
        <v/>
      </c>
      <c r="I1053" s="9">
        <f>IF(D1053="USD",F1053*$N$1,F1053)</f>
        <v/>
      </c>
      <c r="J1053" s="9">
        <f>IF(D1053="USD",G1053*$N$1,G1053)</f>
        <v/>
      </c>
      <c r="K1053" s="9">
        <f>H1053+I1053</f>
        <v/>
      </c>
    </row>
    <row r="1054">
      <c r="A1054" s="8" t="n">
        <v>46141</v>
      </c>
      <c r="B1054" t="inlineStr">
        <is>
          <t>2026-W18</t>
        </is>
      </c>
      <c r="C1054" t="inlineStr">
        <is>
          <t>Shift4</t>
        </is>
      </c>
      <c r="D1054" t="inlineStr">
        <is>
          <t>EUR</t>
        </is>
      </c>
      <c r="E1054" s="9" t="n">
        <v>593217.22</v>
      </c>
      <c r="F1054" s="9" t="n">
        <v>-5741.51</v>
      </c>
      <c r="G1054" s="9" t="n">
        <v>0</v>
      </c>
      <c r="H1054" s="9">
        <f>IF(D1054="USD",E1054*$N$1,E1054)</f>
        <v/>
      </c>
      <c r="I1054" s="9">
        <f>IF(D1054="USD",F1054*$N$1,F1054)</f>
        <v/>
      </c>
      <c r="J1054" s="9">
        <f>IF(D1054="USD",G1054*$N$1,G1054)</f>
        <v/>
      </c>
      <c r="K1054" s="9">
        <f>H1054+I1054</f>
        <v/>
      </c>
    </row>
    <row r="1055">
      <c r="A1055" s="8" t="n">
        <v>46142</v>
      </c>
      <c r="B1055" t="inlineStr">
        <is>
          <t>2026-W18</t>
        </is>
      </c>
      <c r="C1055" t="inlineStr">
        <is>
          <t>Adyen</t>
        </is>
      </c>
      <c r="D1055" t="inlineStr">
        <is>
          <t>EUR</t>
        </is>
      </c>
      <c r="E1055" s="9" t="n">
        <v>0</v>
      </c>
      <c r="F1055" s="9" t="n">
        <v>0</v>
      </c>
      <c r="G1055" s="9" t="n">
        <v>-752450.6899999999</v>
      </c>
      <c r="H1055" s="9">
        <f>IF(D1055="USD",E1055*$N$1,E1055)</f>
        <v/>
      </c>
      <c r="I1055" s="9">
        <f>IF(D1055="USD",F1055*$N$1,F1055)</f>
        <v/>
      </c>
      <c r="J1055" s="9">
        <f>IF(D1055="USD",G1055*$N$1,G1055)</f>
        <v/>
      </c>
      <c r="K1055" s="9">
        <f>H1055+I1055</f>
        <v/>
      </c>
    </row>
    <row r="1056">
      <c r="A1056" s="8" t="n">
        <v>46142</v>
      </c>
      <c r="B1056" t="inlineStr">
        <is>
          <t>2026-W18</t>
        </is>
      </c>
      <c r="C1056" t="inlineStr">
        <is>
          <t>Adyen</t>
        </is>
      </c>
      <c r="D1056" t="inlineStr">
        <is>
          <t>EUR</t>
        </is>
      </c>
      <c r="E1056" s="9" t="n">
        <v>624242.5</v>
      </c>
      <c r="F1056" s="9" t="n">
        <v>0</v>
      </c>
      <c r="G1056" s="9" t="n">
        <v>0</v>
      </c>
      <c r="H1056" s="9">
        <f>IF(D1056="USD",E1056*$N$1,E1056)</f>
        <v/>
      </c>
      <c r="I1056" s="9">
        <f>IF(D1056="USD",F1056*$N$1,F1056)</f>
        <v/>
      </c>
      <c r="J1056" s="9">
        <f>IF(D1056="USD",G1056*$N$1,G1056)</f>
        <v/>
      </c>
      <c r="K1056" s="9">
        <f>H1056+I1056</f>
        <v/>
      </c>
    </row>
    <row r="1057">
      <c r="A1057" s="8" t="n">
        <v>46142</v>
      </c>
      <c r="B1057" t="inlineStr">
        <is>
          <t>2026-W18</t>
        </is>
      </c>
      <c r="C1057" t="inlineStr">
        <is>
          <t>Adyen</t>
        </is>
      </c>
      <c r="D1057" t="inlineStr">
        <is>
          <t>EUR</t>
        </is>
      </c>
      <c r="E1057" s="9" t="n">
        <v>109305.31</v>
      </c>
      <c r="F1057" s="9" t="n">
        <v>0</v>
      </c>
      <c r="G1057" s="9" t="n">
        <v>0</v>
      </c>
      <c r="H1057" s="9">
        <f>IF(D1057="USD",E1057*$N$1,E1057)</f>
        <v/>
      </c>
      <c r="I1057" s="9">
        <f>IF(D1057="USD",F1057*$N$1,F1057)</f>
        <v/>
      </c>
      <c r="J1057" s="9">
        <f>IF(D1057="USD",G1057*$N$1,G1057)</f>
        <v/>
      </c>
      <c r="K1057" s="9">
        <f>H1057+I1057</f>
        <v/>
      </c>
    </row>
    <row r="1058">
      <c r="A1058" s="8" t="n">
        <v>46142</v>
      </c>
      <c r="B1058" t="inlineStr">
        <is>
          <t>2026-W18</t>
        </is>
      </c>
      <c r="C1058" t="inlineStr">
        <is>
          <t>Nuvei</t>
        </is>
      </c>
      <c r="D1058" t="inlineStr">
        <is>
          <t>EUR</t>
        </is>
      </c>
      <c r="E1058" s="9" t="n">
        <v>0</v>
      </c>
      <c r="F1058" s="9" t="n">
        <v>0</v>
      </c>
      <c r="G1058" s="9" t="n">
        <v>-114987.6</v>
      </c>
      <c r="H1058" s="9">
        <f>IF(D1058="USD",E1058*$N$1,E1058)</f>
        <v/>
      </c>
      <c r="I1058" s="9">
        <f>IF(D1058="USD",F1058*$N$1,F1058)</f>
        <v/>
      </c>
      <c r="J1058" s="9">
        <f>IF(D1058="USD",G1058*$N$1,G1058)</f>
        <v/>
      </c>
      <c r="K1058" s="9">
        <f>H1058+I1058</f>
        <v/>
      </c>
    </row>
    <row r="1059">
      <c r="A1059" s="8" t="n">
        <v>46142</v>
      </c>
      <c r="B1059" t="inlineStr">
        <is>
          <t>2026-W18</t>
        </is>
      </c>
      <c r="C1059" t="inlineStr">
        <is>
          <t>Nuvei</t>
        </is>
      </c>
      <c r="D1059" t="inlineStr">
        <is>
          <t>EUR</t>
        </is>
      </c>
      <c r="E1059" s="9" t="n">
        <v>0</v>
      </c>
      <c r="F1059" s="9" t="n">
        <v>0</v>
      </c>
      <c r="G1059" s="9" t="n">
        <v>-165830.55</v>
      </c>
      <c r="H1059" s="9">
        <f>IF(D1059="USD",E1059*$N$1,E1059)</f>
        <v/>
      </c>
      <c r="I1059" s="9">
        <f>IF(D1059="USD",F1059*$N$1,F1059)</f>
        <v/>
      </c>
      <c r="J1059" s="9">
        <f>IF(D1059="USD",G1059*$N$1,G1059)</f>
        <v/>
      </c>
      <c r="K1059" s="9">
        <f>H1059+I1059</f>
        <v/>
      </c>
    </row>
    <row r="1060">
      <c r="A1060" s="8" t="n">
        <v>46142</v>
      </c>
      <c r="B1060" t="inlineStr">
        <is>
          <t>2026-W18</t>
        </is>
      </c>
      <c r="C1060" t="inlineStr">
        <is>
          <t>Nuvei</t>
        </is>
      </c>
      <c r="D1060" t="inlineStr">
        <is>
          <t>EUR</t>
        </is>
      </c>
      <c r="E1060" s="9" t="n">
        <v>414491.92</v>
      </c>
      <c r="F1060" s="9" t="n">
        <v>-7832.19</v>
      </c>
      <c r="G1060" s="9" t="n">
        <v>0</v>
      </c>
      <c r="H1060" s="9">
        <f>IF(D1060="USD",E1060*$N$1,E1060)</f>
        <v/>
      </c>
      <c r="I1060" s="9">
        <f>IF(D1060="USD",F1060*$N$1,F1060)</f>
        <v/>
      </c>
      <c r="J1060" s="9">
        <f>IF(D1060="USD",G1060*$N$1,G1060)</f>
        <v/>
      </c>
      <c r="K1060" s="9">
        <f>H1060+I1060</f>
        <v/>
      </c>
    </row>
    <row r="1061">
      <c r="A1061" s="8" t="n">
        <v>46142</v>
      </c>
      <c r="B1061" t="inlineStr">
        <is>
          <t>2026-W18</t>
        </is>
      </c>
      <c r="C1061" t="inlineStr">
        <is>
          <t>Nuvei</t>
        </is>
      </c>
      <c r="D1061" t="inlineStr">
        <is>
          <t>EUR</t>
        </is>
      </c>
      <c r="E1061" s="9" t="n">
        <v>220393.99</v>
      </c>
      <c r="F1061" s="9" t="n">
        <v>-6176.01</v>
      </c>
      <c r="G1061" s="9" t="n">
        <v>0</v>
      </c>
      <c r="H1061" s="9">
        <f>IF(D1061="USD",E1061*$N$1,E1061)</f>
        <v/>
      </c>
      <c r="I1061" s="9">
        <f>IF(D1061="USD",F1061*$N$1,F1061)</f>
        <v/>
      </c>
      <c r="J1061" s="9">
        <f>IF(D1061="USD",G1061*$N$1,G1061)</f>
        <v/>
      </c>
      <c r="K1061" s="9">
        <f>H1061+I1061</f>
        <v/>
      </c>
    </row>
    <row r="1062">
      <c r="A1062" s="8" t="n">
        <v>46142</v>
      </c>
      <c r="B1062" t="inlineStr">
        <is>
          <t>2026-W18</t>
        </is>
      </c>
      <c r="C1062" t="inlineStr">
        <is>
          <t>Shift4</t>
        </is>
      </c>
      <c r="D1062" t="inlineStr">
        <is>
          <t>EUR</t>
        </is>
      </c>
      <c r="E1062" s="9" t="n">
        <v>0</v>
      </c>
      <c r="F1062" s="9" t="n">
        <v>0</v>
      </c>
      <c r="G1062" s="9" t="n">
        <v>-1466049.9</v>
      </c>
      <c r="H1062" s="9">
        <f>IF(D1062="USD",E1062*$N$1,E1062)</f>
        <v/>
      </c>
      <c r="I1062" s="9">
        <f>IF(D1062="USD",F1062*$N$1,F1062)</f>
        <v/>
      </c>
      <c r="J1062" s="9">
        <f>IF(D1062="USD",G1062*$N$1,G1062)</f>
        <v/>
      </c>
      <c r="K1062" s="9">
        <f>H1062+I1062</f>
        <v/>
      </c>
    </row>
    <row r="1063">
      <c r="A1063" s="8" t="n">
        <v>46142</v>
      </c>
      <c r="B1063" t="inlineStr">
        <is>
          <t>2026-W18</t>
        </is>
      </c>
      <c r="C1063" t="inlineStr">
        <is>
          <t>Shift4</t>
        </is>
      </c>
      <c r="D1063" t="inlineStr">
        <is>
          <t>EUR</t>
        </is>
      </c>
      <c r="E1063" s="9" t="n">
        <v>555274.4300000001</v>
      </c>
      <c r="F1063" s="9" t="n">
        <v>-5943.23</v>
      </c>
      <c r="G1063" s="9" t="n">
        <v>0</v>
      </c>
      <c r="H1063" s="9">
        <f>IF(D1063="USD",E1063*$N$1,E1063)</f>
        <v/>
      </c>
      <c r="I1063" s="9">
        <f>IF(D1063="USD",F1063*$N$1,F1063)</f>
        <v/>
      </c>
      <c r="J1063" s="9">
        <f>IF(D1063="USD",G1063*$N$1,G1063)</f>
        <v/>
      </c>
      <c r="K1063" s="9">
        <f>H1063+I1063</f>
        <v/>
      </c>
    </row>
    <row r="1064">
      <c r="A1064" s="8" t="n">
        <v>46143</v>
      </c>
      <c r="B1064" t="inlineStr">
        <is>
          <t>2026-W18</t>
        </is>
      </c>
      <c r="C1064" t="inlineStr">
        <is>
          <t>Adyen</t>
        </is>
      </c>
      <c r="D1064" t="inlineStr">
        <is>
          <t>EUR</t>
        </is>
      </c>
      <c r="E1064" s="9" t="n">
        <v>421221.19</v>
      </c>
      <c r="F1064" s="9" t="n">
        <v>-230395.9700000002</v>
      </c>
      <c r="G1064" s="9" t="n">
        <v>0</v>
      </c>
      <c r="H1064" s="9">
        <f>IF(D1064="USD",E1064*$N$1,E1064)</f>
        <v/>
      </c>
      <c r="I1064" s="9">
        <f>IF(D1064="USD",F1064*$N$1,F1064)</f>
        <v/>
      </c>
      <c r="J1064" s="9">
        <f>IF(D1064="USD",G1064*$N$1,G1064)</f>
        <v/>
      </c>
      <c r="K1064" s="9">
        <f>H1064+I1064</f>
        <v/>
      </c>
    </row>
    <row r="1065">
      <c r="A1065" s="8" t="n">
        <v>46143</v>
      </c>
      <c r="B1065" t="inlineStr">
        <is>
          <t>2026-W18</t>
        </is>
      </c>
      <c r="C1065" t="inlineStr">
        <is>
          <t>Adyen</t>
        </is>
      </c>
      <c r="D1065" t="inlineStr">
        <is>
          <t>EUR</t>
        </is>
      </c>
      <c r="E1065" s="9" t="n">
        <v>68243.09</v>
      </c>
      <c r="F1065" s="9" t="n">
        <v>0</v>
      </c>
      <c r="G1065" s="9" t="n">
        <v>0</v>
      </c>
      <c r="H1065" s="9">
        <f>IF(D1065="USD",E1065*$N$1,E1065)</f>
        <v/>
      </c>
      <c r="I1065" s="9">
        <f>IF(D1065="USD",F1065*$N$1,F1065)</f>
        <v/>
      </c>
      <c r="J1065" s="9">
        <f>IF(D1065="USD",G1065*$N$1,G1065)</f>
        <v/>
      </c>
      <c r="K1065" s="9">
        <f>H1065+I1065</f>
        <v/>
      </c>
    </row>
    <row r="1066">
      <c r="A1066" s="8" t="n">
        <v>46143</v>
      </c>
      <c r="B1066" t="inlineStr">
        <is>
          <t>2026-W18</t>
        </is>
      </c>
      <c r="C1066" t="inlineStr">
        <is>
          <t>Nuvei</t>
        </is>
      </c>
      <c r="D1066" t="inlineStr">
        <is>
          <t>EUR</t>
        </is>
      </c>
      <c r="E1066" s="9" t="n">
        <v>339740.13</v>
      </c>
      <c r="F1066" s="9" t="n">
        <v>-5466.16</v>
      </c>
      <c r="G1066" s="9" t="n">
        <v>0</v>
      </c>
      <c r="H1066" s="9">
        <f>IF(D1066="USD",E1066*$N$1,E1066)</f>
        <v/>
      </c>
      <c r="I1066" s="9">
        <f>IF(D1066="USD",F1066*$N$1,F1066)</f>
        <v/>
      </c>
      <c r="J1066" s="9">
        <f>IF(D1066="USD",G1066*$N$1,G1066)</f>
        <v/>
      </c>
      <c r="K1066" s="9">
        <f>H1066+I1066</f>
        <v/>
      </c>
    </row>
    <row r="1067">
      <c r="A1067" s="8" t="n">
        <v>46143</v>
      </c>
      <c r="B1067" t="inlineStr">
        <is>
          <t>2026-W18</t>
        </is>
      </c>
      <c r="C1067" t="inlineStr">
        <is>
          <t>Nuvei</t>
        </is>
      </c>
      <c r="D1067" t="inlineStr">
        <is>
          <t>EUR</t>
        </is>
      </c>
      <c r="E1067" s="9" t="n">
        <v>161946.51</v>
      </c>
      <c r="F1067" s="9" t="n">
        <v>-4609.42</v>
      </c>
      <c r="G1067" s="9" t="n">
        <v>0</v>
      </c>
      <c r="H1067" s="9">
        <f>IF(D1067="USD",E1067*$N$1,E1067)</f>
        <v/>
      </c>
      <c r="I1067" s="9">
        <f>IF(D1067="USD",F1067*$N$1,F1067)</f>
        <v/>
      </c>
      <c r="J1067" s="9">
        <f>IF(D1067="USD",G1067*$N$1,G1067)</f>
        <v/>
      </c>
      <c r="K1067" s="9">
        <f>H1067+I1067</f>
        <v/>
      </c>
    </row>
    <row r="1068">
      <c r="A1068" s="8" t="n">
        <v>46143</v>
      </c>
      <c r="B1068" t="inlineStr">
        <is>
          <t>2026-W18</t>
        </is>
      </c>
      <c r="C1068" t="inlineStr">
        <is>
          <t>Shift4</t>
        </is>
      </c>
      <c r="D1068" t="inlineStr">
        <is>
          <t>EUR</t>
        </is>
      </c>
      <c r="E1068" s="9" t="n">
        <v>515586.4</v>
      </c>
      <c r="F1068" s="9" t="n">
        <v>-4564.62</v>
      </c>
      <c r="G1068" s="9" t="n">
        <v>0</v>
      </c>
      <c r="H1068" s="9">
        <f>IF(D1068="USD",E1068*$N$1,E1068)</f>
        <v/>
      </c>
      <c r="I1068" s="9">
        <f>IF(D1068="USD",F1068*$N$1,F1068)</f>
        <v/>
      </c>
      <c r="J1068" s="9">
        <f>IF(D1068="USD",G1068*$N$1,G1068)</f>
        <v/>
      </c>
      <c r="K1068" s="9">
        <f>H1068+I1068</f>
        <v/>
      </c>
    </row>
    <row r="1069">
      <c r="A1069" s="8" t="n">
        <v>46144</v>
      </c>
      <c r="B1069" t="inlineStr">
        <is>
          <t>2026-W18</t>
        </is>
      </c>
      <c r="C1069" t="inlineStr">
        <is>
          <t>Adyen</t>
        </is>
      </c>
      <c r="D1069" t="inlineStr">
        <is>
          <t>EUR</t>
        </is>
      </c>
      <c r="E1069" s="9" t="n">
        <v>374055.84</v>
      </c>
      <c r="F1069" s="9" t="n">
        <v>0</v>
      </c>
      <c r="G1069" s="9" t="n">
        <v>0</v>
      </c>
      <c r="H1069" s="9">
        <f>IF(D1069="USD",E1069*$N$1,E1069)</f>
        <v/>
      </c>
      <c r="I1069" s="9">
        <f>IF(D1069="USD",F1069*$N$1,F1069)</f>
        <v/>
      </c>
      <c r="J1069" s="9">
        <f>IF(D1069="USD",G1069*$N$1,G1069)</f>
        <v/>
      </c>
      <c r="K1069" s="9">
        <f>H1069+I1069</f>
        <v/>
      </c>
    </row>
    <row r="1070">
      <c r="A1070" s="8" t="n">
        <v>46144</v>
      </c>
      <c r="B1070" t="inlineStr">
        <is>
          <t>2026-W18</t>
        </is>
      </c>
      <c r="C1070" t="inlineStr">
        <is>
          <t>Adyen</t>
        </is>
      </c>
      <c r="D1070" t="inlineStr">
        <is>
          <t>EUR</t>
        </is>
      </c>
      <c r="E1070" s="9" t="n">
        <v>76391.19</v>
      </c>
      <c r="F1070" s="9" t="n">
        <v>0</v>
      </c>
      <c r="G1070" s="9" t="n">
        <v>0</v>
      </c>
      <c r="H1070" s="9">
        <f>IF(D1070="USD",E1070*$N$1,E1070)</f>
        <v/>
      </c>
      <c r="I1070" s="9">
        <f>IF(D1070="USD",F1070*$N$1,F1070)</f>
        <v/>
      </c>
      <c r="J1070" s="9">
        <f>IF(D1070="USD",G1070*$N$1,G1070)</f>
        <v/>
      </c>
      <c r="K1070" s="9">
        <f>H1070+I1070</f>
        <v/>
      </c>
    </row>
    <row r="1071">
      <c r="A1071" s="8" t="n">
        <v>46144</v>
      </c>
      <c r="B1071" t="inlineStr">
        <is>
          <t>2026-W18</t>
        </is>
      </c>
      <c r="C1071" t="inlineStr">
        <is>
          <t>Nuvei</t>
        </is>
      </c>
      <c r="D1071" t="inlineStr">
        <is>
          <t>EUR</t>
        </is>
      </c>
      <c r="E1071" s="9" t="n">
        <v>272057.24</v>
      </c>
      <c r="F1071" s="9" t="n">
        <v>-4589.99</v>
      </c>
      <c r="G1071" s="9" t="n">
        <v>0</v>
      </c>
      <c r="H1071" s="9">
        <f>IF(D1071="USD",E1071*$N$1,E1071)</f>
        <v/>
      </c>
      <c r="I1071" s="9">
        <f>IF(D1071="USD",F1071*$N$1,F1071)</f>
        <v/>
      </c>
      <c r="J1071" s="9">
        <f>IF(D1071="USD",G1071*$N$1,G1071)</f>
        <v/>
      </c>
      <c r="K1071" s="9">
        <f>H1071+I1071</f>
        <v/>
      </c>
    </row>
    <row r="1072">
      <c r="A1072" s="8" t="n">
        <v>46144</v>
      </c>
      <c r="B1072" t="inlineStr">
        <is>
          <t>2026-W18</t>
        </is>
      </c>
      <c r="C1072" t="inlineStr">
        <is>
          <t>Nuvei</t>
        </is>
      </c>
      <c r="D1072" t="inlineStr">
        <is>
          <t>EUR</t>
        </is>
      </c>
      <c r="E1072" s="9" t="n">
        <v>200209.39</v>
      </c>
      <c r="F1072" s="9" t="n">
        <v>-5698.52</v>
      </c>
      <c r="G1072" s="9" t="n">
        <v>0</v>
      </c>
      <c r="H1072" s="9">
        <f>IF(D1072="USD",E1072*$N$1,E1072)</f>
        <v/>
      </c>
      <c r="I1072" s="9">
        <f>IF(D1072="USD",F1072*$N$1,F1072)</f>
        <v/>
      </c>
      <c r="J1072" s="9">
        <f>IF(D1072="USD",G1072*$N$1,G1072)</f>
        <v/>
      </c>
      <c r="K1072" s="9">
        <f>H1072+I1072</f>
        <v/>
      </c>
    </row>
    <row r="1073">
      <c r="A1073" s="8" t="n">
        <v>46144</v>
      </c>
      <c r="B1073" t="inlineStr">
        <is>
          <t>2026-W18</t>
        </is>
      </c>
      <c r="C1073" t="inlineStr">
        <is>
          <t>Shift4</t>
        </is>
      </c>
      <c r="D1073" t="inlineStr">
        <is>
          <t>EUR</t>
        </is>
      </c>
      <c r="E1073" s="9" t="n">
        <v>418115.95</v>
      </c>
      <c r="F1073" s="9" t="n">
        <v>-3721.36</v>
      </c>
      <c r="G1073" s="9" t="n">
        <v>0</v>
      </c>
      <c r="H1073" s="9">
        <f>IF(D1073="USD",E1073*$N$1,E1073)</f>
        <v/>
      </c>
      <c r="I1073" s="9">
        <f>IF(D1073="USD",F1073*$N$1,F1073)</f>
        <v/>
      </c>
      <c r="J1073" s="9">
        <f>IF(D1073="USD",G1073*$N$1,G1073)</f>
        <v/>
      </c>
      <c r="K1073" s="9">
        <f>H1073+I1073</f>
        <v/>
      </c>
    </row>
    <row r="1074">
      <c r="A1074" s="8" t="n">
        <v>46145</v>
      </c>
      <c r="B1074" t="inlineStr">
        <is>
          <t>2026-W18</t>
        </is>
      </c>
      <c r="C1074" t="inlineStr">
        <is>
          <t>Adyen</t>
        </is>
      </c>
      <c r="D1074" t="inlineStr">
        <is>
          <t>EUR</t>
        </is>
      </c>
      <c r="E1074" s="9" t="n">
        <v>441835.28</v>
      </c>
      <c r="F1074" s="9" t="n">
        <v>0</v>
      </c>
      <c r="G1074" s="9" t="n">
        <v>0</v>
      </c>
      <c r="H1074" s="9">
        <f>IF(D1074="USD",E1074*$N$1,E1074)</f>
        <v/>
      </c>
      <c r="I1074" s="9">
        <f>IF(D1074="USD",F1074*$N$1,F1074)</f>
        <v/>
      </c>
      <c r="J1074" s="9">
        <f>IF(D1074="USD",G1074*$N$1,G1074)</f>
        <v/>
      </c>
      <c r="K1074" s="9">
        <f>H1074+I1074</f>
        <v/>
      </c>
    </row>
    <row r="1075">
      <c r="A1075" s="8" t="n">
        <v>46145</v>
      </c>
      <c r="B1075" t="inlineStr">
        <is>
          <t>2026-W18</t>
        </is>
      </c>
      <c r="C1075" t="inlineStr">
        <is>
          <t>Adyen</t>
        </is>
      </c>
      <c r="D1075" t="inlineStr">
        <is>
          <t>EUR</t>
        </is>
      </c>
      <c r="E1075" s="9" t="n">
        <v>24853.7</v>
      </c>
      <c r="F1075" s="9" t="n">
        <v>0</v>
      </c>
      <c r="G1075" s="9" t="n">
        <v>0</v>
      </c>
      <c r="H1075" s="9">
        <f>IF(D1075="USD",E1075*$N$1,E1075)</f>
        <v/>
      </c>
      <c r="I1075" s="9">
        <f>IF(D1075="USD",F1075*$N$1,F1075)</f>
        <v/>
      </c>
      <c r="J1075" s="9">
        <f>IF(D1075="USD",G1075*$N$1,G1075)</f>
        <v/>
      </c>
      <c r="K1075" s="9">
        <f>H1075+I1075</f>
        <v/>
      </c>
    </row>
    <row r="1076">
      <c r="A1076" s="8" t="n">
        <v>46145</v>
      </c>
      <c r="B1076" t="inlineStr">
        <is>
          <t>2026-W18</t>
        </is>
      </c>
      <c r="C1076" t="inlineStr">
        <is>
          <t>Nuvei</t>
        </is>
      </c>
      <c r="D1076" t="inlineStr">
        <is>
          <t>EUR</t>
        </is>
      </c>
      <c r="E1076" s="9" t="n">
        <v>351534.86</v>
      </c>
      <c r="F1076" s="9" t="n">
        <v>-5561.29</v>
      </c>
      <c r="G1076" s="9" t="n">
        <v>0</v>
      </c>
      <c r="H1076" s="9">
        <f>IF(D1076="USD",E1076*$N$1,E1076)</f>
        <v/>
      </c>
      <c r="I1076" s="9">
        <f>IF(D1076="USD",F1076*$N$1,F1076)</f>
        <v/>
      </c>
      <c r="J1076" s="9">
        <f>IF(D1076="USD",G1076*$N$1,G1076)</f>
        <v/>
      </c>
      <c r="K1076" s="9">
        <f>H1076+I1076</f>
        <v/>
      </c>
    </row>
    <row r="1077">
      <c r="A1077" s="8" t="n">
        <v>46145</v>
      </c>
      <c r="B1077" t="inlineStr">
        <is>
          <t>2026-W18</t>
        </is>
      </c>
      <c r="C1077" t="inlineStr">
        <is>
          <t>Nuvei</t>
        </is>
      </c>
      <c r="D1077" t="inlineStr">
        <is>
          <t>EUR</t>
        </is>
      </c>
      <c r="E1077" s="9" t="n">
        <v>74037.91</v>
      </c>
      <c r="F1077" s="9" t="n">
        <v>-2076</v>
      </c>
      <c r="G1077" s="9" t="n">
        <v>0</v>
      </c>
      <c r="H1077" s="9">
        <f>IF(D1077="USD",E1077*$N$1,E1077)</f>
        <v/>
      </c>
      <c r="I1077" s="9">
        <f>IF(D1077="USD",F1077*$N$1,F1077)</f>
        <v/>
      </c>
      <c r="J1077" s="9">
        <f>IF(D1077="USD",G1077*$N$1,G1077)</f>
        <v/>
      </c>
      <c r="K1077" s="9">
        <f>H1077+I1077</f>
        <v/>
      </c>
    </row>
    <row r="1078">
      <c r="A1078" s="8" t="n">
        <v>46145</v>
      </c>
      <c r="B1078" t="inlineStr">
        <is>
          <t>2026-W18</t>
        </is>
      </c>
      <c r="C1078" t="inlineStr">
        <is>
          <t>Shift4</t>
        </is>
      </c>
      <c r="D1078" t="inlineStr">
        <is>
          <t>EUR</t>
        </is>
      </c>
      <c r="E1078" s="9" t="n">
        <v>570854.72</v>
      </c>
      <c r="F1078" s="9" t="n">
        <v>-4628.81</v>
      </c>
      <c r="G1078" s="9" t="n">
        <v>0</v>
      </c>
      <c r="H1078" s="9">
        <f>IF(D1078="USD",E1078*$N$1,E1078)</f>
        <v/>
      </c>
      <c r="I1078" s="9">
        <f>IF(D1078="USD",F1078*$N$1,F1078)</f>
        <v/>
      </c>
      <c r="J1078" s="9">
        <f>IF(D1078="USD",G1078*$N$1,G1078)</f>
        <v/>
      </c>
      <c r="K1078" s="9">
        <f>H1078+I1078</f>
        <v/>
      </c>
    </row>
    <row r="1079">
      <c r="A1079" s="8" t="n">
        <v>46146</v>
      </c>
      <c r="B1079" t="inlineStr">
        <is>
          <t>2026-W19</t>
        </is>
      </c>
      <c r="C1079" t="inlineStr">
        <is>
          <t>Adyen</t>
        </is>
      </c>
      <c r="D1079" t="inlineStr">
        <is>
          <t>EUR</t>
        </is>
      </c>
      <c r="E1079" s="9" t="n">
        <v>0</v>
      </c>
      <c r="F1079" s="9" t="n">
        <v>0</v>
      </c>
      <c r="G1079" s="9" t="n">
        <v>-719488.99</v>
      </c>
      <c r="H1079" s="9">
        <f>IF(D1079="USD",E1079*$N$1,E1079)</f>
        <v/>
      </c>
      <c r="I1079" s="9">
        <f>IF(D1079="USD",F1079*$N$1,F1079)</f>
        <v/>
      </c>
      <c r="J1079" s="9">
        <f>IF(D1079="USD",G1079*$N$1,G1079)</f>
        <v/>
      </c>
      <c r="K1079" s="9">
        <f>H1079+I1079</f>
        <v/>
      </c>
    </row>
    <row r="1080">
      <c r="A1080" s="8" t="n">
        <v>46146</v>
      </c>
      <c r="B1080" t="inlineStr">
        <is>
          <t>2026-W19</t>
        </is>
      </c>
      <c r="C1080" t="inlineStr">
        <is>
          <t>Adyen</t>
        </is>
      </c>
      <c r="D1080" t="inlineStr">
        <is>
          <t>EUR</t>
        </is>
      </c>
      <c r="E1080" s="9" t="n">
        <v>769539.02</v>
      </c>
      <c r="F1080" s="9" t="n">
        <v>922535.0599999999</v>
      </c>
      <c r="G1080" s="9" t="n">
        <v>0</v>
      </c>
      <c r="H1080" s="9">
        <f>IF(D1080="USD",E1080*$N$1,E1080)</f>
        <v/>
      </c>
      <c r="I1080" s="9">
        <f>IF(D1080="USD",F1080*$N$1,F1080)</f>
        <v/>
      </c>
      <c r="J1080" s="9">
        <f>IF(D1080="USD",G1080*$N$1,G1080)</f>
        <v/>
      </c>
      <c r="K1080" s="9">
        <f>H1080+I1080</f>
        <v/>
      </c>
    </row>
    <row r="1081">
      <c r="A1081" s="8" t="n">
        <v>46146</v>
      </c>
      <c r="B1081" t="inlineStr">
        <is>
          <t>2026-W19</t>
        </is>
      </c>
      <c r="C1081" t="inlineStr">
        <is>
          <t>Adyen</t>
        </is>
      </c>
      <c r="D1081" t="inlineStr">
        <is>
          <t>EUR</t>
        </is>
      </c>
      <c r="E1081" s="9" t="n">
        <v>70228.85000000001</v>
      </c>
      <c r="F1081" s="9" t="n">
        <v>0</v>
      </c>
      <c r="G1081" s="9" t="n">
        <v>0</v>
      </c>
      <c r="H1081" s="9">
        <f>IF(D1081="USD",E1081*$N$1,E1081)</f>
        <v/>
      </c>
      <c r="I1081" s="9">
        <f>IF(D1081="USD",F1081*$N$1,F1081)</f>
        <v/>
      </c>
      <c r="J1081" s="9">
        <f>IF(D1081="USD",G1081*$N$1,G1081)</f>
        <v/>
      </c>
      <c r="K1081" s="9">
        <f>H1081+I1081</f>
        <v/>
      </c>
    </row>
    <row r="1082">
      <c r="A1082" s="8" t="n">
        <v>46146</v>
      </c>
      <c r="B1082" t="inlineStr">
        <is>
          <t>2026-W19</t>
        </is>
      </c>
      <c r="C1082" t="inlineStr">
        <is>
          <t>Nuvei</t>
        </is>
      </c>
      <c r="D1082" t="inlineStr">
        <is>
          <t>EUR</t>
        </is>
      </c>
      <c r="E1082" s="9" t="n">
        <v>0</v>
      </c>
      <c r="F1082" s="9" t="n">
        <v>0</v>
      </c>
      <c r="G1082" s="9" t="n">
        <v>-990345.21</v>
      </c>
      <c r="H1082" s="9">
        <f>IF(D1082="USD",E1082*$N$1,E1082)</f>
        <v/>
      </c>
      <c r="I1082" s="9">
        <f>IF(D1082="USD",F1082*$N$1,F1082)</f>
        <v/>
      </c>
      <c r="J1082" s="9">
        <f>IF(D1082="USD",G1082*$N$1,G1082)</f>
        <v/>
      </c>
      <c r="K1082" s="9">
        <f>H1082+I1082</f>
        <v/>
      </c>
    </row>
    <row r="1083">
      <c r="A1083" s="8" t="n">
        <v>46146</v>
      </c>
      <c r="B1083" t="inlineStr">
        <is>
          <t>2026-W19</t>
        </is>
      </c>
      <c r="C1083" t="inlineStr">
        <is>
          <t>Nuvei</t>
        </is>
      </c>
      <c r="D1083" t="inlineStr">
        <is>
          <t>EUR</t>
        </is>
      </c>
      <c r="E1083" s="9" t="n">
        <v>0</v>
      </c>
      <c r="F1083" s="9" t="n">
        <v>0</v>
      </c>
      <c r="G1083" s="9" t="n">
        <v>-589675.3</v>
      </c>
      <c r="H1083" s="9">
        <f>IF(D1083="USD",E1083*$N$1,E1083)</f>
        <v/>
      </c>
      <c r="I1083" s="9">
        <f>IF(D1083="USD",F1083*$N$1,F1083)</f>
        <v/>
      </c>
      <c r="J1083" s="9">
        <f>IF(D1083="USD",G1083*$N$1,G1083)</f>
        <v/>
      </c>
      <c r="K1083" s="9">
        <f>H1083+I1083</f>
        <v/>
      </c>
    </row>
    <row r="1084">
      <c r="A1084" s="8" t="n">
        <v>46146</v>
      </c>
      <c r="B1084" t="inlineStr">
        <is>
          <t>2026-W19</t>
        </is>
      </c>
      <c r="C1084" t="inlineStr">
        <is>
          <t>Nuvei</t>
        </is>
      </c>
      <c r="D1084" t="inlineStr">
        <is>
          <t>EUR</t>
        </is>
      </c>
      <c r="E1084" s="9" t="n">
        <v>0</v>
      </c>
      <c r="F1084" s="9" t="n">
        <v>0</v>
      </c>
      <c r="G1084" s="9" t="n">
        <v>-435889.9</v>
      </c>
      <c r="H1084" s="9">
        <f>IF(D1084="USD",E1084*$N$1,E1084)</f>
        <v/>
      </c>
      <c r="I1084" s="9">
        <f>IF(D1084="USD",F1084*$N$1,F1084)</f>
        <v/>
      </c>
      <c r="J1084" s="9">
        <f>IF(D1084="USD",G1084*$N$1,G1084)</f>
        <v/>
      </c>
      <c r="K1084" s="9">
        <f>H1084+I1084</f>
        <v/>
      </c>
    </row>
    <row r="1085">
      <c r="A1085" s="8" t="n">
        <v>46146</v>
      </c>
      <c r="B1085" t="inlineStr">
        <is>
          <t>2026-W19</t>
        </is>
      </c>
      <c r="C1085" t="inlineStr">
        <is>
          <t>Nuvei</t>
        </is>
      </c>
      <c r="D1085" t="inlineStr">
        <is>
          <t>EUR</t>
        </is>
      </c>
      <c r="E1085" s="9" t="n">
        <v>0</v>
      </c>
      <c r="F1085" s="9" t="n">
        <v>0</v>
      </c>
      <c r="G1085" s="9" t="n">
        <v>-185328.97</v>
      </c>
      <c r="H1085" s="9">
        <f>IF(D1085="USD",E1085*$N$1,E1085)</f>
        <v/>
      </c>
      <c r="I1085" s="9">
        <f>IF(D1085="USD",F1085*$N$1,F1085)</f>
        <v/>
      </c>
      <c r="J1085" s="9">
        <f>IF(D1085="USD",G1085*$N$1,G1085)</f>
        <v/>
      </c>
      <c r="K1085" s="9">
        <f>H1085+I1085</f>
        <v/>
      </c>
    </row>
    <row r="1086">
      <c r="A1086" s="8" t="n">
        <v>46146</v>
      </c>
      <c r="B1086" t="inlineStr">
        <is>
          <t>2026-W19</t>
        </is>
      </c>
      <c r="C1086" t="inlineStr">
        <is>
          <t>Nuvei</t>
        </is>
      </c>
      <c r="D1086" t="inlineStr">
        <is>
          <t>EUR</t>
        </is>
      </c>
      <c r="E1086" s="9" t="n">
        <v>418662.99</v>
      </c>
      <c r="F1086" s="9" t="n">
        <v>-8732.139999999999</v>
      </c>
      <c r="G1086" s="9" t="n">
        <v>0</v>
      </c>
      <c r="H1086" s="9">
        <f>IF(D1086="USD",E1086*$N$1,E1086)</f>
        <v/>
      </c>
      <c r="I1086" s="9">
        <f>IF(D1086="USD",F1086*$N$1,F1086)</f>
        <v/>
      </c>
      <c r="J1086" s="9">
        <f>IF(D1086="USD",G1086*$N$1,G1086)</f>
        <v/>
      </c>
      <c r="K1086" s="9">
        <f>H1086+I1086</f>
        <v/>
      </c>
    </row>
    <row r="1087">
      <c r="A1087" s="8" t="n">
        <v>46146</v>
      </c>
      <c r="B1087" t="inlineStr">
        <is>
          <t>2026-W19</t>
        </is>
      </c>
      <c r="C1087" t="inlineStr">
        <is>
          <t>Nuvei</t>
        </is>
      </c>
      <c r="D1087" t="inlineStr">
        <is>
          <t>EUR</t>
        </is>
      </c>
      <c r="E1087" s="9" t="n">
        <v>129750.25</v>
      </c>
      <c r="F1087" s="9" t="n">
        <v>-3757.67</v>
      </c>
      <c r="G1087" s="9" t="n">
        <v>0</v>
      </c>
      <c r="H1087" s="9">
        <f>IF(D1087="USD",E1087*$N$1,E1087)</f>
        <v/>
      </c>
      <c r="I1087" s="9">
        <f>IF(D1087="USD",F1087*$N$1,F1087)</f>
        <v/>
      </c>
      <c r="J1087" s="9">
        <f>IF(D1087="USD",G1087*$N$1,G1087)</f>
        <v/>
      </c>
      <c r="K1087" s="9">
        <f>H1087+I1087</f>
        <v/>
      </c>
    </row>
    <row r="1088">
      <c r="A1088" s="8" t="n">
        <v>46146</v>
      </c>
      <c r="B1088" t="inlineStr">
        <is>
          <t>2026-W19</t>
        </is>
      </c>
      <c r="C1088" t="inlineStr">
        <is>
          <t>Shift4</t>
        </is>
      </c>
      <c r="D1088" t="inlineStr">
        <is>
          <t>EUR</t>
        </is>
      </c>
      <c r="E1088" s="9" t="n">
        <v>0</v>
      </c>
      <c r="F1088" s="9" t="n">
        <v>0</v>
      </c>
      <c r="G1088" s="9" t="n">
        <v>-625341.1899999999</v>
      </c>
      <c r="H1088" s="9">
        <f>IF(D1088="USD",E1088*$N$1,E1088)</f>
        <v/>
      </c>
      <c r="I1088" s="9">
        <f>IF(D1088="USD",F1088*$N$1,F1088)</f>
        <v/>
      </c>
      <c r="J1088" s="9">
        <f>IF(D1088="USD",G1088*$N$1,G1088)</f>
        <v/>
      </c>
      <c r="K1088" s="9">
        <f>H1088+I1088</f>
        <v/>
      </c>
    </row>
    <row r="1089">
      <c r="A1089" s="8" t="n">
        <v>46146</v>
      </c>
      <c r="B1089" t="inlineStr">
        <is>
          <t>2026-W19</t>
        </is>
      </c>
      <c r="C1089" t="inlineStr">
        <is>
          <t>Shift4</t>
        </is>
      </c>
      <c r="D1089" t="inlineStr">
        <is>
          <t>EUR</t>
        </is>
      </c>
      <c r="E1089" s="9" t="n">
        <v>0</v>
      </c>
      <c r="F1089" s="9" t="n">
        <v>0</v>
      </c>
      <c r="G1089" s="9" t="n">
        <v>-587320.54</v>
      </c>
      <c r="H1089" s="9">
        <f>IF(D1089="USD",E1089*$N$1,E1089)</f>
        <v/>
      </c>
      <c r="I1089" s="9">
        <f>IF(D1089="USD",F1089*$N$1,F1089)</f>
        <v/>
      </c>
      <c r="J1089" s="9">
        <f>IF(D1089="USD",G1089*$N$1,G1089)</f>
        <v/>
      </c>
      <c r="K1089" s="9">
        <f>H1089+I1089</f>
        <v/>
      </c>
    </row>
    <row r="1090">
      <c r="A1090" s="8" t="n">
        <v>46146</v>
      </c>
      <c r="B1090" t="inlineStr">
        <is>
          <t>2026-W19</t>
        </is>
      </c>
      <c r="C1090" t="inlineStr">
        <is>
          <t>Shift4</t>
        </is>
      </c>
      <c r="D1090" t="inlineStr">
        <is>
          <t>EUR</t>
        </is>
      </c>
      <c r="E1090" s="9" t="n">
        <v>619114.08</v>
      </c>
      <c r="F1090" s="9" t="n">
        <v>-6227.64</v>
      </c>
      <c r="G1090" s="9" t="n">
        <v>0</v>
      </c>
      <c r="H1090" s="9">
        <f>IF(D1090="USD",E1090*$N$1,E1090)</f>
        <v/>
      </c>
      <c r="I1090" s="9">
        <f>IF(D1090="USD",F1090*$N$1,F1090)</f>
        <v/>
      </c>
      <c r="J1090" s="9">
        <f>IF(D1090="USD",G1090*$N$1,G1090)</f>
        <v/>
      </c>
      <c r="K1090" s="9">
        <f>H1090+I1090</f>
        <v/>
      </c>
    </row>
    <row r="1091">
      <c r="A1091" s="8" t="n">
        <v>46147</v>
      </c>
      <c r="B1091" t="inlineStr">
        <is>
          <t>2026-W19</t>
        </is>
      </c>
      <c r="C1091" t="inlineStr">
        <is>
          <t>Adyen</t>
        </is>
      </c>
      <c r="D1091" t="inlineStr">
        <is>
          <t>EUR</t>
        </is>
      </c>
      <c r="E1091" s="9" t="n">
        <v>0</v>
      </c>
      <c r="F1091" s="9" t="n">
        <v>0</v>
      </c>
      <c r="G1091" s="9" t="n">
        <v>-1176204.32</v>
      </c>
      <c r="H1091" s="9">
        <f>IF(D1091="USD",E1091*$N$1,E1091)</f>
        <v/>
      </c>
      <c r="I1091" s="9">
        <f>IF(D1091="USD",F1091*$N$1,F1091)</f>
        <v/>
      </c>
      <c r="J1091" s="9">
        <f>IF(D1091="USD",G1091*$N$1,G1091)</f>
        <v/>
      </c>
      <c r="K1091" s="9">
        <f>H1091+I1091</f>
        <v/>
      </c>
    </row>
    <row r="1092">
      <c r="A1092" s="8" t="n">
        <v>46147</v>
      </c>
      <c r="B1092" t="inlineStr">
        <is>
          <t>2026-W19</t>
        </is>
      </c>
      <c r="C1092" t="inlineStr">
        <is>
          <t>Adyen</t>
        </is>
      </c>
      <c r="D1092" t="inlineStr">
        <is>
          <t>EUR</t>
        </is>
      </c>
      <c r="E1092" s="9" t="n">
        <v>787089.76</v>
      </c>
      <c r="F1092" s="9" t="n">
        <v>-8912.560000000056</v>
      </c>
      <c r="G1092" s="9" t="n">
        <v>0</v>
      </c>
      <c r="H1092" s="9">
        <f>IF(D1092="USD",E1092*$N$1,E1092)</f>
        <v/>
      </c>
      <c r="I1092" s="9">
        <f>IF(D1092="USD",F1092*$N$1,F1092)</f>
        <v/>
      </c>
      <c r="J1092" s="9">
        <f>IF(D1092="USD",G1092*$N$1,G1092)</f>
        <v/>
      </c>
      <c r="K1092" s="9">
        <f>H1092+I1092</f>
        <v/>
      </c>
    </row>
    <row r="1093">
      <c r="A1093" s="8" t="n">
        <v>46147</v>
      </c>
      <c r="B1093" t="inlineStr">
        <is>
          <t>2026-W19</t>
        </is>
      </c>
      <c r="C1093" t="inlineStr">
        <is>
          <t>Adyen</t>
        </is>
      </c>
      <c r="D1093" t="inlineStr">
        <is>
          <t>EUR</t>
        </is>
      </c>
      <c r="E1093" s="9" t="n">
        <v>74739.25</v>
      </c>
      <c r="F1093" s="9" t="n">
        <v>0</v>
      </c>
      <c r="G1093" s="9" t="n">
        <v>0</v>
      </c>
      <c r="H1093" s="9">
        <f>IF(D1093="USD",E1093*$N$1,E1093)</f>
        <v/>
      </c>
      <c r="I1093" s="9">
        <f>IF(D1093="USD",F1093*$N$1,F1093)</f>
        <v/>
      </c>
      <c r="J1093" s="9">
        <f>IF(D1093="USD",G1093*$N$1,G1093)</f>
        <v/>
      </c>
      <c r="K1093" s="9">
        <f>H1093+I1093</f>
        <v/>
      </c>
    </row>
    <row r="1094">
      <c r="A1094" s="8" t="n">
        <v>46147</v>
      </c>
      <c r="B1094" t="inlineStr">
        <is>
          <t>2026-W19</t>
        </is>
      </c>
      <c r="C1094" t="inlineStr">
        <is>
          <t>Nuvei</t>
        </is>
      </c>
      <c r="D1094" t="inlineStr">
        <is>
          <t>EUR</t>
        </is>
      </c>
      <c r="E1094" s="9" t="n">
        <v>0</v>
      </c>
      <c r="F1094" s="9" t="n">
        <v>0</v>
      </c>
      <c r="G1094" s="9" t="n">
        <v>-448218.08</v>
      </c>
      <c r="H1094" s="9">
        <f>IF(D1094="USD",E1094*$N$1,E1094)</f>
        <v/>
      </c>
      <c r="I1094" s="9">
        <f>IF(D1094="USD",F1094*$N$1,F1094)</f>
        <v/>
      </c>
      <c r="J1094" s="9">
        <f>IF(D1094="USD",G1094*$N$1,G1094)</f>
        <v/>
      </c>
      <c r="K1094" s="9">
        <f>H1094+I1094</f>
        <v/>
      </c>
    </row>
    <row r="1095">
      <c r="A1095" s="8" t="n">
        <v>46147</v>
      </c>
      <c r="B1095" t="inlineStr">
        <is>
          <t>2026-W19</t>
        </is>
      </c>
      <c r="C1095" t="inlineStr">
        <is>
          <t>Nuvei</t>
        </is>
      </c>
      <c r="D1095" t="inlineStr">
        <is>
          <t>EUR</t>
        </is>
      </c>
      <c r="E1095" s="9" t="n">
        <v>0</v>
      </c>
      <c r="F1095" s="9" t="n">
        <v>0</v>
      </c>
      <c r="G1095" s="9" t="n">
        <v>-161306.24</v>
      </c>
      <c r="H1095" s="9">
        <f>IF(D1095="USD",E1095*$N$1,E1095)</f>
        <v/>
      </c>
      <c r="I1095" s="9">
        <f>IF(D1095="USD",F1095*$N$1,F1095)</f>
        <v/>
      </c>
      <c r="J1095" s="9">
        <f>IF(D1095="USD",G1095*$N$1,G1095)</f>
        <v/>
      </c>
      <c r="K1095" s="9">
        <f>H1095+I1095</f>
        <v/>
      </c>
    </row>
    <row r="1096">
      <c r="A1096" s="8" t="n">
        <v>46147</v>
      </c>
      <c r="B1096" t="inlineStr">
        <is>
          <t>2026-W19</t>
        </is>
      </c>
      <c r="C1096" t="inlineStr">
        <is>
          <t>Nuvei</t>
        </is>
      </c>
      <c r="D1096" t="inlineStr">
        <is>
          <t>EUR</t>
        </is>
      </c>
      <c r="E1096" s="9" t="n">
        <v>311045.79</v>
      </c>
      <c r="F1096" s="9" t="n">
        <v>-8631.719999999999</v>
      </c>
      <c r="G1096" s="9" t="n">
        <v>0</v>
      </c>
      <c r="H1096" s="9">
        <f>IF(D1096="USD",E1096*$N$1,E1096)</f>
        <v/>
      </c>
      <c r="I1096" s="9">
        <f>IF(D1096="USD",F1096*$N$1,F1096)</f>
        <v/>
      </c>
      <c r="J1096" s="9">
        <f>IF(D1096="USD",G1096*$N$1,G1096)</f>
        <v/>
      </c>
      <c r="K1096" s="9">
        <f>H1096+I1096</f>
        <v/>
      </c>
    </row>
    <row r="1097">
      <c r="A1097" s="8" t="n">
        <v>46147</v>
      </c>
      <c r="B1097" t="inlineStr">
        <is>
          <t>2026-W19</t>
        </is>
      </c>
      <c r="C1097" t="inlineStr">
        <is>
          <t>Nuvei</t>
        </is>
      </c>
      <c r="D1097" t="inlineStr">
        <is>
          <t>EUR</t>
        </is>
      </c>
      <c r="E1097" s="9" t="n">
        <v>107899.86</v>
      </c>
      <c r="F1097" s="9" t="n">
        <v>-3583.69</v>
      </c>
      <c r="G1097" s="9" t="n">
        <v>0</v>
      </c>
      <c r="H1097" s="9">
        <f>IF(D1097="USD",E1097*$N$1,E1097)</f>
        <v/>
      </c>
      <c r="I1097" s="9">
        <f>IF(D1097="USD",F1097*$N$1,F1097)</f>
        <v/>
      </c>
      <c r="J1097" s="9">
        <f>IF(D1097="USD",G1097*$N$1,G1097)</f>
        <v/>
      </c>
      <c r="K1097" s="9">
        <f>H1097+I1097</f>
        <v/>
      </c>
    </row>
    <row r="1098">
      <c r="A1098" s="8" t="n">
        <v>46147</v>
      </c>
      <c r="B1098" t="inlineStr">
        <is>
          <t>2026-W19</t>
        </is>
      </c>
      <c r="C1098" t="inlineStr">
        <is>
          <t>Shift4</t>
        </is>
      </c>
      <c r="D1098" t="inlineStr">
        <is>
          <t>EUR</t>
        </is>
      </c>
      <c r="E1098" s="9" t="n">
        <v>626457.35</v>
      </c>
      <c r="F1098" s="9" t="n">
        <v>-6525.3</v>
      </c>
      <c r="G1098" s="9" t="n">
        <v>0</v>
      </c>
      <c r="H1098" s="9">
        <f>IF(D1098="USD",E1098*$N$1,E1098)</f>
        <v/>
      </c>
      <c r="I1098" s="9">
        <f>IF(D1098="USD",F1098*$N$1,F1098)</f>
        <v/>
      </c>
      <c r="J1098" s="9">
        <f>IF(D1098="USD",G1098*$N$1,G1098)</f>
        <v/>
      </c>
      <c r="K1098" s="9">
        <f>H1098+I1098</f>
        <v/>
      </c>
    </row>
    <row r="1099">
      <c r="A1099" s="8" t="n">
        <v>46148</v>
      </c>
      <c r="B1099" t="inlineStr">
        <is>
          <t>2026-W19</t>
        </is>
      </c>
      <c r="C1099" t="inlineStr">
        <is>
          <t>Adyen</t>
        </is>
      </c>
      <c r="D1099" t="inlineStr">
        <is>
          <t>EUR</t>
        </is>
      </c>
      <c r="E1099" s="9" t="n">
        <v>0</v>
      </c>
      <c r="F1099" s="9" t="n">
        <v>0</v>
      </c>
      <c r="G1099" s="9" t="n">
        <v>-1762302.93</v>
      </c>
      <c r="H1099" s="9">
        <f>IF(D1099="USD",E1099*$N$1,E1099)</f>
        <v/>
      </c>
      <c r="I1099" s="9">
        <f>IF(D1099="USD",F1099*$N$1,F1099)</f>
        <v/>
      </c>
      <c r="J1099" s="9">
        <f>IF(D1099="USD",G1099*$N$1,G1099)</f>
        <v/>
      </c>
      <c r="K1099" s="9">
        <f>H1099+I1099</f>
        <v/>
      </c>
    </row>
    <row r="1100">
      <c r="A1100" s="8" t="n">
        <v>46148</v>
      </c>
      <c r="B1100" t="inlineStr">
        <is>
          <t>2026-W19</t>
        </is>
      </c>
      <c r="C1100" t="inlineStr">
        <is>
          <t>Adyen</t>
        </is>
      </c>
      <c r="D1100" t="inlineStr">
        <is>
          <t>EUR</t>
        </is>
      </c>
      <c r="E1100" s="9" t="n">
        <v>716318.6800000001</v>
      </c>
      <c r="F1100" s="9" t="n">
        <v>-5447.190000000061</v>
      </c>
      <c r="G1100" s="9" t="n">
        <v>0</v>
      </c>
      <c r="H1100" s="9">
        <f>IF(D1100="USD",E1100*$N$1,E1100)</f>
        <v/>
      </c>
      <c r="I1100" s="9">
        <f>IF(D1100="USD",F1100*$N$1,F1100)</f>
        <v/>
      </c>
      <c r="J1100" s="9">
        <f>IF(D1100="USD",G1100*$N$1,G1100)</f>
        <v/>
      </c>
      <c r="K1100" s="9">
        <f>H1100+I1100</f>
        <v/>
      </c>
    </row>
    <row r="1101">
      <c r="A1101" s="8" t="n">
        <v>46148</v>
      </c>
      <c r="B1101" t="inlineStr">
        <is>
          <t>2026-W19</t>
        </is>
      </c>
      <c r="C1101" t="inlineStr">
        <is>
          <t>Adyen</t>
        </is>
      </c>
      <c r="D1101" t="inlineStr">
        <is>
          <t>EUR</t>
        </is>
      </c>
      <c r="E1101" s="9" t="n">
        <v>70184.05</v>
      </c>
      <c r="F1101" s="9" t="n">
        <v>0</v>
      </c>
      <c r="G1101" s="9" t="n">
        <v>0</v>
      </c>
      <c r="H1101" s="9">
        <f>IF(D1101="USD",E1101*$N$1,E1101)</f>
        <v/>
      </c>
      <c r="I1101" s="9">
        <f>IF(D1101="USD",F1101*$N$1,F1101)</f>
        <v/>
      </c>
      <c r="J1101" s="9">
        <f>IF(D1101="USD",G1101*$N$1,G1101)</f>
        <v/>
      </c>
      <c r="K1101" s="9">
        <f>H1101+I1101</f>
        <v/>
      </c>
    </row>
    <row r="1102">
      <c r="A1102" s="8" t="n">
        <v>46148</v>
      </c>
      <c r="B1102" t="inlineStr">
        <is>
          <t>2026-W19</t>
        </is>
      </c>
      <c r="C1102" t="inlineStr">
        <is>
          <t>Nuvei</t>
        </is>
      </c>
      <c r="D1102" t="inlineStr">
        <is>
          <t>EUR</t>
        </is>
      </c>
      <c r="E1102" s="9" t="n">
        <v>0</v>
      </c>
      <c r="F1102" s="9" t="n">
        <v>0</v>
      </c>
      <c r="G1102" s="9" t="n">
        <v>-406656.23</v>
      </c>
      <c r="H1102" s="9">
        <f>IF(D1102="USD",E1102*$N$1,E1102)</f>
        <v/>
      </c>
      <c r="I1102" s="9">
        <f>IF(D1102="USD",F1102*$N$1,F1102)</f>
        <v/>
      </c>
      <c r="J1102" s="9">
        <f>IF(D1102="USD",G1102*$N$1,G1102)</f>
        <v/>
      </c>
      <c r="K1102" s="9">
        <f>H1102+I1102</f>
        <v/>
      </c>
    </row>
    <row r="1103">
      <c r="A1103" s="8" t="n">
        <v>46148</v>
      </c>
      <c r="B1103" t="inlineStr">
        <is>
          <t>2026-W19</t>
        </is>
      </c>
      <c r="C1103" t="inlineStr">
        <is>
          <t>Nuvei</t>
        </is>
      </c>
      <c r="D1103" t="inlineStr">
        <is>
          <t>EUR</t>
        </is>
      </c>
      <c r="E1103" s="9" t="n">
        <v>0</v>
      </c>
      <c r="F1103" s="9" t="n">
        <v>0</v>
      </c>
      <c r="G1103" s="9" t="n">
        <v>-214214.49</v>
      </c>
      <c r="H1103" s="9">
        <f>IF(D1103="USD",E1103*$N$1,E1103)</f>
        <v/>
      </c>
      <c r="I1103" s="9">
        <f>IF(D1103="USD",F1103*$N$1,F1103)</f>
        <v/>
      </c>
      <c r="J1103" s="9">
        <f>IF(D1103="USD",G1103*$N$1,G1103)</f>
        <v/>
      </c>
      <c r="K1103" s="9">
        <f>H1103+I1103</f>
        <v/>
      </c>
    </row>
    <row r="1104">
      <c r="A1104" s="8" t="n">
        <v>46148</v>
      </c>
      <c r="B1104" t="inlineStr">
        <is>
          <t>2026-W19</t>
        </is>
      </c>
      <c r="C1104" t="inlineStr">
        <is>
          <t>Nuvei</t>
        </is>
      </c>
      <c r="D1104" t="inlineStr">
        <is>
          <t>EUR</t>
        </is>
      </c>
      <c r="E1104" s="9" t="n">
        <v>288673.65</v>
      </c>
      <c r="F1104" s="9" t="n">
        <v>-8395.83</v>
      </c>
      <c r="G1104" s="9" t="n">
        <v>0</v>
      </c>
      <c r="H1104" s="9">
        <f>IF(D1104="USD",E1104*$N$1,E1104)</f>
        <v/>
      </c>
      <c r="I1104" s="9">
        <f>IF(D1104="USD",F1104*$N$1,F1104)</f>
        <v/>
      </c>
      <c r="J1104" s="9">
        <f>IF(D1104="USD",G1104*$N$1,G1104)</f>
        <v/>
      </c>
      <c r="K1104" s="9">
        <f>H1104+I1104</f>
        <v/>
      </c>
    </row>
    <row r="1105">
      <c r="A1105" s="8" t="n">
        <v>46148</v>
      </c>
      <c r="B1105" t="inlineStr">
        <is>
          <t>2026-W19</t>
        </is>
      </c>
      <c r="C1105" t="inlineStr">
        <is>
          <t>Nuvei</t>
        </is>
      </c>
      <c r="D1105" t="inlineStr">
        <is>
          <t>EUR</t>
        </is>
      </c>
      <c r="E1105" s="9" t="n">
        <v>114264.63</v>
      </c>
      <c r="F1105" s="9" t="n">
        <v>-3462.96</v>
      </c>
      <c r="G1105" s="9" t="n">
        <v>0</v>
      </c>
      <c r="H1105" s="9">
        <f>IF(D1105="USD",E1105*$N$1,E1105)</f>
        <v/>
      </c>
      <c r="I1105" s="9">
        <f>IF(D1105="USD",F1105*$N$1,F1105)</f>
        <v/>
      </c>
      <c r="J1105" s="9">
        <f>IF(D1105="USD",G1105*$N$1,G1105)</f>
        <v/>
      </c>
      <c r="K1105" s="9">
        <f>H1105+I1105</f>
        <v/>
      </c>
    </row>
    <row r="1106">
      <c r="A1106" s="8" t="n">
        <v>46148</v>
      </c>
      <c r="B1106" t="inlineStr">
        <is>
          <t>2026-W19</t>
        </is>
      </c>
      <c r="C1106" t="inlineStr">
        <is>
          <t>Shift4</t>
        </is>
      </c>
      <c r="D1106" t="inlineStr">
        <is>
          <t>EUR</t>
        </is>
      </c>
      <c r="E1106" s="9" t="n">
        <v>0</v>
      </c>
      <c r="F1106" s="9" t="n">
        <v>0</v>
      </c>
      <c r="G1106" s="9" t="n">
        <v>-1060145.05</v>
      </c>
      <c r="H1106" s="9">
        <f>IF(D1106="USD",E1106*$N$1,E1106)</f>
        <v/>
      </c>
      <c r="I1106" s="9">
        <f>IF(D1106="USD",F1106*$N$1,F1106)</f>
        <v/>
      </c>
      <c r="J1106" s="9">
        <f>IF(D1106="USD",G1106*$N$1,G1106)</f>
        <v/>
      </c>
      <c r="K1106" s="9">
        <f>H1106+I1106</f>
        <v/>
      </c>
    </row>
    <row r="1107">
      <c r="A1107" s="8" t="n">
        <v>46148</v>
      </c>
      <c r="B1107" t="inlineStr">
        <is>
          <t>2026-W19</t>
        </is>
      </c>
      <c r="C1107" t="inlineStr">
        <is>
          <t>Shift4</t>
        </is>
      </c>
      <c r="D1107" t="inlineStr">
        <is>
          <t>EUR</t>
        </is>
      </c>
      <c r="E1107" s="9" t="n">
        <v>583474.48</v>
      </c>
      <c r="F1107" s="9" t="n">
        <v>-5562.84</v>
      </c>
      <c r="G1107" s="9" t="n">
        <v>0</v>
      </c>
      <c r="H1107" s="9">
        <f>IF(D1107="USD",E1107*$N$1,E1107)</f>
        <v/>
      </c>
      <c r="I1107" s="9">
        <f>IF(D1107="USD",F1107*$N$1,F1107)</f>
        <v/>
      </c>
      <c r="J1107" s="9">
        <f>IF(D1107="USD",G1107*$N$1,G1107)</f>
        <v/>
      </c>
      <c r="K1107" s="9">
        <f>H1107+I1107</f>
        <v/>
      </c>
    </row>
    <row r="1108">
      <c r="A1108" s="8" t="n">
        <v>46149</v>
      </c>
      <c r="B1108" t="inlineStr">
        <is>
          <t>2026-W19</t>
        </is>
      </c>
      <c r="C1108" t="inlineStr">
        <is>
          <t>Adyen</t>
        </is>
      </c>
      <c r="D1108" t="inlineStr">
        <is>
          <t>EUR</t>
        </is>
      </c>
      <c r="E1108" s="9" t="n">
        <v>0</v>
      </c>
      <c r="F1108" s="9" t="n">
        <v>0</v>
      </c>
      <c r="G1108" s="9" t="n">
        <v>-852916.45</v>
      </c>
      <c r="H1108" s="9">
        <f>IF(D1108="USD",E1108*$N$1,E1108)</f>
        <v/>
      </c>
      <c r="I1108" s="9">
        <f>IF(D1108="USD",F1108*$N$1,F1108)</f>
        <v/>
      </c>
      <c r="J1108" s="9">
        <f>IF(D1108="USD",G1108*$N$1,G1108)</f>
        <v/>
      </c>
      <c r="K1108" s="9">
        <f>H1108+I1108</f>
        <v/>
      </c>
    </row>
    <row r="1109">
      <c r="A1109" s="8" t="n">
        <v>46149</v>
      </c>
      <c r="B1109" t="inlineStr">
        <is>
          <t>2026-W19</t>
        </is>
      </c>
      <c r="C1109" t="inlineStr">
        <is>
          <t>Adyen</t>
        </is>
      </c>
      <c r="D1109" t="inlineStr">
        <is>
          <t>EUR</t>
        </is>
      </c>
      <c r="E1109" s="9" t="n">
        <v>690071.6</v>
      </c>
      <c r="F1109" s="9" t="n">
        <v>-6207.25</v>
      </c>
      <c r="G1109" s="9" t="n">
        <v>0</v>
      </c>
      <c r="H1109" s="9">
        <f>IF(D1109="USD",E1109*$N$1,E1109)</f>
        <v/>
      </c>
      <c r="I1109" s="9">
        <f>IF(D1109="USD",F1109*$N$1,F1109)</f>
        <v/>
      </c>
      <c r="J1109" s="9">
        <f>IF(D1109="USD",G1109*$N$1,G1109)</f>
        <v/>
      </c>
      <c r="K1109" s="9">
        <f>H1109+I1109</f>
        <v/>
      </c>
    </row>
    <row r="1110">
      <c r="A1110" s="8" t="n">
        <v>46149</v>
      </c>
      <c r="B1110" t="inlineStr">
        <is>
          <t>2026-W19</t>
        </is>
      </c>
      <c r="C1110" t="inlineStr">
        <is>
          <t>Adyen</t>
        </is>
      </c>
      <c r="D1110" t="inlineStr">
        <is>
          <t>EUR</t>
        </is>
      </c>
      <c r="E1110" s="9" t="n">
        <v>71215.60000000001</v>
      </c>
      <c r="F1110" s="9" t="n">
        <v>0</v>
      </c>
      <c r="G1110" s="9" t="n">
        <v>0</v>
      </c>
      <c r="H1110" s="9">
        <f>IF(D1110="USD",E1110*$N$1,E1110)</f>
        <v/>
      </c>
      <c r="I1110" s="9">
        <f>IF(D1110="USD",F1110*$N$1,F1110)</f>
        <v/>
      </c>
      <c r="J1110" s="9">
        <f>IF(D1110="USD",G1110*$N$1,G1110)</f>
        <v/>
      </c>
      <c r="K1110" s="9">
        <f>H1110+I1110</f>
        <v/>
      </c>
    </row>
    <row r="1111">
      <c r="A1111" s="8" t="n">
        <v>46149</v>
      </c>
      <c r="B1111" t="inlineStr">
        <is>
          <t>2026-W19</t>
        </is>
      </c>
      <c r="C1111" t="inlineStr">
        <is>
          <t>Nuvei</t>
        </is>
      </c>
      <c r="D1111" t="inlineStr">
        <is>
          <t>EUR</t>
        </is>
      </c>
      <c r="E1111" s="9" t="n">
        <v>0</v>
      </c>
      <c r="F1111" s="9" t="n">
        <v>0</v>
      </c>
      <c r="G1111" s="9" t="n">
        <v>-334260.47</v>
      </c>
      <c r="H1111" s="9">
        <f>IF(D1111="USD",E1111*$N$1,E1111)</f>
        <v/>
      </c>
      <c r="I1111" s="9">
        <f>IF(D1111="USD",F1111*$N$1,F1111)</f>
        <v/>
      </c>
      <c r="J1111" s="9">
        <f>IF(D1111="USD",G1111*$N$1,G1111)</f>
        <v/>
      </c>
      <c r="K1111" s="9">
        <f>H1111+I1111</f>
        <v/>
      </c>
    </row>
    <row r="1112">
      <c r="A1112" s="8" t="n">
        <v>46149</v>
      </c>
      <c r="B1112" t="inlineStr">
        <is>
          <t>2026-W19</t>
        </is>
      </c>
      <c r="C1112" t="inlineStr">
        <is>
          <t>Nuvei</t>
        </is>
      </c>
      <c r="D1112" t="inlineStr">
        <is>
          <t>EUR</t>
        </is>
      </c>
      <c r="E1112" s="9" t="n">
        <v>0</v>
      </c>
      <c r="F1112" s="9" t="n">
        <v>0</v>
      </c>
      <c r="G1112" s="9" t="n">
        <v>-157333.58</v>
      </c>
      <c r="H1112" s="9">
        <f>IF(D1112="USD",E1112*$N$1,E1112)</f>
        <v/>
      </c>
      <c r="I1112" s="9">
        <f>IF(D1112="USD",F1112*$N$1,F1112)</f>
        <v/>
      </c>
      <c r="J1112" s="9">
        <f>IF(D1112="USD",G1112*$N$1,G1112)</f>
        <v/>
      </c>
      <c r="K1112" s="9">
        <f>H1112+I1112</f>
        <v/>
      </c>
    </row>
    <row r="1113">
      <c r="A1113" s="8" t="n">
        <v>46149</v>
      </c>
      <c r="B1113" t="inlineStr">
        <is>
          <t>2026-W19</t>
        </is>
      </c>
      <c r="C1113" t="inlineStr">
        <is>
          <t>Nuvei</t>
        </is>
      </c>
      <c r="D1113" t="inlineStr">
        <is>
          <t>EUR</t>
        </is>
      </c>
      <c r="E1113" s="9" t="n">
        <v>415762.09</v>
      </c>
      <c r="F1113" s="9" t="n">
        <v>-7823.56</v>
      </c>
      <c r="G1113" s="9" t="n">
        <v>0</v>
      </c>
      <c r="H1113" s="9">
        <f>IF(D1113="USD",E1113*$N$1,E1113)</f>
        <v/>
      </c>
      <c r="I1113" s="9">
        <f>IF(D1113="USD",F1113*$N$1,F1113)</f>
        <v/>
      </c>
      <c r="J1113" s="9">
        <f>IF(D1113="USD",G1113*$N$1,G1113)</f>
        <v/>
      </c>
      <c r="K1113" s="9">
        <f>H1113+I1113</f>
        <v/>
      </c>
    </row>
    <row r="1114">
      <c r="A1114" s="8" t="n">
        <v>46149</v>
      </c>
      <c r="B1114" t="inlineStr">
        <is>
          <t>2026-W19</t>
        </is>
      </c>
      <c r="C1114" t="inlineStr">
        <is>
          <t>Nuvei</t>
        </is>
      </c>
      <c r="D1114" t="inlineStr">
        <is>
          <t>EUR</t>
        </is>
      </c>
      <c r="E1114" s="9" t="n">
        <v>128276.96</v>
      </c>
      <c r="F1114" s="9" t="n">
        <v>-3604.14</v>
      </c>
      <c r="G1114" s="9" t="n">
        <v>0</v>
      </c>
      <c r="H1114" s="9">
        <f>IF(D1114="USD",E1114*$N$1,E1114)</f>
        <v/>
      </c>
      <c r="I1114" s="9">
        <f>IF(D1114="USD",F1114*$N$1,F1114)</f>
        <v/>
      </c>
      <c r="J1114" s="9">
        <f>IF(D1114="USD",G1114*$N$1,G1114)</f>
        <v/>
      </c>
      <c r="K1114" s="9">
        <f>H1114+I1114</f>
        <v/>
      </c>
    </row>
    <row r="1115">
      <c r="A1115" s="8" t="n">
        <v>46149</v>
      </c>
      <c r="B1115" t="inlineStr">
        <is>
          <t>2026-W19</t>
        </is>
      </c>
      <c r="C1115" t="inlineStr">
        <is>
          <t>Shift4</t>
        </is>
      </c>
      <c r="D1115" t="inlineStr">
        <is>
          <t>EUR</t>
        </is>
      </c>
      <c r="E1115" s="9" t="n">
        <v>0</v>
      </c>
      <c r="F1115" s="9" t="n">
        <v>0</v>
      </c>
      <c r="G1115" s="9" t="n">
        <v>-1593536.94</v>
      </c>
      <c r="H1115" s="9">
        <f>IF(D1115="USD",E1115*$N$1,E1115)</f>
        <v/>
      </c>
      <c r="I1115" s="9">
        <f>IF(D1115="USD",F1115*$N$1,F1115)</f>
        <v/>
      </c>
      <c r="J1115" s="9">
        <f>IF(D1115="USD",G1115*$N$1,G1115)</f>
        <v/>
      </c>
      <c r="K1115" s="9">
        <f>H1115+I1115</f>
        <v/>
      </c>
    </row>
    <row r="1116">
      <c r="A1116" s="8" t="n">
        <v>46149</v>
      </c>
      <c r="B1116" t="inlineStr">
        <is>
          <t>2026-W19</t>
        </is>
      </c>
      <c r="C1116" t="inlineStr">
        <is>
          <t>Shift4</t>
        </is>
      </c>
      <c r="D1116" t="inlineStr">
        <is>
          <t>EUR</t>
        </is>
      </c>
      <c r="E1116" s="9" t="n">
        <v>519280.8</v>
      </c>
      <c r="F1116" s="9" t="n">
        <v>-5121.68</v>
      </c>
      <c r="G1116" s="9" t="n">
        <v>0</v>
      </c>
      <c r="H1116" s="9">
        <f>IF(D1116="USD",E1116*$N$1,E1116)</f>
        <v/>
      </c>
      <c r="I1116" s="9">
        <f>IF(D1116="USD",F1116*$N$1,F1116)</f>
        <v/>
      </c>
      <c r="J1116" s="9">
        <f>IF(D1116="USD",G1116*$N$1,G1116)</f>
        <v/>
      </c>
      <c r="K1116" s="9">
        <f>H1116+I1116</f>
        <v/>
      </c>
    </row>
    <row r="1117">
      <c r="A1117" s="8" t="n">
        <v>46150</v>
      </c>
      <c r="B1117" t="inlineStr">
        <is>
          <t>2026-W19</t>
        </is>
      </c>
      <c r="C1117" t="inlineStr">
        <is>
          <t>Adyen</t>
        </is>
      </c>
      <c r="D1117" t="inlineStr">
        <is>
          <t>EUR</t>
        </is>
      </c>
      <c r="E1117" s="9" t="n">
        <v>0</v>
      </c>
      <c r="F1117" s="9" t="n">
        <v>0</v>
      </c>
      <c r="G1117" s="9" t="n">
        <v>-781055.54</v>
      </c>
      <c r="H1117" s="9">
        <f>IF(D1117="USD",E1117*$N$1,E1117)</f>
        <v/>
      </c>
      <c r="I1117" s="9">
        <f>IF(D1117="USD",F1117*$N$1,F1117)</f>
        <v/>
      </c>
      <c r="J1117" s="9">
        <f>IF(D1117="USD",G1117*$N$1,G1117)</f>
        <v/>
      </c>
      <c r="K1117" s="9">
        <f>H1117+I1117</f>
        <v/>
      </c>
    </row>
    <row r="1118">
      <c r="A1118" s="8" t="n">
        <v>46150</v>
      </c>
      <c r="B1118" t="inlineStr">
        <is>
          <t>2026-W19</t>
        </is>
      </c>
      <c r="C1118" t="inlineStr">
        <is>
          <t>Adyen</t>
        </is>
      </c>
      <c r="D1118" t="inlineStr">
        <is>
          <t>EUR</t>
        </is>
      </c>
      <c r="E1118" s="9" t="n">
        <v>598738.2</v>
      </c>
      <c r="F1118" s="9" t="n">
        <v>-660088.04</v>
      </c>
      <c r="G1118" s="9" t="n">
        <v>0</v>
      </c>
      <c r="H1118" s="9">
        <f>IF(D1118="USD",E1118*$N$1,E1118)</f>
        <v/>
      </c>
      <c r="I1118" s="9">
        <f>IF(D1118="USD",F1118*$N$1,F1118)</f>
        <v/>
      </c>
      <c r="J1118" s="9">
        <f>IF(D1118="USD",G1118*$N$1,G1118)</f>
        <v/>
      </c>
      <c r="K1118" s="9">
        <f>H1118+I1118</f>
        <v/>
      </c>
    </row>
    <row r="1119">
      <c r="A1119" s="8" t="n">
        <v>46150</v>
      </c>
      <c r="B1119" t="inlineStr">
        <is>
          <t>2026-W19</t>
        </is>
      </c>
      <c r="C1119" t="inlineStr">
        <is>
          <t>Adyen</t>
        </is>
      </c>
      <c r="D1119" t="inlineStr">
        <is>
          <t>EUR</t>
        </is>
      </c>
      <c r="E1119" s="9" t="n">
        <v>52808.64</v>
      </c>
      <c r="F1119" s="9" t="n">
        <v>0</v>
      </c>
      <c r="G1119" s="9" t="n">
        <v>0</v>
      </c>
      <c r="H1119" s="9">
        <f>IF(D1119="USD",E1119*$N$1,E1119)</f>
        <v/>
      </c>
      <c r="I1119" s="9">
        <f>IF(D1119="USD",F1119*$N$1,F1119)</f>
        <v/>
      </c>
      <c r="J1119" s="9">
        <f>IF(D1119="USD",G1119*$N$1,G1119)</f>
        <v/>
      </c>
      <c r="K1119" s="9">
        <f>H1119+I1119</f>
        <v/>
      </c>
    </row>
    <row r="1120">
      <c r="A1120" s="8" t="n">
        <v>46150</v>
      </c>
      <c r="B1120" t="inlineStr">
        <is>
          <t>2026-W19</t>
        </is>
      </c>
      <c r="C1120" t="inlineStr">
        <is>
          <t>Nuvei</t>
        </is>
      </c>
      <c r="D1120" t="inlineStr">
        <is>
          <t>EUR</t>
        </is>
      </c>
      <c r="E1120" s="9" t="n">
        <v>0</v>
      </c>
      <c r="F1120" s="9" t="n">
        <v>0</v>
      </c>
      <c r="G1120" s="9" t="n">
        <v>-1023328.17</v>
      </c>
      <c r="H1120" s="9">
        <f>IF(D1120="USD",E1120*$N$1,E1120)</f>
        <v/>
      </c>
      <c r="I1120" s="9">
        <f>IF(D1120="USD",F1120*$N$1,F1120)</f>
        <v/>
      </c>
      <c r="J1120" s="9">
        <f>IF(D1120="USD",G1120*$N$1,G1120)</f>
        <v/>
      </c>
      <c r="K1120" s="9">
        <f>H1120+I1120</f>
        <v/>
      </c>
    </row>
    <row r="1121">
      <c r="A1121" s="8" t="n">
        <v>46150</v>
      </c>
      <c r="B1121" t="inlineStr">
        <is>
          <t>2026-W19</t>
        </is>
      </c>
      <c r="C1121" t="inlineStr">
        <is>
          <t>Nuvei</t>
        </is>
      </c>
      <c r="D1121" t="inlineStr">
        <is>
          <t>EUR</t>
        </is>
      </c>
      <c r="E1121" s="9" t="n">
        <v>0</v>
      </c>
      <c r="F1121" s="9" t="n">
        <v>0</v>
      </c>
      <c r="G1121" s="9" t="n">
        <v>-392461.85</v>
      </c>
      <c r="H1121" s="9">
        <f>IF(D1121="USD",E1121*$N$1,E1121)</f>
        <v/>
      </c>
      <c r="I1121" s="9">
        <f>IF(D1121="USD",F1121*$N$1,F1121)</f>
        <v/>
      </c>
      <c r="J1121" s="9">
        <f>IF(D1121="USD",G1121*$N$1,G1121)</f>
        <v/>
      </c>
      <c r="K1121" s="9">
        <f>H1121+I1121</f>
        <v/>
      </c>
    </row>
    <row r="1122">
      <c r="A1122" s="8" t="n">
        <v>46150</v>
      </c>
      <c r="B1122" t="inlineStr">
        <is>
          <t>2026-W19</t>
        </is>
      </c>
      <c r="C1122" t="inlineStr">
        <is>
          <t>Nuvei</t>
        </is>
      </c>
      <c r="D1122" t="inlineStr">
        <is>
          <t>EUR</t>
        </is>
      </c>
      <c r="E1122" s="9" t="n">
        <v>395528.95</v>
      </c>
      <c r="F1122" s="9" t="n">
        <v>-7167.82</v>
      </c>
      <c r="G1122" s="9" t="n">
        <v>0</v>
      </c>
      <c r="H1122" s="9">
        <f>IF(D1122="USD",E1122*$N$1,E1122)</f>
        <v/>
      </c>
      <c r="I1122" s="9">
        <f>IF(D1122="USD",F1122*$N$1,F1122)</f>
        <v/>
      </c>
      <c r="J1122" s="9">
        <f>IF(D1122="USD",G1122*$N$1,G1122)</f>
        <v/>
      </c>
      <c r="K1122" s="9">
        <f>H1122+I1122</f>
        <v/>
      </c>
    </row>
    <row r="1123">
      <c r="A1123" s="8" t="n">
        <v>46150</v>
      </c>
      <c r="B1123" t="inlineStr">
        <is>
          <t>2026-W19</t>
        </is>
      </c>
      <c r="C1123" t="inlineStr">
        <is>
          <t>Nuvei</t>
        </is>
      </c>
      <c r="D1123" t="inlineStr">
        <is>
          <t>EUR</t>
        </is>
      </c>
      <c r="E1123" s="9" t="n">
        <v>101420.89</v>
      </c>
      <c r="F1123" s="9" t="n">
        <v>-2872.22</v>
      </c>
      <c r="G1123" s="9" t="n">
        <v>0</v>
      </c>
      <c r="H1123" s="9">
        <f>IF(D1123="USD",E1123*$N$1,E1123)</f>
        <v/>
      </c>
      <c r="I1123" s="9">
        <f>IF(D1123="USD",F1123*$N$1,F1123)</f>
        <v/>
      </c>
      <c r="J1123" s="9">
        <f>IF(D1123="USD",G1123*$N$1,G1123)</f>
        <v/>
      </c>
      <c r="K1123" s="9">
        <f>H1123+I1123</f>
        <v/>
      </c>
    </row>
    <row r="1124">
      <c r="A1124" s="8" t="n">
        <v>46150</v>
      </c>
      <c r="B1124" t="inlineStr">
        <is>
          <t>2026-W19</t>
        </is>
      </c>
      <c r="C1124" t="inlineStr">
        <is>
          <t>Shift4</t>
        </is>
      </c>
      <c r="D1124" t="inlineStr">
        <is>
          <t>EUR</t>
        </is>
      </c>
      <c r="E1124" s="9" t="n">
        <v>0</v>
      </c>
      <c r="F1124" s="9" t="n">
        <v>0</v>
      </c>
      <c r="G1124" s="9" t="n">
        <v>-619929.6899999999</v>
      </c>
      <c r="H1124" s="9">
        <f>IF(D1124="USD",E1124*$N$1,E1124)</f>
        <v/>
      </c>
      <c r="I1124" s="9">
        <f>IF(D1124="USD",F1124*$N$1,F1124)</f>
        <v/>
      </c>
      <c r="J1124" s="9">
        <f>IF(D1124="USD",G1124*$N$1,G1124)</f>
        <v/>
      </c>
      <c r="K1124" s="9">
        <f>H1124+I1124</f>
        <v/>
      </c>
    </row>
    <row r="1125">
      <c r="A1125" s="8" t="n">
        <v>46150</v>
      </c>
      <c r="B1125" t="inlineStr">
        <is>
          <t>2026-W19</t>
        </is>
      </c>
      <c r="C1125" t="inlineStr">
        <is>
          <t>Shift4</t>
        </is>
      </c>
      <c r="D1125" t="inlineStr">
        <is>
          <t>EUR</t>
        </is>
      </c>
      <c r="E1125" s="9" t="n">
        <v>485500.64</v>
      </c>
      <c r="F1125" s="9" t="n">
        <v>-4597.27</v>
      </c>
      <c r="G1125" s="9" t="n">
        <v>0</v>
      </c>
      <c r="H1125" s="9">
        <f>IF(D1125="USD",E1125*$N$1,E1125)</f>
        <v/>
      </c>
      <c r="I1125" s="9">
        <f>IF(D1125="USD",F1125*$N$1,F1125)</f>
        <v/>
      </c>
      <c r="J1125" s="9">
        <f>IF(D1125="USD",G1125*$N$1,G1125)</f>
        <v/>
      </c>
      <c r="K1125" s="9">
        <f>H1125+I1125</f>
        <v/>
      </c>
    </row>
    <row r="1126">
      <c r="A1126" s="8" t="n">
        <v>46151</v>
      </c>
      <c r="B1126" t="inlineStr">
        <is>
          <t>2026-W19</t>
        </is>
      </c>
      <c r="C1126" t="inlineStr">
        <is>
          <t>Adyen</t>
        </is>
      </c>
      <c r="D1126" t="inlineStr">
        <is>
          <t>EUR</t>
        </is>
      </c>
      <c r="E1126" s="9" t="n">
        <v>414233.68</v>
      </c>
      <c r="F1126" s="9" t="n">
        <v>0</v>
      </c>
      <c r="G1126" s="9" t="n">
        <v>0</v>
      </c>
      <c r="H1126" s="9">
        <f>IF(D1126="USD",E1126*$N$1,E1126)</f>
        <v/>
      </c>
      <c r="I1126" s="9">
        <f>IF(D1126="USD",F1126*$N$1,F1126)</f>
        <v/>
      </c>
      <c r="J1126" s="9">
        <f>IF(D1126="USD",G1126*$N$1,G1126)</f>
        <v/>
      </c>
      <c r="K1126" s="9">
        <f>H1126+I1126</f>
        <v/>
      </c>
    </row>
    <row r="1127">
      <c r="A1127" s="8" t="n">
        <v>46151</v>
      </c>
      <c r="B1127" t="inlineStr">
        <is>
          <t>2026-W19</t>
        </is>
      </c>
      <c r="C1127" t="inlineStr">
        <is>
          <t>Adyen</t>
        </is>
      </c>
      <c r="D1127" t="inlineStr">
        <is>
          <t>EUR</t>
        </is>
      </c>
      <c r="E1127" s="9" t="n">
        <v>39439.44</v>
      </c>
      <c r="F1127" s="9" t="n">
        <v>0</v>
      </c>
      <c r="G1127" s="9" t="n">
        <v>0</v>
      </c>
      <c r="H1127" s="9">
        <f>IF(D1127="USD",E1127*$N$1,E1127)</f>
        <v/>
      </c>
      <c r="I1127" s="9">
        <f>IF(D1127="USD",F1127*$N$1,F1127)</f>
        <v/>
      </c>
      <c r="J1127" s="9">
        <f>IF(D1127="USD",G1127*$N$1,G1127)</f>
        <v/>
      </c>
      <c r="K1127" s="9">
        <f>H1127+I1127</f>
        <v/>
      </c>
    </row>
    <row r="1128">
      <c r="A1128" s="8" t="n">
        <v>46151</v>
      </c>
      <c r="B1128" t="inlineStr">
        <is>
          <t>2026-W19</t>
        </is>
      </c>
      <c r="C1128" t="inlineStr">
        <is>
          <t>Nuvei</t>
        </is>
      </c>
      <c r="D1128" t="inlineStr">
        <is>
          <t>EUR</t>
        </is>
      </c>
      <c r="E1128" s="9" t="n">
        <v>287059.53</v>
      </c>
      <c r="F1128" s="9" t="n">
        <v>-5112.63</v>
      </c>
      <c r="G1128" s="9" t="n">
        <v>0</v>
      </c>
      <c r="H1128" s="9">
        <f>IF(D1128="USD",E1128*$N$1,E1128)</f>
        <v/>
      </c>
      <c r="I1128" s="9">
        <f>IF(D1128="USD",F1128*$N$1,F1128)</f>
        <v/>
      </c>
      <c r="J1128" s="9">
        <f>IF(D1128="USD",G1128*$N$1,G1128)</f>
        <v/>
      </c>
      <c r="K1128" s="9">
        <f>H1128+I1128</f>
        <v/>
      </c>
    </row>
    <row r="1129">
      <c r="A1129" s="8" t="n">
        <v>46151</v>
      </c>
      <c r="B1129" t="inlineStr">
        <is>
          <t>2026-W19</t>
        </is>
      </c>
      <c r="C1129" t="inlineStr">
        <is>
          <t>Nuvei</t>
        </is>
      </c>
      <c r="D1129" t="inlineStr">
        <is>
          <t>EUR</t>
        </is>
      </c>
      <c r="E1129" s="9" t="n">
        <v>116842.92</v>
      </c>
      <c r="F1129" s="9" t="n">
        <v>-3378.56</v>
      </c>
      <c r="G1129" s="9" t="n">
        <v>0</v>
      </c>
      <c r="H1129" s="9">
        <f>IF(D1129="USD",E1129*$N$1,E1129)</f>
        <v/>
      </c>
      <c r="I1129" s="9">
        <f>IF(D1129="USD",F1129*$N$1,F1129)</f>
        <v/>
      </c>
      <c r="J1129" s="9">
        <f>IF(D1129="USD",G1129*$N$1,G1129)</f>
        <v/>
      </c>
      <c r="K1129" s="9">
        <f>H1129+I1129</f>
        <v/>
      </c>
    </row>
    <row r="1130">
      <c r="A1130" s="8" t="n">
        <v>46151</v>
      </c>
      <c r="B1130" t="inlineStr">
        <is>
          <t>2026-W19</t>
        </is>
      </c>
      <c r="C1130" t="inlineStr">
        <is>
          <t>Shift4</t>
        </is>
      </c>
      <c r="D1130" t="inlineStr">
        <is>
          <t>EUR</t>
        </is>
      </c>
      <c r="E1130" s="9" t="n">
        <v>414331.91</v>
      </c>
      <c r="F1130" s="9" t="n">
        <v>-3753.68</v>
      </c>
      <c r="G1130" s="9" t="n">
        <v>0</v>
      </c>
      <c r="H1130" s="9">
        <f>IF(D1130="USD",E1130*$N$1,E1130)</f>
        <v/>
      </c>
      <c r="I1130" s="9">
        <f>IF(D1130="USD",F1130*$N$1,F1130)</f>
        <v/>
      </c>
      <c r="J1130" s="9">
        <f>IF(D1130="USD",G1130*$N$1,G1130)</f>
        <v/>
      </c>
      <c r="K1130" s="9">
        <f>H1130+I1130</f>
        <v/>
      </c>
    </row>
    <row r="1131">
      <c r="A1131" s="8" t="n">
        <v>46152</v>
      </c>
      <c r="B1131" t="inlineStr">
        <is>
          <t>2026-W19</t>
        </is>
      </c>
      <c r="C1131" t="inlineStr">
        <is>
          <t>Adyen</t>
        </is>
      </c>
      <c r="D1131" t="inlineStr">
        <is>
          <t>EUR</t>
        </is>
      </c>
      <c r="E1131" s="9" t="n">
        <v>445351.8</v>
      </c>
      <c r="F1131" s="9" t="n">
        <v>0</v>
      </c>
      <c r="G1131" s="9" t="n">
        <v>0</v>
      </c>
      <c r="H1131" s="9">
        <f>IF(D1131="USD",E1131*$N$1,E1131)</f>
        <v/>
      </c>
      <c r="I1131" s="9">
        <f>IF(D1131="USD",F1131*$N$1,F1131)</f>
        <v/>
      </c>
      <c r="J1131" s="9">
        <f>IF(D1131="USD",G1131*$N$1,G1131)</f>
        <v/>
      </c>
      <c r="K1131" s="9">
        <f>H1131+I1131</f>
        <v/>
      </c>
    </row>
    <row r="1132">
      <c r="A1132" s="8" t="n">
        <v>46152</v>
      </c>
      <c r="B1132" t="inlineStr">
        <is>
          <t>2026-W19</t>
        </is>
      </c>
      <c r="C1132" t="inlineStr">
        <is>
          <t>Adyen</t>
        </is>
      </c>
      <c r="D1132" t="inlineStr">
        <is>
          <t>EUR</t>
        </is>
      </c>
      <c r="E1132" s="9" t="n">
        <v>33771.76</v>
      </c>
      <c r="F1132" s="9" t="n">
        <v>0</v>
      </c>
      <c r="G1132" s="9" t="n">
        <v>0</v>
      </c>
      <c r="H1132" s="9">
        <f>IF(D1132="USD",E1132*$N$1,E1132)</f>
        <v/>
      </c>
      <c r="I1132" s="9">
        <f>IF(D1132="USD",F1132*$N$1,F1132)</f>
        <v/>
      </c>
      <c r="J1132" s="9">
        <f>IF(D1132="USD",G1132*$N$1,G1132)</f>
        <v/>
      </c>
      <c r="K1132" s="9">
        <f>H1132+I1132</f>
        <v/>
      </c>
    </row>
    <row r="1133">
      <c r="A1133" s="8" t="n">
        <v>46152</v>
      </c>
      <c r="B1133" t="inlineStr">
        <is>
          <t>2026-W19</t>
        </is>
      </c>
      <c r="C1133" t="inlineStr">
        <is>
          <t>Nuvei</t>
        </is>
      </c>
      <c r="D1133" t="inlineStr">
        <is>
          <t>EUR</t>
        </is>
      </c>
      <c r="E1133" s="9" t="n">
        <v>359565.36</v>
      </c>
      <c r="F1133" s="9" t="n">
        <v>-6258.88</v>
      </c>
      <c r="G1133" s="9" t="n">
        <v>0</v>
      </c>
      <c r="H1133" s="9">
        <f>IF(D1133="USD",E1133*$N$1,E1133)</f>
        <v/>
      </c>
      <c r="I1133" s="9">
        <f>IF(D1133="USD",F1133*$N$1,F1133)</f>
        <v/>
      </c>
      <c r="J1133" s="9">
        <f>IF(D1133="USD",G1133*$N$1,G1133)</f>
        <v/>
      </c>
      <c r="K1133" s="9">
        <f>H1133+I1133</f>
        <v/>
      </c>
    </row>
    <row r="1134">
      <c r="A1134" s="8" t="n">
        <v>46152</v>
      </c>
      <c r="B1134" t="inlineStr">
        <is>
          <t>2026-W19</t>
        </is>
      </c>
      <c r="C1134" t="inlineStr">
        <is>
          <t>Nuvei</t>
        </is>
      </c>
      <c r="D1134" t="inlineStr">
        <is>
          <t>EUR</t>
        </is>
      </c>
      <c r="E1134" s="9" t="n">
        <v>103286.67</v>
      </c>
      <c r="F1134" s="9" t="n">
        <v>-2969.66</v>
      </c>
      <c r="G1134" s="9" t="n">
        <v>0</v>
      </c>
      <c r="H1134" s="9">
        <f>IF(D1134="USD",E1134*$N$1,E1134)</f>
        <v/>
      </c>
      <c r="I1134" s="9">
        <f>IF(D1134="USD",F1134*$N$1,F1134)</f>
        <v/>
      </c>
      <c r="J1134" s="9">
        <f>IF(D1134="USD",G1134*$N$1,G1134)</f>
        <v/>
      </c>
      <c r="K1134" s="9">
        <f>H1134+I1134</f>
        <v/>
      </c>
    </row>
    <row r="1135">
      <c r="A1135" s="8" t="n">
        <v>46152</v>
      </c>
      <c r="B1135" t="inlineStr">
        <is>
          <t>2026-W19</t>
        </is>
      </c>
      <c r="C1135" t="inlineStr">
        <is>
          <t>Shift4</t>
        </is>
      </c>
      <c r="D1135" t="inlineStr">
        <is>
          <t>EUR</t>
        </is>
      </c>
      <c r="E1135" s="9" t="n">
        <v>586739.22</v>
      </c>
      <c r="F1135" s="9" t="n">
        <v>-5016.49</v>
      </c>
      <c r="G1135" s="9" t="n">
        <v>0</v>
      </c>
      <c r="H1135" s="9">
        <f>IF(D1135="USD",E1135*$N$1,E1135)</f>
        <v/>
      </c>
      <c r="I1135" s="9">
        <f>IF(D1135="USD",F1135*$N$1,F1135)</f>
        <v/>
      </c>
      <c r="J1135" s="9">
        <f>IF(D1135="USD",G1135*$N$1,G1135)</f>
        <v/>
      </c>
      <c r="K1135" s="9">
        <f>H1135+I1135</f>
        <v/>
      </c>
    </row>
    <row r="1136">
      <c r="A1136" s="8" t="n">
        <v>46153</v>
      </c>
      <c r="B1136" t="inlineStr">
        <is>
          <t>2026-W20</t>
        </is>
      </c>
      <c r="C1136" t="inlineStr">
        <is>
          <t>Adyen</t>
        </is>
      </c>
      <c r="D1136" t="inlineStr">
        <is>
          <t>EUR</t>
        </is>
      </c>
      <c r="E1136" s="9" t="n">
        <v>0</v>
      </c>
      <c r="F1136" s="9" t="n">
        <v>0</v>
      </c>
      <c r="G1136" s="9" t="n">
        <v>-755079.95</v>
      </c>
      <c r="H1136" s="9">
        <f>IF(D1136="USD",E1136*$N$1,E1136)</f>
        <v/>
      </c>
      <c r="I1136" s="9">
        <f>IF(D1136="USD",F1136*$N$1,F1136)</f>
        <v/>
      </c>
      <c r="J1136" s="9">
        <f>IF(D1136="USD",G1136*$N$1,G1136)</f>
        <v/>
      </c>
      <c r="K1136" s="9">
        <f>H1136+I1136</f>
        <v/>
      </c>
    </row>
    <row r="1137">
      <c r="A1137" s="8" t="n">
        <v>46153</v>
      </c>
      <c r="B1137" t="inlineStr">
        <is>
          <t>2026-W20</t>
        </is>
      </c>
      <c r="C1137" t="inlineStr">
        <is>
          <t>Adyen</t>
        </is>
      </c>
      <c r="D1137" t="inlineStr">
        <is>
          <t>EUR</t>
        </is>
      </c>
      <c r="E1137" s="9" t="n">
        <v>684254.27</v>
      </c>
      <c r="F1137" s="9" t="n">
        <v>643995.7</v>
      </c>
      <c r="G1137" s="9" t="n">
        <v>0</v>
      </c>
      <c r="H1137" s="9">
        <f>IF(D1137="USD",E1137*$N$1,E1137)</f>
        <v/>
      </c>
      <c r="I1137" s="9">
        <f>IF(D1137="USD",F1137*$N$1,F1137)</f>
        <v/>
      </c>
      <c r="J1137" s="9">
        <f>IF(D1137="USD",G1137*$N$1,G1137)</f>
        <v/>
      </c>
      <c r="K1137" s="9">
        <f>H1137+I1137</f>
        <v/>
      </c>
    </row>
    <row r="1138">
      <c r="A1138" s="8" t="n">
        <v>46153</v>
      </c>
      <c r="B1138" t="inlineStr">
        <is>
          <t>2026-W20</t>
        </is>
      </c>
      <c r="C1138" t="inlineStr">
        <is>
          <t>Adyen</t>
        </is>
      </c>
      <c r="D1138" t="inlineStr">
        <is>
          <t>EUR</t>
        </is>
      </c>
      <c r="E1138" s="9" t="n">
        <v>87412.67999999999</v>
      </c>
      <c r="F1138" s="9" t="n">
        <v>0</v>
      </c>
      <c r="G1138" s="9" t="n">
        <v>0</v>
      </c>
      <c r="H1138" s="9">
        <f>IF(D1138="USD",E1138*$N$1,E1138)</f>
        <v/>
      </c>
      <c r="I1138" s="9">
        <f>IF(D1138="USD",F1138*$N$1,F1138)</f>
        <v/>
      </c>
      <c r="J1138" s="9">
        <f>IF(D1138="USD",G1138*$N$1,G1138)</f>
        <v/>
      </c>
      <c r="K1138" s="9">
        <f>H1138+I1138</f>
        <v/>
      </c>
    </row>
    <row r="1139">
      <c r="A1139" s="8" t="n">
        <v>46153</v>
      </c>
      <c r="B1139" t="inlineStr">
        <is>
          <t>2026-W20</t>
        </is>
      </c>
      <c r="C1139" t="inlineStr">
        <is>
          <t>Nuvei</t>
        </is>
      </c>
      <c r="D1139" t="inlineStr">
        <is>
          <t>EUR</t>
        </is>
      </c>
      <c r="E1139" s="9" t="n">
        <v>0</v>
      </c>
      <c r="F1139" s="9" t="n">
        <v>0</v>
      </c>
      <c r="G1139" s="9" t="n">
        <v>-302410.57</v>
      </c>
      <c r="H1139" s="9">
        <f>IF(D1139="USD",E1139*$N$1,E1139)</f>
        <v/>
      </c>
      <c r="I1139" s="9">
        <f>IF(D1139="USD",F1139*$N$1,F1139)</f>
        <v/>
      </c>
      <c r="J1139" s="9">
        <f>IF(D1139="USD",G1139*$N$1,G1139)</f>
        <v/>
      </c>
      <c r="K1139" s="9">
        <f>H1139+I1139</f>
        <v/>
      </c>
    </row>
    <row r="1140">
      <c r="A1140" s="8" t="n">
        <v>46153</v>
      </c>
      <c r="B1140" t="inlineStr">
        <is>
          <t>2026-W20</t>
        </is>
      </c>
      <c r="C1140" t="inlineStr">
        <is>
          <t>Nuvei</t>
        </is>
      </c>
      <c r="D1140" t="inlineStr">
        <is>
          <t>EUR</t>
        </is>
      </c>
      <c r="E1140" s="9" t="n">
        <v>0</v>
      </c>
      <c r="F1140" s="9" t="n">
        <v>0</v>
      </c>
      <c r="G1140" s="9" t="n">
        <v>-104312.67</v>
      </c>
      <c r="H1140" s="9">
        <f>IF(D1140="USD",E1140*$N$1,E1140)</f>
        <v/>
      </c>
      <c r="I1140" s="9">
        <f>IF(D1140="USD",F1140*$N$1,F1140)</f>
        <v/>
      </c>
      <c r="J1140" s="9">
        <f>IF(D1140="USD",G1140*$N$1,G1140)</f>
        <v/>
      </c>
      <c r="K1140" s="9">
        <f>H1140+I1140</f>
        <v/>
      </c>
    </row>
    <row r="1141">
      <c r="A1141" s="8" t="n">
        <v>46153</v>
      </c>
      <c r="B1141" t="inlineStr">
        <is>
          <t>2026-W20</t>
        </is>
      </c>
      <c r="C1141" t="inlineStr">
        <is>
          <t>Nuvei</t>
        </is>
      </c>
      <c r="D1141" t="inlineStr">
        <is>
          <t>EUR</t>
        </is>
      </c>
      <c r="E1141" s="9" t="n">
        <v>407453.74</v>
      </c>
      <c r="F1141" s="9" t="n">
        <v>-7673.34</v>
      </c>
      <c r="G1141" s="9" t="n">
        <v>0</v>
      </c>
      <c r="H1141" s="9">
        <f>IF(D1141="USD",E1141*$N$1,E1141)</f>
        <v/>
      </c>
      <c r="I1141" s="9">
        <f>IF(D1141="USD",F1141*$N$1,F1141)</f>
        <v/>
      </c>
      <c r="J1141" s="9">
        <f>IF(D1141="USD",G1141*$N$1,G1141)</f>
        <v/>
      </c>
      <c r="K1141" s="9">
        <f>H1141+I1141</f>
        <v/>
      </c>
    </row>
    <row r="1142">
      <c r="A1142" s="8" t="n">
        <v>46153</v>
      </c>
      <c r="B1142" t="inlineStr">
        <is>
          <t>2026-W20</t>
        </is>
      </c>
      <c r="C1142" t="inlineStr">
        <is>
          <t>Nuvei</t>
        </is>
      </c>
      <c r="D1142" t="inlineStr">
        <is>
          <t>EUR</t>
        </is>
      </c>
      <c r="E1142" s="9" t="n">
        <v>147648.08</v>
      </c>
      <c r="F1142" s="9" t="n">
        <v>-4261.18</v>
      </c>
      <c r="G1142" s="9" t="n">
        <v>0</v>
      </c>
      <c r="H1142" s="9">
        <f>IF(D1142="USD",E1142*$N$1,E1142)</f>
        <v/>
      </c>
      <c r="I1142" s="9">
        <f>IF(D1142="USD",F1142*$N$1,F1142)</f>
        <v/>
      </c>
      <c r="J1142" s="9">
        <f>IF(D1142="USD",G1142*$N$1,G1142)</f>
        <v/>
      </c>
      <c r="K1142" s="9">
        <f>H1142+I1142</f>
        <v/>
      </c>
    </row>
    <row r="1143">
      <c r="A1143" s="8" t="n">
        <v>46153</v>
      </c>
      <c r="B1143" t="inlineStr">
        <is>
          <t>2026-W20</t>
        </is>
      </c>
      <c r="C1143" t="inlineStr">
        <is>
          <t>Shift4</t>
        </is>
      </c>
      <c r="D1143" t="inlineStr">
        <is>
          <t>EUR</t>
        </is>
      </c>
      <c r="E1143" s="9" t="n">
        <v>0</v>
      </c>
      <c r="F1143" s="9" t="n">
        <v>0</v>
      </c>
      <c r="G1143" s="9" t="n">
        <v>-577911.64</v>
      </c>
      <c r="H1143" s="9">
        <f>IF(D1143="USD",E1143*$N$1,E1143)</f>
        <v/>
      </c>
      <c r="I1143" s="9">
        <f>IF(D1143="USD",F1143*$N$1,F1143)</f>
        <v/>
      </c>
      <c r="J1143" s="9">
        <f>IF(D1143="USD",G1143*$N$1,G1143)</f>
        <v/>
      </c>
      <c r="K1143" s="9">
        <f>H1143+I1143</f>
        <v/>
      </c>
    </row>
    <row r="1144">
      <c r="A1144" s="8" t="n">
        <v>46153</v>
      </c>
      <c r="B1144" t="inlineStr">
        <is>
          <t>2026-W20</t>
        </is>
      </c>
      <c r="C1144" t="inlineStr">
        <is>
          <t>Shift4</t>
        </is>
      </c>
      <c r="D1144" t="inlineStr">
        <is>
          <t>EUR</t>
        </is>
      </c>
      <c r="E1144" s="9" t="n">
        <v>578116.73</v>
      </c>
      <c r="F1144" s="9" t="n">
        <v>-5848.93</v>
      </c>
      <c r="G1144" s="9" t="n">
        <v>0</v>
      </c>
      <c r="H1144" s="9">
        <f>IF(D1144="USD",E1144*$N$1,E1144)</f>
        <v/>
      </c>
      <c r="I1144" s="9">
        <f>IF(D1144="USD",F1144*$N$1,F1144)</f>
        <v/>
      </c>
      <c r="J1144" s="9">
        <f>IF(D1144="USD",G1144*$N$1,G1144)</f>
        <v/>
      </c>
      <c r="K1144" s="9">
        <f>H1144+I1144</f>
        <v/>
      </c>
    </row>
    <row r="1145">
      <c r="A1145" s="8" t="n">
        <v>46154</v>
      </c>
      <c r="B1145" t="inlineStr">
        <is>
          <t>2026-W20</t>
        </is>
      </c>
      <c r="C1145" t="inlineStr">
        <is>
          <t>Adyen</t>
        </is>
      </c>
      <c r="D1145" t="inlineStr">
        <is>
          <t>EUR</t>
        </is>
      </c>
      <c r="E1145" s="9" t="n">
        <v>0</v>
      </c>
      <c r="F1145" s="9" t="n">
        <v>0</v>
      </c>
      <c r="G1145" s="9" t="n">
        <v>-924255.48</v>
      </c>
      <c r="H1145" s="9">
        <f>IF(D1145="USD",E1145*$N$1,E1145)</f>
        <v/>
      </c>
      <c r="I1145" s="9">
        <f>IF(D1145="USD",F1145*$N$1,F1145)</f>
        <v/>
      </c>
      <c r="J1145" s="9">
        <f>IF(D1145="USD",G1145*$N$1,G1145)</f>
        <v/>
      </c>
      <c r="K1145" s="9">
        <f>H1145+I1145</f>
        <v/>
      </c>
    </row>
    <row r="1146">
      <c r="A1146" s="8" t="n">
        <v>46154</v>
      </c>
      <c r="B1146" t="inlineStr">
        <is>
          <t>2026-W20</t>
        </is>
      </c>
      <c r="C1146" t="inlineStr">
        <is>
          <t>Adyen</t>
        </is>
      </c>
      <c r="D1146" t="inlineStr">
        <is>
          <t>EUR</t>
        </is>
      </c>
      <c r="E1146" s="9" t="n">
        <v>755693.21</v>
      </c>
      <c r="F1146" s="9" t="n">
        <v>-12966.22000000009</v>
      </c>
      <c r="G1146" s="9" t="n">
        <v>0</v>
      </c>
      <c r="H1146" s="9">
        <f>IF(D1146="USD",E1146*$N$1,E1146)</f>
        <v/>
      </c>
      <c r="I1146" s="9">
        <f>IF(D1146="USD",F1146*$N$1,F1146)</f>
        <v/>
      </c>
      <c r="J1146" s="9">
        <f>IF(D1146="USD",G1146*$N$1,G1146)</f>
        <v/>
      </c>
      <c r="K1146" s="9">
        <f>H1146+I1146</f>
        <v/>
      </c>
    </row>
    <row r="1147">
      <c r="A1147" s="8" t="n">
        <v>46154</v>
      </c>
      <c r="B1147" t="inlineStr">
        <is>
          <t>2026-W20</t>
        </is>
      </c>
      <c r="C1147" t="inlineStr">
        <is>
          <t>Adyen</t>
        </is>
      </c>
      <c r="D1147" t="inlineStr">
        <is>
          <t>EUR</t>
        </is>
      </c>
      <c r="E1147" s="9" t="n">
        <v>84680.8</v>
      </c>
      <c r="F1147" s="9" t="n">
        <v>0</v>
      </c>
      <c r="G1147" s="9" t="n">
        <v>0</v>
      </c>
      <c r="H1147" s="9">
        <f>IF(D1147="USD",E1147*$N$1,E1147)</f>
        <v/>
      </c>
      <c r="I1147" s="9">
        <f>IF(D1147="USD",F1147*$N$1,F1147)</f>
        <v/>
      </c>
      <c r="J1147" s="9">
        <f>IF(D1147="USD",G1147*$N$1,G1147)</f>
        <v/>
      </c>
      <c r="K1147" s="9">
        <f>H1147+I1147</f>
        <v/>
      </c>
    </row>
    <row r="1148">
      <c r="A1148" s="8" t="n">
        <v>46154</v>
      </c>
      <c r="B1148" t="inlineStr">
        <is>
          <t>2026-W20</t>
        </is>
      </c>
      <c r="C1148" t="inlineStr">
        <is>
          <t>Nuvei</t>
        </is>
      </c>
      <c r="D1148" t="inlineStr">
        <is>
          <t>EUR</t>
        </is>
      </c>
      <c r="E1148" s="9" t="n">
        <v>0</v>
      </c>
      <c r="F1148" s="9" t="n">
        <v>0</v>
      </c>
      <c r="G1148" s="9" t="n">
        <v>-280274.29</v>
      </c>
      <c r="H1148" s="9">
        <f>IF(D1148="USD",E1148*$N$1,E1148)</f>
        <v/>
      </c>
      <c r="I1148" s="9">
        <f>IF(D1148="USD",F1148*$N$1,F1148)</f>
        <v/>
      </c>
      <c r="J1148" s="9">
        <f>IF(D1148="USD",G1148*$N$1,G1148)</f>
        <v/>
      </c>
      <c r="K1148" s="9">
        <f>H1148+I1148</f>
        <v/>
      </c>
    </row>
    <row r="1149">
      <c r="A1149" s="8" t="n">
        <v>46154</v>
      </c>
      <c r="B1149" t="inlineStr">
        <is>
          <t>2026-W20</t>
        </is>
      </c>
      <c r="C1149" t="inlineStr">
        <is>
          <t>Nuvei</t>
        </is>
      </c>
      <c r="D1149" t="inlineStr">
        <is>
          <t>EUR</t>
        </is>
      </c>
      <c r="E1149" s="9" t="n">
        <v>0</v>
      </c>
      <c r="F1149" s="9" t="n">
        <v>0</v>
      </c>
      <c r="G1149" s="9" t="n">
        <v>-110798.14</v>
      </c>
      <c r="H1149" s="9">
        <f>IF(D1149="USD",E1149*$N$1,E1149)</f>
        <v/>
      </c>
      <c r="I1149" s="9">
        <f>IF(D1149="USD",F1149*$N$1,F1149)</f>
        <v/>
      </c>
      <c r="J1149" s="9">
        <f>IF(D1149="USD",G1149*$N$1,G1149)</f>
        <v/>
      </c>
      <c r="K1149" s="9">
        <f>H1149+I1149</f>
        <v/>
      </c>
    </row>
    <row r="1150">
      <c r="A1150" s="8" t="n">
        <v>46154</v>
      </c>
      <c r="B1150" t="inlineStr">
        <is>
          <t>2026-W20</t>
        </is>
      </c>
      <c r="C1150" t="inlineStr">
        <is>
          <t>Nuvei</t>
        </is>
      </c>
      <c r="D1150" t="inlineStr">
        <is>
          <t>EUR</t>
        </is>
      </c>
      <c r="E1150" s="9" t="n">
        <v>339129.36</v>
      </c>
      <c r="F1150" s="9" t="n">
        <v>-8046.93</v>
      </c>
      <c r="G1150" s="9" t="n">
        <v>0</v>
      </c>
      <c r="H1150" s="9">
        <f>IF(D1150="USD",E1150*$N$1,E1150)</f>
        <v/>
      </c>
      <c r="I1150" s="9">
        <f>IF(D1150="USD",F1150*$N$1,F1150)</f>
        <v/>
      </c>
      <c r="J1150" s="9">
        <f>IF(D1150="USD",G1150*$N$1,G1150)</f>
        <v/>
      </c>
      <c r="K1150" s="9">
        <f>H1150+I1150</f>
        <v/>
      </c>
    </row>
    <row r="1151">
      <c r="A1151" s="8" t="n">
        <v>46154</v>
      </c>
      <c r="B1151" t="inlineStr">
        <is>
          <t>2026-W20</t>
        </is>
      </c>
      <c r="C1151" t="inlineStr">
        <is>
          <t>Nuvei</t>
        </is>
      </c>
      <c r="D1151" t="inlineStr">
        <is>
          <t>EUR</t>
        </is>
      </c>
      <c r="E1151" s="9" t="n">
        <v>124131.83</v>
      </c>
      <c r="F1151" s="9" t="n">
        <v>-3853.66</v>
      </c>
      <c r="G1151" s="9" t="n">
        <v>0</v>
      </c>
      <c r="H1151" s="9">
        <f>IF(D1151="USD",E1151*$N$1,E1151)</f>
        <v/>
      </c>
      <c r="I1151" s="9">
        <f>IF(D1151="USD",F1151*$N$1,F1151)</f>
        <v/>
      </c>
      <c r="J1151" s="9">
        <f>IF(D1151="USD",G1151*$N$1,G1151)</f>
        <v/>
      </c>
      <c r="K1151" s="9">
        <f>H1151+I1151</f>
        <v/>
      </c>
    </row>
    <row r="1152">
      <c r="A1152" s="8" t="n">
        <v>46154</v>
      </c>
      <c r="B1152" t="inlineStr">
        <is>
          <t>2026-W20</t>
        </is>
      </c>
      <c r="C1152" t="inlineStr">
        <is>
          <t>Shift4</t>
        </is>
      </c>
      <c r="D1152" t="inlineStr">
        <is>
          <t>EUR</t>
        </is>
      </c>
      <c r="E1152" s="9" t="n">
        <v>0</v>
      </c>
      <c r="F1152" s="9" t="n">
        <v>0</v>
      </c>
      <c r="G1152" s="9" t="n">
        <v>-514159.13</v>
      </c>
      <c r="H1152" s="9">
        <f>IF(D1152="USD",E1152*$N$1,E1152)</f>
        <v/>
      </c>
      <c r="I1152" s="9">
        <f>IF(D1152="USD",F1152*$N$1,F1152)</f>
        <v/>
      </c>
      <c r="J1152" s="9">
        <f>IF(D1152="USD",G1152*$N$1,G1152)</f>
        <v/>
      </c>
      <c r="K1152" s="9">
        <f>H1152+I1152</f>
        <v/>
      </c>
    </row>
    <row r="1153">
      <c r="A1153" s="8" t="n">
        <v>46154</v>
      </c>
      <c r="B1153" t="inlineStr">
        <is>
          <t>2026-W20</t>
        </is>
      </c>
      <c r="C1153" t="inlineStr">
        <is>
          <t>Shift4</t>
        </is>
      </c>
      <c r="D1153" t="inlineStr">
        <is>
          <t>EUR</t>
        </is>
      </c>
      <c r="E1153" s="9" t="n">
        <v>520326.57</v>
      </c>
      <c r="F1153" s="9" t="n">
        <v>-5602.86</v>
      </c>
      <c r="G1153" s="9" t="n">
        <v>0</v>
      </c>
      <c r="H1153" s="9">
        <f>IF(D1153="USD",E1153*$N$1,E1153)</f>
        <v/>
      </c>
      <c r="I1153" s="9">
        <f>IF(D1153="USD",F1153*$N$1,F1153)</f>
        <v/>
      </c>
      <c r="J1153" s="9">
        <f>IF(D1153="USD",G1153*$N$1,G1153)</f>
        <v/>
      </c>
      <c r="K1153" s="9">
        <f>H1153+I1153</f>
        <v/>
      </c>
    </row>
    <row r="1154">
      <c r="A1154" s="8" t="n">
        <v>46155</v>
      </c>
      <c r="B1154" t="inlineStr">
        <is>
          <t>2026-W20</t>
        </is>
      </c>
      <c r="C1154" t="inlineStr">
        <is>
          <t>Adyen</t>
        </is>
      </c>
      <c r="D1154" t="inlineStr">
        <is>
          <t>EUR</t>
        </is>
      </c>
      <c r="E1154" s="9" t="n">
        <v>0</v>
      </c>
      <c r="F1154" s="9" t="n">
        <v>0</v>
      </c>
      <c r="G1154" s="9" t="n">
        <v>-1415662.65</v>
      </c>
      <c r="H1154" s="9">
        <f>IF(D1154="USD",E1154*$N$1,E1154)</f>
        <v/>
      </c>
      <c r="I1154" s="9">
        <f>IF(D1154="USD",F1154*$N$1,F1154)</f>
        <v/>
      </c>
      <c r="J1154" s="9">
        <f>IF(D1154="USD",G1154*$N$1,G1154)</f>
        <v/>
      </c>
      <c r="K1154" s="9">
        <f>H1154+I1154</f>
        <v/>
      </c>
    </row>
    <row r="1155">
      <c r="A1155" s="8" t="n">
        <v>46155</v>
      </c>
      <c r="B1155" t="inlineStr">
        <is>
          <t>2026-W20</t>
        </is>
      </c>
      <c r="C1155" t="inlineStr">
        <is>
          <t>Adyen</t>
        </is>
      </c>
      <c r="D1155" t="inlineStr">
        <is>
          <t>EUR</t>
        </is>
      </c>
      <c r="E1155" s="9" t="n">
        <v>694401.76</v>
      </c>
      <c r="F1155" s="9" t="n">
        <v>-7860.709999999963</v>
      </c>
      <c r="G1155" s="9" t="n">
        <v>0</v>
      </c>
      <c r="H1155" s="9">
        <f>IF(D1155="USD",E1155*$N$1,E1155)</f>
        <v/>
      </c>
      <c r="I1155" s="9">
        <f>IF(D1155="USD",F1155*$N$1,F1155)</f>
        <v/>
      </c>
      <c r="J1155" s="9">
        <f>IF(D1155="USD",G1155*$N$1,G1155)</f>
        <v/>
      </c>
      <c r="K1155" s="9">
        <f>H1155+I1155</f>
        <v/>
      </c>
    </row>
    <row r="1156">
      <c r="A1156" s="8" t="n">
        <v>46155</v>
      </c>
      <c r="B1156" t="inlineStr">
        <is>
          <t>2026-W20</t>
        </is>
      </c>
      <c r="C1156" t="inlineStr">
        <is>
          <t>Adyen</t>
        </is>
      </c>
      <c r="D1156" t="inlineStr">
        <is>
          <t>EUR</t>
        </is>
      </c>
      <c r="E1156" s="9" t="n">
        <v>65621.75</v>
      </c>
      <c r="F1156" s="9" t="n">
        <v>0</v>
      </c>
      <c r="G1156" s="9" t="n">
        <v>0</v>
      </c>
      <c r="H1156" s="9">
        <f>IF(D1156="USD",E1156*$N$1,E1156)</f>
        <v/>
      </c>
      <c r="I1156" s="9">
        <f>IF(D1156="USD",F1156*$N$1,F1156)</f>
        <v/>
      </c>
      <c r="J1156" s="9">
        <f>IF(D1156="USD",G1156*$N$1,G1156)</f>
        <v/>
      </c>
      <c r="K1156" s="9">
        <f>H1156+I1156</f>
        <v/>
      </c>
    </row>
    <row r="1157">
      <c r="A1157" s="8" t="n">
        <v>46155</v>
      </c>
      <c r="B1157" t="inlineStr">
        <is>
          <t>2026-W20</t>
        </is>
      </c>
      <c r="C1157" t="inlineStr">
        <is>
          <t>Nuvei</t>
        </is>
      </c>
      <c r="D1157" t="inlineStr">
        <is>
          <t>EUR</t>
        </is>
      </c>
      <c r="E1157" s="9" t="n">
        <v>0</v>
      </c>
      <c r="F1157" s="9" t="n">
        <v>0</v>
      </c>
      <c r="G1157" s="9" t="n">
        <v>-407935.03</v>
      </c>
      <c r="H1157" s="9">
        <f>IF(D1157="USD",E1157*$N$1,E1157)</f>
        <v/>
      </c>
      <c r="I1157" s="9">
        <f>IF(D1157="USD",F1157*$N$1,F1157)</f>
        <v/>
      </c>
      <c r="J1157" s="9">
        <f>IF(D1157="USD",G1157*$N$1,G1157)</f>
        <v/>
      </c>
      <c r="K1157" s="9">
        <f>H1157+I1157</f>
        <v/>
      </c>
    </row>
    <row r="1158">
      <c r="A1158" s="8" t="n">
        <v>46155</v>
      </c>
      <c r="B1158" t="inlineStr">
        <is>
          <t>2026-W20</t>
        </is>
      </c>
      <c r="C1158" t="inlineStr">
        <is>
          <t>Nuvei</t>
        </is>
      </c>
      <c r="D1158" t="inlineStr">
        <is>
          <t>EUR</t>
        </is>
      </c>
      <c r="E1158" s="9" t="n">
        <v>0</v>
      </c>
      <c r="F1158" s="9" t="n">
        <v>0</v>
      </c>
      <c r="G1158" s="9" t="n">
        <v>-124669.32</v>
      </c>
      <c r="H1158" s="9">
        <f>IF(D1158="USD",E1158*$N$1,E1158)</f>
        <v/>
      </c>
      <c r="I1158" s="9">
        <f>IF(D1158="USD",F1158*$N$1,F1158)</f>
        <v/>
      </c>
      <c r="J1158" s="9">
        <f>IF(D1158="USD",G1158*$N$1,G1158)</f>
        <v/>
      </c>
      <c r="K1158" s="9">
        <f>H1158+I1158</f>
        <v/>
      </c>
    </row>
    <row r="1159">
      <c r="A1159" s="8" t="n">
        <v>46155</v>
      </c>
      <c r="B1159" t="inlineStr">
        <is>
          <t>2026-W20</t>
        </is>
      </c>
      <c r="C1159" t="inlineStr">
        <is>
          <t>Nuvei</t>
        </is>
      </c>
      <c r="D1159" t="inlineStr">
        <is>
          <t>EUR</t>
        </is>
      </c>
      <c r="E1159" s="9" t="n">
        <v>147943.48</v>
      </c>
      <c r="F1159" s="9" t="n">
        <v>-7552.15</v>
      </c>
      <c r="G1159" s="9" t="n">
        <v>0</v>
      </c>
      <c r="H1159" s="9">
        <f>IF(D1159="USD",E1159*$N$1,E1159)</f>
        <v/>
      </c>
      <c r="I1159" s="9">
        <f>IF(D1159="USD",F1159*$N$1,F1159)</f>
        <v/>
      </c>
      <c r="J1159" s="9">
        <f>IF(D1159="USD",G1159*$N$1,G1159)</f>
        <v/>
      </c>
      <c r="K1159" s="9">
        <f>H1159+I1159</f>
        <v/>
      </c>
    </row>
    <row r="1160">
      <c r="A1160" s="8" t="n">
        <v>46155</v>
      </c>
      <c r="B1160" t="inlineStr">
        <is>
          <t>2026-W20</t>
        </is>
      </c>
      <c r="C1160" t="inlineStr">
        <is>
          <t>Nuvei</t>
        </is>
      </c>
      <c r="D1160" t="inlineStr">
        <is>
          <t>EUR</t>
        </is>
      </c>
      <c r="E1160" s="9" t="n">
        <v>105746.61</v>
      </c>
      <c r="F1160" s="9" t="n">
        <v>-3963</v>
      </c>
      <c r="G1160" s="9" t="n">
        <v>0</v>
      </c>
      <c r="H1160" s="9">
        <f>IF(D1160="USD",E1160*$N$1,E1160)</f>
        <v/>
      </c>
      <c r="I1160" s="9">
        <f>IF(D1160="USD",F1160*$N$1,F1160)</f>
        <v/>
      </c>
      <c r="J1160" s="9">
        <f>IF(D1160="USD",G1160*$N$1,G1160)</f>
        <v/>
      </c>
      <c r="K1160" s="9">
        <f>H1160+I1160</f>
        <v/>
      </c>
    </row>
    <row r="1161">
      <c r="A1161" s="8" t="n">
        <v>46155</v>
      </c>
      <c r="B1161" t="inlineStr">
        <is>
          <t>2026-W20</t>
        </is>
      </c>
      <c r="C1161" t="inlineStr">
        <is>
          <t>Shift4</t>
        </is>
      </c>
      <c r="D1161" t="inlineStr">
        <is>
          <t>EUR</t>
        </is>
      </c>
      <c r="E1161" s="9" t="n">
        <v>0</v>
      </c>
      <c r="F1161" s="9" t="n">
        <v>0</v>
      </c>
      <c r="G1161" s="9" t="n">
        <v>-480903.37</v>
      </c>
      <c r="H1161" s="9">
        <f>IF(D1161="USD",E1161*$N$1,E1161)</f>
        <v/>
      </c>
      <c r="I1161" s="9">
        <f>IF(D1161="USD",F1161*$N$1,F1161)</f>
        <v/>
      </c>
      <c r="J1161" s="9">
        <f>IF(D1161="USD",G1161*$N$1,G1161)</f>
        <v/>
      </c>
      <c r="K1161" s="9">
        <f>H1161+I1161</f>
        <v/>
      </c>
    </row>
    <row r="1162">
      <c r="A1162" s="8" t="n">
        <v>46155</v>
      </c>
      <c r="B1162" t="inlineStr">
        <is>
          <t>2026-W20</t>
        </is>
      </c>
      <c r="C1162" t="inlineStr">
        <is>
          <t>Shift4</t>
        </is>
      </c>
      <c r="D1162" t="inlineStr">
        <is>
          <t>EUR</t>
        </is>
      </c>
      <c r="E1162" s="9" t="n">
        <v>557707.8199999999</v>
      </c>
      <c r="F1162" s="9" t="n">
        <v>-5652.69</v>
      </c>
      <c r="G1162" s="9" t="n">
        <v>0</v>
      </c>
      <c r="H1162" s="9">
        <f>IF(D1162="USD",E1162*$N$1,E1162)</f>
        <v/>
      </c>
      <c r="I1162" s="9">
        <f>IF(D1162="USD",F1162*$N$1,F1162)</f>
        <v/>
      </c>
      <c r="J1162" s="9">
        <f>IF(D1162="USD",G1162*$N$1,G1162)</f>
        <v/>
      </c>
      <c r="K1162" s="9">
        <f>H1162+I1162</f>
        <v/>
      </c>
    </row>
    <row r="1163">
      <c r="A1163" s="8" t="n">
        <v>46156</v>
      </c>
      <c r="B1163" t="inlineStr">
        <is>
          <t>2026-W20</t>
        </is>
      </c>
      <c r="C1163" t="inlineStr">
        <is>
          <t>Adyen</t>
        </is>
      </c>
      <c r="D1163" t="inlineStr">
        <is>
          <t>EUR</t>
        </is>
      </c>
      <c r="E1163" s="9" t="n">
        <v>0</v>
      </c>
      <c r="F1163" s="9" t="n">
        <v>0</v>
      </c>
      <c r="G1163" s="9" t="n">
        <v>-827407.7899999999</v>
      </c>
      <c r="H1163" s="9">
        <f>IF(D1163="USD",E1163*$N$1,E1163)</f>
        <v/>
      </c>
      <c r="I1163" s="9">
        <f>IF(D1163="USD",F1163*$N$1,F1163)</f>
        <v/>
      </c>
      <c r="J1163" s="9">
        <f>IF(D1163="USD",G1163*$N$1,G1163)</f>
        <v/>
      </c>
      <c r="K1163" s="9">
        <f>H1163+I1163</f>
        <v/>
      </c>
    </row>
    <row r="1164">
      <c r="A1164" s="8" t="n">
        <v>46156</v>
      </c>
      <c r="B1164" t="inlineStr">
        <is>
          <t>2026-W20</t>
        </is>
      </c>
      <c r="C1164" t="inlineStr">
        <is>
          <t>Adyen</t>
        </is>
      </c>
      <c r="D1164" t="inlineStr">
        <is>
          <t>EUR</t>
        </is>
      </c>
      <c r="E1164" s="9" t="n">
        <v>625349.1899999999</v>
      </c>
      <c r="F1164" s="9" t="n">
        <v>-4462.09999999986</v>
      </c>
      <c r="G1164" s="9" t="n">
        <v>0</v>
      </c>
      <c r="H1164" s="9">
        <f>IF(D1164="USD",E1164*$N$1,E1164)</f>
        <v/>
      </c>
      <c r="I1164" s="9">
        <f>IF(D1164="USD",F1164*$N$1,F1164)</f>
        <v/>
      </c>
      <c r="J1164" s="9">
        <f>IF(D1164="USD",G1164*$N$1,G1164)</f>
        <v/>
      </c>
      <c r="K1164" s="9">
        <f>H1164+I1164</f>
        <v/>
      </c>
    </row>
    <row r="1165">
      <c r="A1165" s="8" t="n">
        <v>46156</v>
      </c>
      <c r="B1165" t="inlineStr">
        <is>
          <t>2026-W20</t>
        </is>
      </c>
      <c r="C1165" t="inlineStr">
        <is>
          <t>Adyen</t>
        </is>
      </c>
      <c r="D1165" t="inlineStr">
        <is>
          <t>EUR</t>
        </is>
      </c>
      <c r="E1165" s="9" t="n">
        <v>52006.51</v>
      </c>
      <c r="F1165" s="9" t="n">
        <v>0</v>
      </c>
      <c r="G1165" s="9" t="n">
        <v>0</v>
      </c>
      <c r="H1165" s="9">
        <f>IF(D1165="USD",E1165*$N$1,E1165)</f>
        <v/>
      </c>
      <c r="I1165" s="9">
        <f>IF(D1165="USD",F1165*$N$1,F1165)</f>
        <v/>
      </c>
      <c r="J1165" s="9">
        <f>IF(D1165="USD",G1165*$N$1,G1165)</f>
        <v/>
      </c>
      <c r="K1165" s="9">
        <f>H1165+I1165</f>
        <v/>
      </c>
    </row>
    <row r="1166">
      <c r="A1166" s="8" t="n">
        <v>46156</v>
      </c>
      <c r="B1166" t="inlineStr">
        <is>
          <t>2026-W20</t>
        </is>
      </c>
      <c r="C1166" t="inlineStr">
        <is>
          <t>Nuvei</t>
        </is>
      </c>
      <c r="D1166" t="inlineStr">
        <is>
          <t>EUR</t>
        </is>
      </c>
      <c r="E1166" s="9" t="n">
        <v>0</v>
      </c>
      <c r="F1166" s="9" t="n">
        <v>0</v>
      </c>
      <c r="G1166" s="9" t="n">
        <v>-388361.13</v>
      </c>
      <c r="H1166" s="9">
        <f>IF(D1166="USD",E1166*$N$1,E1166)</f>
        <v/>
      </c>
      <c r="I1166" s="9">
        <f>IF(D1166="USD",F1166*$N$1,F1166)</f>
        <v/>
      </c>
      <c r="J1166" s="9">
        <f>IF(D1166="USD",G1166*$N$1,G1166)</f>
        <v/>
      </c>
      <c r="K1166" s="9">
        <f>H1166+I1166</f>
        <v/>
      </c>
    </row>
    <row r="1167">
      <c r="A1167" s="8" t="n">
        <v>46156</v>
      </c>
      <c r="B1167" t="inlineStr">
        <is>
          <t>2026-W20</t>
        </is>
      </c>
      <c r="C1167" t="inlineStr">
        <is>
          <t>Nuvei</t>
        </is>
      </c>
      <c r="D1167" t="inlineStr">
        <is>
          <t>EUR</t>
        </is>
      </c>
      <c r="E1167" s="9" t="n">
        <v>0</v>
      </c>
      <c r="F1167" s="9" t="n">
        <v>0</v>
      </c>
      <c r="G1167" s="9" t="n">
        <v>-98548.67999999999</v>
      </c>
      <c r="H1167" s="9">
        <f>IF(D1167="USD",E1167*$N$1,E1167)</f>
        <v/>
      </c>
      <c r="I1167" s="9">
        <f>IF(D1167="USD",F1167*$N$1,F1167)</f>
        <v/>
      </c>
      <c r="J1167" s="9">
        <f>IF(D1167="USD",G1167*$N$1,G1167)</f>
        <v/>
      </c>
      <c r="K1167" s="9">
        <f>H1167+I1167</f>
        <v/>
      </c>
    </row>
    <row r="1168">
      <c r="A1168" s="8" t="n">
        <v>46156</v>
      </c>
      <c r="B1168" t="inlineStr">
        <is>
          <t>2026-W20</t>
        </is>
      </c>
      <c r="C1168" t="inlineStr">
        <is>
          <t>Nuvei</t>
        </is>
      </c>
      <c r="D1168" t="inlineStr">
        <is>
          <t>EUR</t>
        </is>
      </c>
      <c r="E1168" s="9" t="n">
        <v>451484.99</v>
      </c>
      <c r="F1168" s="9" t="n">
        <v>-7638.19</v>
      </c>
      <c r="G1168" s="9" t="n">
        <v>0</v>
      </c>
      <c r="H1168" s="9">
        <f>IF(D1168="USD",E1168*$N$1,E1168)</f>
        <v/>
      </c>
      <c r="I1168" s="9">
        <f>IF(D1168="USD",F1168*$N$1,F1168)</f>
        <v/>
      </c>
      <c r="J1168" s="9">
        <f>IF(D1168="USD",G1168*$N$1,G1168)</f>
        <v/>
      </c>
      <c r="K1168" s="9">
        <f>H1168+I1168</f>
        <v/>
      </c>
    </row>
    <row r="1169">
      <c r="A1169" s="8" t="n">
        <v>46156</v>
      </c>
      <c r="B1169" t="inlineStr">
        <is>
          <t>2026-W20</t>
        </is>
      </c>
      <c r="C1169" t="inlineStr">
        <is>
          <t>Nuvei</t>
        </is>
      </c>
      <c r="D1169" t="inlineStr">
        <is>
          <t>EUR</t>
        </is>
      </c>
      <c r="E1169" s="9" t="n">
        <v>101164.16</v>
      </c>
      <c r="F1169" s="9" t="n">
        <v>-2878.13</v>
      </c>
      <c r="G1169" s="9" t="n">
        <v>0</v>
      </c>
      <c r="H1169" s="9">
        <f>IF(D1169="USD",E1169*$N$1,E1169)</f>
        <v/>
      </c>
      <c r="I1169" s="9">
        <f>IF(D1169="USD",F1169*$N$1,F1169)</f>
        <v/>
      </c>
      <c r="J1169" s="9">
        <f>IF(D1169="USD",G1169*$N$1,G1169)</f>
        <v/>
      </c>
      <c r="K1169" s="9">
        <f>H1169+I1169</f>
        <v/>
      </c>
    </row>
    <row r="1170">
      <c r="A1170" s="8" t="n">
        <v>46156</v>
      </c>
      <c r="B1170" t="inlineStr">
        <is>
          <t>2026-W20</t>
        </is>
      </c>
      <c r="C1170" t="inlineStr">
        <is>
          <t>Shift4</t>
        </is>
      </c>
      <c r="D1170" t="inlineStr">
        <is>
          <t>EUR</t>
        </is>
      </c>
      <c r="E1170" s="9" t="n">
        <v>0</v>
      </c>
      <c r="F1170" s="9" t="n">
        <v>0</v>
      </c>
      <c r="G1170" s="9" t="n">
        <v>-1563451.75</v>
      </c>
      <c r="H1170" s="9">
        <f>IF(D1170="USD",E1170*$N$1,E1170)</f>
        <v/>
      </c>
      <c r="I1170" s="9">
        <f>IF(D1170="USD",F1170*$N$1,F1170)</f>
        <v/>
      </c>
      <c r="J1170" s="9">
        <f>IF(D1170="USD",G1170*$N$1,G1170)</f>
        <v/>
      </c>
      <c r="K1170" s="9">
        <f>H1170+I1170</f>
        <v/>
      </c>
    </row>
    <row r="1171">
      <c r="A1171" s="8" t="n">
        <v>46156</v>
      </c>
      <c r="B1171" t="inlineStr">
        <is>
          <t>2026-W20</t>
        </is>
      </c>
      <c r="C1171" t="inlineStr">
        <is>
          <t>Shift4</t>
        </is>
      </c>
      <c r="D1171" t="inlineStr">
        <is>
          <t>EUR</t>
        </is>
      </c>
      <c r="E1171" s="9" t="n">
        <v>611027.17</v>
      </c>
      <c r="F1171" s="9" t="n">
        <v>-5663.27</v>
      </c>
      <c r="G1171" s="9" t="n">
        <v>0</v>
      </c>
      <c r="H1171" s="9">
        <f>IF(D1171="USD",E1171*$N$1,E1171)</f>
        <v/>
      </c>
      <c r="I1171" s="9">
        <f>IF(D1171="USD",F1171*$N$1,F1171)</f>
        <v/>
      </c>
      <c r="J1171" s="9">
        <f>IF(D1171="USD",G1171*$N$1,G1171)</f>
        <v/>
      </c>
      <c r="K1171" s="9">
        <f>H1171+I1171</f>
        <v/>
      </c>
    </row>
    <row r="1172">
      <c r="A1172" s="8" t="n">
        <v>46157</v>
      </c>
      <c r="B1172" t="inlineStr">
        <is>
          <t>2026-W20</t>
        </is>
      </c>
      <c r="C1172" t="inlineStr">
        <is>
          <t>Adyen</t>
        </is>
      </c>
      <c r="D1172" t="inlineStr">
        <is>
          <t>EUR</t>
        </is>
      </c>
      <c r="E1172" s="9" t="n">
        <v>0</v>
      </c>
      <c r="F1172" s="9" t="n">
        <v>0</v>
      </c>
      <c r="G1172" s="9" t="n">
        <v>-752162.8</v>
      </c>
      <c r="H1172" s="9">
        <f>IF(D1172="USD",E1172*$N$1,E1172)</f>
        <v/>
      </c>
      <c r="I1172" s="9">
        <f>IF(D1172="USD",F1172*$N$1,F1172)</f>
        <v/>
      </c>
      <c r="J1172" s="9">
        <f>IF(D1172="USD",G1172*$N$1,G1172)</f>
        <v/>
      </c>
      <c r="K1172" s="9">
        <f>H1172+I1172</f>
        <v/>
      </c>
    </row>
    <row r="1173">
      <c r="A1173" s="8" t="n">
        <v>46157</v>
      </c>
      <c r="B1173" t="inlineStr">
        <is>
          <t>2026-W20</t>
        </is>
      </c>
      <c r="C1173" t="inlineStr">
        <is>
          <t>Adyen</t>
        </is>
      </c>
      <c r="D1173" t="inlineStr">
        <is>
          <t>EUR</t>
        </is>
      </c>
      <c r="E1173" s="9" t="n">
        <v>537604.22</v>
      </c>
      <c r="F1173" s="9" t="n">
        <v>-678558.0300000001</v>
      </c>
      <c r="G1173" s="9" t="n">
        <v>0</v>
      </c>
      <c r="H1173" s="9">
        <f>IF(D1173="USD",E1173*$N$1,E1173)</f>
        <v/>
      </c>
      <c r="I1173" s="9">
        <f>IF(D1173="USD",F1173*$N$1,F1173)</f>
        <v/>
      </c>
      <c r="J1173" s="9">
        <f>IF(D1173="USD",G1173*$N$1,G1173)</f>
        <v/>
      </c>
      <c r="K1173" s="9">
        <f>H1173+I1173</f>
        <v/>
      </c>
    </row>
    <row r="1174">
      <c r="A1174" s="8" t="n">
        <v>46157</v>
      </c>
      <c r="B1174" t="inlineStr">
        <is>
          <t>2026-W20</t>
        </is>
      </c>
      <c r="C1174" t="inlineStr">
        <is>
          <t>Adyen</t>
        </is>
      </c>
      <c r="D1174" t="inlineStr">
        <is>
          <t>EUR</t>
        </is>
      </c>
      <c r="E1174" s="9" t="n">
        <v>53467.42</v>
      </c>
      <c r="F1174" s="9" t="n">
        <v>0</v>
      </c>
      <c r="G1174" s="9" t="n">
        <v>0</v>
      </c>
      <c r="H1174" s="9">
        <f>IF(D1174="USD",E1174*$N$1,E1174)</f>
        <v/>
      </c>
      <c r="I1174" s="9">
        <f>IF(D1174="USD",F1174*$N$1,F1174)</f>
        <v/>
      </c>
      <c r="J1174" s="9">
        <f>IF(D1174="USD",G1174*$N$1,G1174)</f>
        <v/>
      </c>
      <c r="K1174" s="9">
        <f>H1174+I1174</f>
        <v/>
      </c>
    </row>
    <row r="1175">
      <c r="A1175" s="8" t="n">
        <v>46157</v>
      </c>
      <c r="B1175" t="inlineStr">
        <is>
          <t>2026-W20</t>
        </is>
      </c>
      <c r="C1175" t="inlineStr">
        <is>
          <t>Nuvei</t>
        </is>
      </c>
      <c r="D1175" t="inlineStr">
        <is>
          <t>EUR</t>
        </is>
      </c>
      <c r="E1175" s="9" t="n">
        <v>0</v>
      </c>
      <c r="F1175" s="9" t="n">
        <v>0</v>
      </c>
      <c r="G1175" s="9" t="n">
        <v>-1034612.79</v>
      </c>
      <c r="H1175" s="9">
        <f>IF(D1175="USD",E1175*$N$1,E1175)</f>
        <v/>
      </c>
      <c r="I1175" s="9">
        <f>IF(D1175="USD",F1175*$N$1,F1175)</f>
        <v/>
      </c>
      <c r="J1175" s="9">
        <f>IF(D1175="USD",G1175*$N$1,G1175)</f>
        <v/>
      </c>
      <c r="K1175" s="9">
        <f>H1175+I1175</f>
        <v/>
      </c>
    </row>
    <row r="1176">
      <c r="A1176" s="8" t="n">
        <v>46157</v>
      </c>
      <c r="B1176" t="inlineStr">
        <is>
          <t>2026-W20</t>
        </is>
      </c>
      <c r="C1176" t="inlineStr">
        <is>
          <t>Nuvei</t>
        </is>
      </c>
      <c r="D1176" t="inlineStr">
        <is>
          <t>EUR</t>
        </is>
      </c>
      <c r="E1176" s="9" t="n">
        <v>0</v>
      </c>
      <c r="F1176" s="9" t="n">
        <v>0</v>
      </c>
      <c r="G1176" s="9" t="n">
        <v>-357164.83</v>
      </c>
      <c r="H1176" s="9">
        <f>IF(D1176="USD",E1176*$N$1,E1176)</f>
        <v/>
      </c>
      <c r="I1176" s="9">
        <f>IF(D1176="USD",F1176*$N$1,F1176)</f>
        <v/>
      </c>
      <c r="J1176" s="9">
        <f>IF(D1176="USD",G1176*$N$1,G1176)</f>
        <v/>
      </c>
      <c r="K1176" s="9">
        <f>H1176+I1176</f>
        <v/>
      </c>
    </row>
    <row r="1177">
      <c r="A1177" s="8" t="n">
        <v>46157</v>
      </c>
      <c r="B1177" t="inlineStr">
        <is>
          <t>2026-W20</t>
        </is>
      </c>
      <c r="C1177" t="inlineStr">
        <is>
          <t>Nuvei</t>
        </is>
      </c>
      <c r="D1177" t="inlineStr">
        <is>
          <t>EUR</t>
        </is>
      </c>
      <c r="E1177" s="9" t="n">
        <v>390130.59</v>
      </c>
      <c r="F1177" s="9" t="n">
        <v>-7226.78</v>
      </c>
      <c r="G1177" s="9" t="n">
        <v>0</v>
      </c>
      <c r="H1177" s="9">
        <f>IF(D1177="USD",E1177*$N$1,E1177)</f>
        <v/>
      </c>
      <c r="I1177" s="9">
        <f>IF(D1177="USD",F1177*$N$1,F1177)</f>
        <v/>
      </c>
      <c r="J1177" s="9">
        <f>IF(D1177="USD",G1177*$N$1,G1177)</f>
        <v/>
      </c>
      <c r="K1177" s="9">
        <f>H1177+I1177</f>
        <v/>
      </c>
    </row>
    <row r="1178">
      <c r="A1178" s="8" t="n">
        <v>46157</v>
      </c>
      <c r="B1178" t="inlineStr">
        <is>
          <t>2026-W20</t>
        </is>
      </c>
      <c r="C1178" t="inlineStr">
        <is>
          <t>Nuvei</t>
        </is>
      </c>
      <c r="D1178" t="inlineStr">
        <is>
          <t>EUR</t>
        </is>
      </c>
      <c r="E1178" s="9" t="n">
        <v>142628.88</v>
      </c>
      <c r="F1178" s="9" t="n">
        <v>-3964.1</v>
      </c>
      <c r="G1178" s="9" t="n">
        <v>0</v>
      </c>
      <c r="H1178" s="9">
        <f>IF(D1178="USD",E1178*$N$1,E1178)</f>
        <v/>
      </c>
      <c r="I1178" s="9">
        <f>IF(D1178="USD",F1178*$N$1,F1178)</f>
        <v/>
      </c>
      <c r="J1178" s="9">
        <f>IF(D1178="USD",G1178*$N$1,G1178)</f>
        <v/>
      </c>
      <c r="K1178" s="9">
        <f>H1178+I1178</f>
        <v/>
      </c>
    </row>
    <row r="1179">
      <c r="A1179" s="8" t="n">
        <v>46157</v>
      </c>
      <c r="B1179" t="inlineStr">
        <is>
          <t>2026-W20</t>
        </is>
      </c>
      <c r="C1179" t="inlineStr">
        <is>
          <t>Shift4</t>
        </is>
      </c>
      <c r="D1179" t="inlineStr">
        <is>
          <t>EUR</t>
        </is>
      </c>
      <c r="E1179" s="9" t="n">
        <v>0</v>
      </c>
      <c r="F1179" s="9" t="n">
        <v>0</v>
      </c>
      <c r="G1179" s="9" t="n">
        <v>-514723.71</v>
      </c>
      <c r="H1179" s="9">
        <f>IF(D1179="USD",E1179*$N$1,E1179)</f>
        <v/>
      </c>
      <c r="I1179" s="9">
        <f>IF(D1179="USD",F1179*$N$1,F1179)</f>
        <v/>
      </c>
      <c r="J1179" s="9">
        <f>IF(D1179="USD",G1179*$N$1,G1179)</f>
        <v/>
      </c>
      <c r="K1179" s="9">
        <f>H1179+I1179</f>
        <v/>
      </c>
    </row>
    <row r="1180">
      <c r="A1180" s="8" t="n">
        <v>46157</v>
      </c>
      <c r="B1180" t="inlineStr">
        <is>
          <t>2026-W20</t>
        </is>
      </c>
      <c r="C1180" t="inlineStr">
        <is>
          <t>Shift4</t>
        </is>
      </c>
      <c r="D1180" t="inlineStr">
        <is>
          <t>EUR</t>
        </is>
      </c>
      <c r="E1180" s="9" t="n">
        <v>491508.27</v>
      </c>
      <c r="F1180" s="9" t="n">
        <v>-4721.9</v>
      </c>
      <c r="G1180" s="9" t="n">
        <v>0</v>
      </c>
      <c r="H1180" s="9">
        <f>IF(D1180="USD",E1180*$N$1,E1180)</f>
        <v/>
      </c>
      <c r="I1180" s="9">
        <f>IF(D1180="USD",F1180*$N$1,F1180)</f>
        <v/>
      </c>
      <c r="J1180" s="9">
        <f>IF(D1180="USD",G1180*$N$1,G1180)</f>
        <v/>
      </c>
      <c r="K1180" s="9">
        <f>H1180+I1180</f>
        <v/>
      </c>
    </row>
    <row r="1181">
      <c r="A1181" s="8" t="n">
        <v>46158</v>
      </c>
      <c r="B1181" t="inlineStr">
        <is>
          <t>2026-W20</t>
        </is>
      </c>
      <c r="C1181" t="inlineStr">
        <is>
          <t>Adyen</t>
        </is>
      </c>
      <c r="D1181" t="inlineStr">
        <is>
          <t>EUR</t>
        </is>
      </c>
      <c r="E1181" s="9" t="n">
        <v>395656.96</v>
      </c>
      <c r="F1181" s="9" t="n">
        <v>0</v>
      </c>
      <c r="G1181" s="9" t="n">
        <v>0</v>
      </c>
      <c r="H1181" s="9">
        <f>IF(D1181="USD",E1181*$N$1,E1181)</f>
        <v/>
      </c>
      <c r="I1181" s="9">
        <f>IF(D1181="USD",F1181*$N$1,F1181)</f>
        <v/>
      </c>
      <c r="J1181" s="9">
        <f>IF(D1181="USD",G1181*$N$1,G1181)</f>
        <v/>
      </c>
      <c r="K1181" s="9">
        <f>H1181+I1181</f>
        <v/>
      </c>
    </row>
    <row r="1182">
      <c r="A1182" s="8" t="n">
        <v>46158</v>
      </c>
      <c r="B1182" t="inlineStr">
        <is>
          <t>2026-W20</t>
        </is>
      </c>
      <c r="C1182" t="inlineStr">
        <is>
          <t>Adyen</t>
        </is>
      </c>
      <c r="D1182" t="inlineStr">
        <is>
          <t>EUR</t>
        </is>
      </c>
      <c r="E1182" s="9" t="n">
        <v>38909.02</v>
      </c>
      <c r="F1182" s="9" t="n">
        <v>0</v>
      </c>
      <c r="G1182" s="9" t="n">
        <v>0</v>
      </c>
      <c r="H1182" s="9">
        <f>IF(D1182="USD",E1182*$N$1,E1182)</f>
        <v/>
      </c>
      <c r="I1182" s="9">
        <f>IF(D1182="USD",F1182*$N$1,F1182)</f>
        <v/>
      </c>
      <c r="J1182" s="9">
        <f>IF(D1182="USD",G1182*$N$1,G1182)</f>
        <v/>
      </c>
      <c r="K1182" s="9">
        <f>H1182+I1182</f>
        <v/>
      </c>
    </row>
    <row r="1183">
      <c r="A1183" s="8" t="n">
        <v>46158</v>
      </c>
      <c r="B1183" t="inlineStr">
        <is>
          <t>2026-W20</t>
        </is>
      </c>
      <c r="C1183" t="inlineStr">
        <is>
          <t>Nuvei</t>
        </is>
      </c>
      <c r="D1183" t="inlineStr">
        <is>
          <t>EUR</t>
        </is>
      </c>
      <c r="E1183" s="9" t="n">
        <v>317018.92</v>
      </c>
      <c r="F1183" s="9" t="n">
        <v>-5402.03</v>
      </c>
      <c r="G1183" s="9" t="n">
        <v>0</v>
      </c>
      <c r="H1183" s="9">
        <f>IF(D1183="USD",E1183*$N$1,E1183)</f>
        <v/>
      </c>
      <c r="I1183" s="9">
        <f>IF(D1183="USD",F1183*$N$1,F1183)</f>
        <v/>
      </c>
      <c r="J1183" s="9">
        <f>IF(D1183="USD",G1183*$N$1,G1183)</f>
        <v/>
      </c>
      <c r="K1183" s="9">
        <f>H1183+I1183</f>
        <v/>
      </c>
    </row>
    <row r="1184">
      <c r="A1184" s="8" t="n">
        <v>46158</v>
      </c>
      <c r="B1184" t="inlineStr">
        <is>
          <t>2026-W20</t>
        </is>
      </c>
      <c r="C1184" t="inlineStr">
        <is>
          <t>Nuvei</t>
        </is>
      </c>
      <c r="D1184" t="inlineStr">
        <is>
          <t>EUR</t>
        </is>
      </c>
      <c r="E1184" s="9" t="n">
        <v>111362.6</v>
      </c>
      <c r="F1184" s="9" t="n">
        <v>-3159.97</v>
      </c>
      <c r="G1184" s="9" t="n">
        <v>0</v>
      </c>
      <c r="H1184" s="9">
        <f>IF(D1184="USD",E1184*$N$1,E1184)</f>
        <v/>
      </c>
      <c r="I1184" s="9">
        <f>IF(D1184="USD",F1184*$N$1,F1184)</f>
        <v/>
      </c>
      <c r="J1184" s="9">
        <f>IF(D1184="USD",G1184*$N$1,G1184)</f>
        <v/>
      </c>
      <c r="K1184" s="9">
        <f>H1184+I1184</f>
        <v/>
      </c>
    </row>
    <row r="1185">
      <c r="A1185" s="8" t="n">
        <v>46158</v>
      </c>
      <c r="B1185" t="inlineStr">
        <is>
          <t>2026-W20</t>
        </is>
      </c>
      <c r="C1185" t="inlineStr">
        <is>
          <t>Shift4</t>
        </is>
      </c>
      <c r="D1185" t="inlineStr">
        <is>
          <t>EUR</t>
        </is>
      </c>
      <c r="E1185" s="9" t="n">
        <v>411317.15</v>
      </c>
      <c r="F1185" s="9" t="n">
        <v>-3722.34</v>
      </c>
      <c r="G1185" s="9" t="n">
        <v>0</v>
      </c>
      <c r="H1185" s="9">
        <f>IF(D1185="USD",E1185*$N$1,E1185)</f>
        <v/>
      </c>
      <c r="I1185" s="9">
        <f>IF(D1185="USD",F1185*$N$1,F1185)</f>
        <v/>
      </c>
      <c r="J1185" s="9">
        <f>IF(D1185="USD",G1185*$N$1,G1185)</f>
        <v/>
      </c>
      <c r="K1185" s="9">
        <f>H1185+I1185</f>
        <v/>
      </c>
    </row>
    <row r="1186">
      <c r="A1186" s="8" t="n">
        <v>46159</v>
      </c>
      <c r="B1186" t="inlineStr">
        <is>
          <t>2026-W20</t>
        </is>
      </c>
      <c r="C1186" t="inlineStr">
        <is>
          <t>Adyen</t>
        </is>
      </c>
      <c r="D1186" t="inlineStr">
        <is>
          <t>EUR</t>
        </is>
      </c>
      <c r="E1186" s="9" t="n">
        <v>462088.03</v>
      </c>
      <c r="F1186" s="9" t="n">
        <v>0</v>
      </c>
      <c r="G1186" s="9" t="n">
        <v>0</v>
      </c>
      <c r="H1186" s="9">
        <f>IF(D1186="USD",E1186*$N$1,E1186)</f>
        <v/>
      </c>
      <c r="I1186" s="9">
        <f>IF(D1186="USD",F1186*$N$1,F1186)</f>
        <v/>
      </c>
      <c r="J1186" s="9">
        <f>IF(D1186="USD",G1186*$N$1,G1186)</f>
        <v/>
      </c>
      <c r="K1186" s="9">
        <f>H1186+I1186</f>
        <v/>
      </c>
    </row>
    <row r="1187">
      <c r="A1187" s="8" t="n">
        <v>46159</v>
      </c>
      <c r="B1187" t="inlineStr">
        <is>
          <t>2026-W20</t>
        </is>
      </c>
      <c r="C1187" t="inlineStr">
        <is>
          <t>Adyen</t>
        </is>
      </c>
      <c r="D1187" t="inlineStr">
        <is>
          <t>EUR</t>
        </is>
      </c>
      <c r="E1187" s="9" t="n">
        <v>26474.12</v>
      </c>
      <c r="F1187" s="9" t="n">
        <v>0</v>
      </c>
      <c r="G1187" s="9" t="n">
        <v>0</v>
      </c>
      <c r="H1187" s="9">
        <f>IF(D1187="USD",E1187*$N$1,E1187)</f>
        <v/>
      </c>
      <c r="I1187" s="9">
        <f>IF(D1187="USD",F1187*$N$1,F1187)</f>
        <v/>
      </c>
      <c r="J1187" s="9">
        <f>IF(D1187="USD",G1187*$N$1,G1187)</f>
        <v/>
      </c>
      <c r="K1187" s="9">
        <f>H1187+I1187</f>
        <v/>
      </c>
    </row>
    <row r="1188">
      <c r="A1188" s="8" t="n">
        <v>46159</v>
      </c>
      <c r="B1188" t="inlineStr">
        <is>
          <t>2026-W20</t>
        </is>
      </c>
      <c r="C1188" t="inlineStr">
        <is>
          <t>Nuvei</t>
        </is>
      </c>
      <c r="D1188" t="inlineStr">
        <is>
          <t>EUR</t>
        </is>
      </c>
      <c r="E1188" s="9" t="n">
        <v>354438.47</v>
      </c>
      <c r="F1188" s="9" t="n">
        <v>-5741.8</v>
      </c>
      <c r="G1188" s="9" t="n">
        <v>0</v>
      </c>
      <c r="H1188" s="9">
        <f>IF(D1188="USD",E1188*$N$1,E1188)</f>
        <v/>
      </c>
      <c r="I1188" s="9">
        <f>IF(D1188="USD",F1188*$N$1,F1188)</f>
        <v/>
      </c>
      <c r="J1188" s="9">
        <f>IF(D1188="USD",G1188*$N$1,G1188)</f>
        <v/>
      </c>
      <c r="K1188" s="9">
        <f>H1188+I1188</f>
        <v/>
      </c>
    </row>
    <row r="1189">
      <c r="A1189" s="8" t="n">
        <v>46159</v>
      </c>
      <c r="B1189" t="inlineStr">
        <is>
          <t>2026-W20</t>
        </is>
      </c>
      <c r="C1189" t="inlineStr">
        <is>
          <t>Nuvei</t>
        </is>
      </c>
      <c r="D1189" t="inlineStr">
        <is>
          <t>EUR</t>
        </is>
      </c>
      <c r="E1189" s="9" t="n">
        <v>96359.47</v>
      </c>
      <c r="F1189" s="9" t="n">
        <v>-2693.72</v>
      </c>
      <c r="G1189" s="9" t="n">
        <v>0</v>
      </c>
      <c r="H1189" s="9">
        <f>IF(D1189="USD",E1189*$N$1,E1189)</f>
        <v/>
      </c>
      <c r="I1189" s="9">
        <f>IF(D1189="USD",F1189*$N$1,F1189)</f>
        <v/>
      </c>
      <c r="J1189" s="9">
        <f>IF(D1189="USD",G1189*$N$1,G1189)</f>
        <v/>
      </c>
      <c r="K1189" s="9">
        <f>H1189+I1189</f>
        <v/>
      </c>
    </row>
    <row r="1190">
      <c r="A1190" s="8" t="n">
        <v>46159</v>
      </c>
      <c r="B1190" t="inlineStr">
        <is>
          <t>2026-W20</t>
        </is>
      </c>
      <c r="C1190" t="inlineStr">
        <is>
          <t>Shift4</t>
        </is>
      </c>
      <c r="D1190" t="inlineStr">
        <is>
          <t>EUR</t>
        </is>
      </c>
      <c r="E1190" s="9" t="n">
        <v>611530.55</v>
      </c>
      <c r="F1190" s="9" t="n">
        <v>-5152.37</v>
      </c>
      <c r="G1190" s="9" t="n">
        <v>0</v>
      </c>
      <c r="H1190" s="9">
        <f>IF(D1190="USD",E1190*$N$1,E1190)</f>
        <v/>
      </c>
      <c r="I1190" s="9">
        <f>IF(D1190="USD",F1190*$N$1,F1190)</f>
        <v/>
      </c>
      <c r="J1190" s="9">
        <f>IF(D1190="USD",G1190*$N$1,G1190)</f>
        <v/>
      </c>
      <c r="K1190" s="9">
        <f>H1190+I1190</f>
        <v/>
      </c>
    </row>
    <row r="1191">
      <c r="A1191" s="8" t="n">
        <v>46160</v>
      </c>
      <c r="B1191" t="inlineStr">
        <is>
          <t>2026-W21</t>
        </is>
      </c>
      <c r="C1191" t="inlineStr">
        <is>
          <t>Adyen</t>
        </is>
      </c>
      <c r="D1191" t="inlineStr">
        <is>
          <t>EUR</t>
        </is>
      </c>
      <c r="E1191" s="9" t="n">
        <v>0</v>
      </c>
      <c r="F1191" s="9" t="n">
        <v>0</v>
      </c>
      <c r="G1191" s="9" t="n">
        <v>-672893.6000000001</v>
      </c>
      <c r="H1191" s="9">
        <f>IF(D1191="USD",E1191*$N$1,E1191)</f>
        <v/>
      </c>
      <c r="I1191" s="9">
        <f>IF(D1191="USD",F1191*$N$1,F1191)</f>
        <v/>
      </c>
      <c r="J1191" s="9">
        <f>IF(D1191="USD",G1191*$N$1,G1191)</f>
        <v/>
      </c>
      <c r="K1191" s="9">
        <f>H1191+I1191</f>
        <v/>
      </c>
    </row>
    <row r="1192">
      <c r="A1192" s="8" t="n">
        <v>46160</v>
      </c>
      <c r="B1192" t="inlineStr">
        <is>
          <t>2026-W21</t>
        </is>
      </c>
      <c r="C1192" t="inlineStr">
        <is>
          <t>Adyen</t>
        </is>
      </c>
      <c r="D1192" t="inlineStr">
        <is>
          <t>EUR</t>
        </is>
      </c>
      <c r="E1192" s="9" t="n">
        <v>752935.38</v>
      </c>
      <c r="F1192" s="9" t="n">
        <v>664655.1099999999</v>
      </c>
      <c r="G1192" s="9" t="n">
        <v>0</v>
      </c>
      <c r="H1192" s="9">
        <f>IF(D1192="USD",E1192*$N$1,E1192)</f>
        <v/>
      </c>
      <c r="I1192" s="9">
        <f>IF(D1192="USD",F1192*$N$1,F1192)</f>
        <v/>
      </c>
      <c r="J1192" s="9">
        <f>IF(D1192="USD",G1192*$N$1,G1192)</f>
        <v/>
      </c>
      <c r="K1192" s="9">
        <f>H1192+I1192</f>
        <v/>
      </c>
    </row>
    <row r="1193">
      <c r="A1193" s="8" t="n">
        <v>46160</v>
      </c>
      <c r="B1193" t="inlineStr">
        <is>
          <t>2026-W21</t>
        </is>
      </c>
      <c r="C1193" t="inlineStr">
        <is>
          <t>Adyen</t>
        </is>
      </c>
      <c r="D1193" t="inlineStr">
        <is>
          <t>EUR</t>
        </is>
      </c>
      <c r="E1193" s="9" t="n">
        <v>71092.84</v>
      </c>
      <c r="F1193" s="9" t="n">
        <v>0</v>
      </c>
      <c r="G1193" s="9" t="n">
        <v>0</v>
      </c>
      <c r="H1193" s="9">
        <f>IF(D1193="USD",E1193*$N$1,E1193)</f>
        <v/>
      </c>
      <c r="I1193" s="9">
        <f>IF(D1193="USD",F1193*$N$1,F1193)</f>
        <v/>
      </c>
      <c r="J1193" s="9">
        <f>IF(D1193="USD",G1193*$N$1,G1193)</f>
        <v/>
      </c>
      <c r="K1193" s="9">
        <f>H1193+I1193</f>
        <v/>
      </c>
    </row>
    <row r="1194">
      <c r="A1194" s="8" t="n">
        <v>46160</v>
      </c>
      <c r="B1194" t="inlineStr">
        <is>
          <t>2026-W21</t>
        </is>
      </c>
      <c r="C1194" t="inlineStr">
        <is>
          <t>Nuvei</t>
        </is>
      </c>
      <c r="D1194" t="inlineStr">
        <is>
          <t>EUR</t>
        </is>
      </c>
      <c r="E1194" s="9" t="n">
        <v>0</v>
      </c>
      <c r="F1194" s="9" t="n">
        <v>0</v>
      </c>
      <c r="G1194" s="9" t="n">
        <v>-330913.1</v>
      </c>
      <c r="H1194" s="9">
        <f>IF(D1194="USD",E1194*$N$1,E1194)</f>
        <v/>
      </c>
      <c r="I1194" s="9">
        <f>IF(D1194="USD",F1194*$N$1,F1194)</f>
        <v/>
      </c>
      <c r="J1194" s="9">
        <f>IF(D1194="USD",G1194*$N$1,G1194)</f>
        <v/>
      </c>
      <c r="K1194" s="9">
        <f>H1194+I1194</f>
        <v/>
      </c>
    </row>
    <row r="1195">
      <c r="A1195" s="8" t="n">
        <v>46160</v>
      </c>
      <c r="B1195" t="inlineStr">
        <is>
          <t>2026-W21</t>
        </is>
      </c>
      <c r="C1195" t="inlineStr">
        <is>
          <t>Nuvei</t>
        </is>
      </c>
      <c r="D1195" t="inlineStr">
        <is>
          <t>EUR</t>
        </is>
      </c>
      <c r="E1195" s="9" t="n">
        <v>0</v>
      </c>
      <c r="F1195" s="9" t="n">
        <v>0</v>
      </c>
      <c r="G1195" s="9" t="n">
        <v>-120274.67</v>
      </c>
      <c r="H1195" s="9">
        <f>IF(D1195="USD",E1195*$N$1,E1195)</f>
        <v/>
      </c>
      <c r="I1195" s="9">
        <f>IF(D1195="USD",F1195*$N$1,F1195)</f>
        <v/>
      </c>
      <c r="J1195" s="9">
        <f>IF(D1195="USD",G1195*$N$1,G1195)</f>
        <v/>
      </c>
      <c r="K1195" s="9">
        <f>H1195+I1195</f>
        <v/>
      </c>
    </row>
    <row r="1196">
      <c r="A1196" s="8" t="n">
        <v>46160</v>
      </c>
      <c r="B1196" t="inlineStr">
        <is>
          <t>2026-W21</t>
        </is>
      </c>
      <c r="C1196" t="inlineStr">
        <is>
          <t>Nuvei</t>
        </is>
      </c>
      <c r="D1196" t="inlineStr">
        <is>
          <t>EUR</t>
        </is>
      </c>
      <c r="E1196" s="9" t="n">
        <v>449503.99</v>
      </c>
      <c r="F1196" s="9" t="n">
        <v>-7864.17</v>
      </c>
      <c r="G1196" s="9" t="n">
        <v>0</v>
      </c>
      <c r="H1196" s="9">
        <f>IF(D1196="USD",E1196*$N$1,E1196)</f>
        <v/>
      </c>
      <c r="I1196" s="9">
        <f>IF(D1196="USD",F1196*$N$1,F1196)</f>
        <v/>
      </c>
      <c r="J1196" s="9">
        <f>IF(D1196="USD",G1196*$N$1,G1196)</f>
        <v/>
      </c>
      <c r="K1196" s="9">
        <f>H1196+I1196</f>
        <v/>
      </c>
    </row>
    <row r="1197">
      <c r="A1197" s="8" t="n">
        <v>46160</v>
      </c>
      <c r="B1197" t="inlineStr">
        <is>
          <t>2026-W21</t>
        </is>
      </c>
      <c r="C1197" t="inlineStr">
        <is>
          <t>Nuvei</t>
        </is>
      </c>
      <c r="D1197" t="inlineStr">
        <is>
          <t>EUR</t>
        </is>
      </c>
      <c r="E1197" s="9" t="n">
        <v>158305.66</v>
      </c>
      <c r="F1197" s="9" t="n">
        <v>-4239.43</v>
      </c>
      <c r="G1197" s="9" t="n">
        <v>0</v>
      </c>
      <c r="H1197" s="9">
        <f>IF(D1197="USD",E1197*$N$1,E1197)</f>
        <v/>
      </c>
      <c r="I1197" s="9">
        <f>IF(D1197="USD",F1197*$N$1,F1197)</f>
        <v/>
      </c>
      <c r="J1197" s="9">
        <f>IF(D1197="USD",G1197*$N$1,G1197)</f>
        <v/>
      </c>
      <c r="K1197" s="9">
        <f>H1197+I1197</f>
        <v/>
      </c>
    </row>
    <row r="1198">
      <c r="A1198" s="8" t="n">
        <v>46160</v>
      </c>
      <c r="B1198" t="inlineStr">
        <is>
          <t>2026-W21</t>
        </is>
      </c>
      <c r="C1198" t="inlineStr">
        <is>
          <t>Shift4</t>
        </is>
      </c>
      <c r="D1198" t="inlineStr">
        <is>
          <t>EUR</t>
        </is>
      </c>
      <c r="E1198" s="9" t="n">
        <v>0</v>
      </c>
      <c r="F1198" s="9" t="n">
        <v>0</v>
      </c>
      <c r="G1198" s="9" t="n">
        <v>-552821.45</v>
      </c>
      <c r="H1198" s="9">
        <f>IF(D1198="USD",E1198*$N$1,E1198)</f>
        <v/>
      </c>
      <c r="I1198" s="9">
        <f>IF(D1198="USD",F1198*$N$1,F1198)</f>
        <v/>
      </c>
      <c r="J1198" s="9">
        <f>IF(D1198="USD",G1198*$N$1,G1198)</f>
        <v/>
      </c>
      <c r="K1198" s="9">
        <f>H1198+I1198</f>
        <v/>
      </c>
    </row>
    <row r="1199">
      <c r="A1199" s="8" t="n">
        <v>46160</v>
      </c>
      <c r="B1199" t="inlineStr">
        <is>
          <t>2026-W21</t>
        </is>
      </c>
      <c r="C1199" t="inlineStr">
        <is>
          <t>Shift4</t>
        </is>
      </c>
      <c r="D1199" t="inlineStr">
        <is>
          <t>EUR</t>
        </is>
      </c>
      <c r="E1199" s="9" t="n">
        <v>618522.14</v>
      </c>
      <c r="F1199" s="9" t="n">
        <v>-6153.5</v>
      </c>
      <c r="G1199" s="9" t="n">
        <v>0</v>
      </c>
      <c r="H1199" s="9">
        <f>IF(D1199="USD",E1199*$N$1,E1199)</f>
        <v/>
      </c>
      <c r="I1199" s="9">
        <f>IF(D1199="USD",F1199*$N$1,F1199)</f>
        <v/>
      </c>
      <c r="J1199" s="9">
        <f>IF(D1199="USD",G1199*$N$1,G1199)</f>
        <v/>
      </c>
      <c r="K1199" s="9">
        <f>H1199+I1199</f>
        <v/>
      </c>
    </row>
    <row r="1200">
      <c r="A1200" s="8" t="n">
        <v>46161</v>
      </c>
      <c r="B1200" t="inlineStr">
        <is>
          <t>2026-W21</t>
        </is>
      </c>
      <c r="C1200" t="inlineStr">
        <is>
          <t>Adyen</t>
        </is>
      </c>
      <c r="D1200" t="inlineStr">
        <is>
          <t>EUR</t>
        </is>
      </c>
      <c r="E1200" s="9" t="n">
        <v>0</v>
      </c>
      <c r="F1200" s="9" t="n">
        <v>0</v>
      </c>
      <c r="G1200" s="9" t="n">
        <v>-835641.7400000001</v>
      </c>
      <c r="H1200" s="9">
        <f>IF(D1200="USD",E1200*$N$1,E1200)</f>
        <v/>
      </c>
      <c r="I1200" s="9">
        <f>IF(D1200="USD",F1200*$N$1,F1200)</f>
        <v/>
      </c>
      <c r="J1200" s="9">
        <f>IF(D1200="USD",G1200*$N$1,G1200)</f>
        <v/>
      </c>
      <c r="K1200" s="9">
        <f>H1200+I1200</f>
        <v/>
      </c>
    </row>
    <row r="1201">
      <c r="A1201" s="8" t="n">
        <v>46161</v>
      </c>
      <c r="B1201" t="inlineStr">
        <is>
          <t>2026-W21</t>
        </is>
      </c>
      <c r="C1201" t="inlineStr">
        <is>
          <t>Adyen</t>
        </is>
      </c>
      <c r="D1201" t="inlineStr">
        <is>
          <t>EUR</t>
        </is>
      </c>
      <c r="E1201" s="9" t="n">
        <v>679186.6899999999</v>
      </c>
      <c r="F1201" s="9" t="n">
        <v>-24406.78999999992</v>
      </c>
      <c r="G1201" s="9" t="n">
        <v>0</v>
      </c>
      <c r="H1201" s="9">
        <f>IF(D1201="USD",E1201*$N$1,E1201)</f>
        <v/>
      </c>
      <c r="I1201" s="9">
        <f>IF(D1201="USD",F1201*$N$1,F1201)</f>
        <v/>
      </c>
      <c r="J1201" s="9">
        <f>IF(D1201="USD",G1201*$N$1,G1201)</f>
        <v/>
      </c>
      <c r="K1201" s="9">
        <f>H1201+I1201</f>
        <v/>
      </c>
    </row>
    <row r="1202">
      <c r="A1202" s="8" t="n">
        <v>46161</v>
      </c>
      <c r="B1202" t="inlineStr">
        <is>
          <t>2026-W21</t>
        </is>
      </c>
      <c r="C1202" t="inlineStr">
        <is>
          <t>Adyen</t>
        </is>
      </c>
      <c r="D1202" t="inlineStr">
        <is>
          <t>EUR</t>
        </is>
      </c>
      <c r="E1202" s="9" t="n">
        <v>84091.89999999999</v>
      </c>
      <c r="F1202" s="9" t="n">
        <v>0</v>
      </c>
      <c r="G1202" s="9" t="n">
        <v>0</v>
      </c>
      <c r="H1202" s="9">
        <f>IF(D1202="USD",E1202*$N$1,E1202)</f>
        <v/>
      </c>
      <c r="I1202" s="9">
        <f>IF(D1202="USD",F1202*$N$1,F1202)</f>
        <v/>
      </c>
      <c r="J1202" s="9">
        <f>IF(D1202="USD",G1202*$N$1,G1202)</f>
        <v/>
      </c>
      <c r="K1202" s="9">
        <f>H1202+I1202</f>
        <v/>
      </c>
    </row>
    <row r="1203">
      <c r="A1203" s="8" t="n">
        <v>46161</v>
      </c>
      <c r="B1203" t="inlineStr">
        <is>
          <t>2026-W21</t>
        </is>
      </c>
      <c r="C1203" t="inlineStr">
        <is>
          <t>Nuvei</t>
        </is>
      </c>
      <c r="D1203" t="inlineStr">
        <is>
          <t>EUR</t>
        </is>
      </c>
      <c r="E1203" s="9" t="n">
        <v>0</v>
      </c>
      <c r="F1203" s="9" t="n">
        <v>0</v>
      </c>
      <c r="G1203" s="9" t="n">
        <v>-139974.15</v>
      </c>
      <c r="H1203" s="9">
        <f>IF(D1203="USD",E1203*$N$1,E1203)</f>
        <v/>
      </c>
      <c r="I1203" s="9">
        <f>IF(D1203="USD",F1203*$N$1,F1203)</f>
        <v/>
      </c>
      <c r="J1203" s="9">
        <f>IF(D1203="USD",G1203*$N$1,G1203)</f>
        <v/>
      </c>
      <c r="K1203" s="9">
        <f>H1203+I1203</f>
        <v/>
      </c>
    </row>
    <row r="1204">
      <c r="A1204" s="8" t="n">
        <v>46161</v>
      </c>
      <c r="B1204" t="inlineStr">
        <is>
          <t>2026-W21</t>
        </is>
      </c>
      <c r="C1204" t="inlineStr">
        <is>
          <t>Nuvei</t>
        </is>
      </c>
      <c r="D1204" t="inlineStr">
        <is>
          <t>EUR</t>
        </is>
      </c>
      <c r="E1204" s="9" t="n">
        <v>0</v>
      </c>
      <c r="F1204" s="9" t="n">
        <v>0</v>
      </c>
      <c r="G1204" s="9" t="n">
        <v>-101780.11</v>
      </c>
      <c r="H1204" s="9">
        <f>IF(D1204="USD",E1204*$N$1,E1204)</f>
        <v/>
      </c>
      <c r="I1204" s="9">
        <f>IF(D1204="USD",F1204*$N$1,F1204)</f>
        <v/>
      </c>
      <c r="J1204" s="9">
        <f>IF(D1204="USD",G1204*$N$1,G1204)</f>
        <v/>
      </c>
      <c r="K1204" s="9">
        <f>H1204+I1204</f>
        <v/>
      </c>
    </row>
    <row r="1205">
      <c r="A1205" s="8" t="n">
        <v>46161</v>
      </c>
      <c r="B1205" t="inlineStr">
        <is>
          <t>2026-W21</t>
        </is>
      </c>
      <c r="C1205" t="inlineStr">
        <is>
          <t>Nuvei</t>
        </is>
      </c>
      <c r="D1205" t="inlineStr">
        <is>
          <t>EUR</t>
        </is>
      </c>
      <c r="E1205" s="9" t="n">
        <v>331831.96</v>
      </c>
      <c r="F1205" s="9" t="n">
        <v>-7469.13</v>
      </c>
      <c r="G1205" s="9" t="n">
        <v>0</v>
      </c>
      <c r="H1205" s="9">
        <f>IF(D1205="USD",E1205*$N$1,E1205)</f>
        <v/>
      </c>
      <c r="I1205" s="9">
        <f>IF(D1205="USD",F1205*$N$1,F1205)</f>
        <v/>
      </c>
      <c r="J1205" s="9">
        <f>IF(D1205="USD",G1205*$N$1,G1205)</f>
        <v/>
      </c>
      <c r="K1205" s="9">
        <f>H1205+I1205</f>
        <v/>
      </c>
    </row>
    <row r="1206">
      <c r="A1206" s="8" t="n">
        <v>46161</v>
      </c>
      <c r="B1206" t="inlineStr">
        <is>
          <t>2026-W21</t>
        </is>
      </c>
      <c r="C1206" t="inlineStr">
        <is>
          <t>Nuvei</t>
        </is>
      </c>
      <c r="D1206" t="inlineStr">
        <is>
          <t>EUR</t>
        </is>
      </c>
      <c r="E1206" s="9" t="n">
        <v>128321.82</v>
      </c>
      <c r="F1206" s="9" t="n">
        <v>-3958.72</v>
      </c>
      <c r="G1206" s="9" t="n">
        <v>0</v>
      </c>
      <c r="H1206" s="9">
        <f>IF(D1206="USD",E1206*$N$1,E1206)</f>
        <v/>
      </c>
      <c r="I1206" s="9">
        <f>IF(D1206="USD",F1206*$N$1,F1206)</f>
        <v/>
      </c>
      <c r="J1206" s="9">
        <f>IF(D1206="USD",G1206*$N$1,G1206)</f>
        <v/>
      </c>
      <c r="K1206" s="9">
        <f>H1206+I1206</f>
        <v/>
      </c>
    </row>
    <row r="1207">
      <c r="A1207" s="8" t="n">
        <v>46161</v>
      </c>
      <c r="B1207" t="inlineStr">
        <is>
          <t>2026-W21</t>
        </is>
      </c>
      <c r="C1207" t="inlineStr">
        <is>
          <t>Shift4</t>
        </is>
      </c>
      <c r="D1207" t="inlineStr">
        <is>
          <t>EUR</t>
        </is>
      </c>
      <c r="E1207" s="9" t="n">
        <v>0</v>
      </c>
      <c r="F1207" s="9" t="n">
        <v>0</v>
      </c>
      <c r="G1207" s="9" t="n">
        <v>-605363.9</v>
      </c>
      <c r="H1207" s="9">
        <f>IF(D1207="USD",E1207*$N$1,E1207)</f>
        <v/>
      </c>
      <c r="I1207" s="9">
        <f>IF(D1207="USD",F1207*$N$1,F1207)</f>
        <v/>
      </c>
      <c r="J1207" s="9">
        <f>IF(D1207="USD",G1207*$N$1,G1207)</f>
        <v/>
      </c>
      <c r="K1207" s="9">
        <f>H1207+I1207</f>
        <v/>
      </c>
    </row>
    <row r="1208">
      <c r="A1208" s="8" t="n">
        <v>46161</v>
      </c>
      <c r="B1208" t="inlineStr">
        <is>
          <t>2026-W21</t>
        </is>
      </c>
      <c r="C1208" t="inlineStr">
        <is>
          <t>Shift4</t>
        </is>
      </c>
      <c r="D1208" t="inlineStr">
        <is>
          <t>EUR</t>
        </is>
      </c>
      <c r="E1208" s="9" t="n">
        <v>564768.08</v>
      </c>
      <c r="F1208" s="9" t="n">
        <v>-5578.15</v>
      </c>
      <c r="G1208" s="9" t="n">
        <v>0</v>
      </c>
      <c r="H1208" s="9">
        <f>IF(D1208="USD",E1208*$N$1,E1208)</f>
        <v/>
      </c>
      <c r="I1208" s="9">
        <f>IF(D1208="USD",F1208*$N$1,F1208)</f>
        <v/>
      </c>
      <c r="J1208" s="9">
        <f>IF(D1208="USD",G1208*$N$1,G1208)</f>
        <v/>
      </c>
      <c r="K1208" s="9">
        <f>H1208+I1208</f>
        <v/>
      </c>
    </row>
    <row r="1209">
      <c r="A1209" s="8" t="n">
        <v>46162</v>
      </c>
      <c r="B1209" t="inlineStr">
        <is>
          <t>2026-W21</t>
        </is>
      </c>
      <c r="C1209" t="inlineStr">
        <is>
          <t>Adyen</t>
        </is>
      </c>
      <c r="D1209" t="inlineStr">
        <is>
          <t>EUR</t>
        </is>
      </c>
      <c r="E1209" s="9" t="n">
        <v>0</v>
      </c>
      <c r="F1209" s="9" t="n">
        <v>0</v>
      </c>
      <c r="G1209" s="9" t="n">
        <v>-1488683.33</v>
      </c>
      <c r="H1209" s="9">
        <f>IF(D1209="USD",E1209*$N$1,E1209)</f>
        <v/>
      </c>
      <c r="I1209" s="9">
        <f>IF(D1209="USD",F1209*$N$1,F1209)</f>
        <v/>
      </c>
      <c r="J1209" s="9">
        <f>IF(D1209="USD",G1209*$N$1,G1209)</f>
        <v/>
      </c>
      <c r="K1209" s="9">
        <f>H1209+I1209</f>
        <v/>
      </c>
    </row>
    <row r="1210">
      <c r="A1210" s="8" t="n">
        <v>46162</v>
      </c>
      <c r="B1210" t="inlineStr">
        <is>
          <t>2026-W21</t>
        </is>
      </c>
      <c r="C1210" t="inlineStr">
        <is>
          <t>Adyen</t>
        </is>
      </c>
      <c r="D1210" t="inlineStr">
        <is>
          <t>EUR</t>
        </is>
      </c>
      <c r="E1210" s="9" t="n">
        <v>690639.52</v>
      </c>
      <c r="F1210" s="9" t="n">
        <v>-11816.75999999989</v>
      </c>
      <c r="G1210" s="9" t="n">
        <v>0</v>
      </c>
      <c r="H1210" s="9">
        <f>IF(D1210="USD",E1210*$N$1,E1210)</f>
        <v/>
      </c>
      <c r="I1210" s="9">
        <f>IF(D1210="USD",F1210*$N$1,F1210)</f>
        <v/>
      </c>
      <c r="J1210" s="9">
        <f>IF(D1210="USD",G1210*$N$1,G1210)</f>
        <v/>
      </c>
      <c r="K1210" s="9">
        <f>H1210+I1210</f>
        <v/>
      </c>
    </row>
    <row r="1211">
      <c r="A1211" s="8" t="n">
        <v>46162</v>
      </c>
      <c r="B1211" t="inlineStr">
        <is>
          <t>2026-W21</t>
        </is>
      </c>
      <c r="C1211" t="inlineStr">
        <is>
          <t>Adyen</t>
        </is>
      </c>
      <c r="D1211" t="inlineStr">
        <is>
          <t>EUR</t>
        </is>
      </c>
      <c r="E1211" s="9" t="n">
        <v>78944.35000000001</v>
      </c>
      <c r="F1211" s="9" t="n">
        <v>0</v>
      </c>
      <c r="G1211" s="9" t="n">
        <v>0</v>
      </c>
      <c r="H1211" s="9">
        <f>IF(D1211="USD",E1211*$N$1,E1211)</f>
        <v/>
      </c>
      <c r="I1211" s="9">
        <f>IF(D1211="USD",F1211*$N$1,F1211)</f>
        <v/>
      </c>
      <c r="J1211" s="9">
        <f>IF(D1211="USD",G1211*$N$1,G1211)</f>
        <v/>
      </c>
      <c r="K1211" s="9">
        <f>H1211+I1211</f>
        <v/>
      </c>
    </row>
    <row r="1212">
      <c r="A1212" s="8" t="n">
        <v>46162</v>
      </c>
      <c r="B1212" t="inlineStr">
        <is>
          <t>2026-W21</t>
        </is>
      </c>
      <c r="C1212" t="inlineStr">
        <is>
          <t>Nuvei</t>
        </is>
      </c>
      <c r="D1212" t="inlineStr">
        <is>
          <t>EUR</t>
        </is>
      </c>
      <c r="E1212" s="9" t="n">
        <v>0</v>
      </c>
      <c r="F1212" s="9" t="n">
        <v>0</v>
      </c>
      <c r="G1212" s="9" t="n">
        <v>-443729.9</v>
      </c>
      <c r="H1212" s="9">
        <f>IF(D1212="USD",E1212*$N$1,E1212)</f>
        <v/>
      </c>
      <c r="I1212" s="9">
        <f>IF(D1212="USD",F1212*$N$1,F1212)</f>
        <v/>
      </c>
      <c r="J1212" s="9">
        <f>IF(D1212="USD",G1212*$N$1,G1212)</f>
        <v/>
      </c>
      <c r="K1212" s="9">
        <f>H1212+I1212</f>
        <v/>
      </c>
    </row>
    <row r="1213">
      <c r="A1213" s="8" t="n">
        <v>46162</v>
      </c>
      <c r="B1213" t="inlineStr">
        <is>
          <t>2026-W21</t>
        </is>
      </c>
      <c r="C1213" t="inlineStr">
        <is>
          <t>Nuvei</t>
        </is>
      </c>
      <c r="D1213" t="inlineStr">
        <is>
          <t>EUR</t>
        </is>
      </c>
      <c r="E1213" s="9" t="n">
        <v>0</v>
      </c>
      <c r="F1213" s="9" t="n">
        <v>0</v>
      </c>
      <c r="G1213" s="9" t="n">
        <v>-98282.53999999999</v>
      </c>
      <c r="H1213" s="9">
        <f>IF(D1213="USD",E1213*$N$1,E1213)</f>
        <v/>
      </c>
      <c r="I1213" s="9">
        <f>IF(D1213="USD",F1213*$N$1,F1213)</f>
        <v/>
      </c>
      <c r="J1213" s="9">
        <f>IF(D1213="USD",G1213*$N$1,G1213)</f>
        <v/>
      </c>
      <c r="K1213" s="9">
        <f>H1213+I1213</f>
        <v/>
      </c>
    </row>
    <row r="1214">
      <c r="A1214" s="8" t="n">
        <v>46162</v>
      </c>
      <c r="B1214" t="inlineStr">
        <is>
          <t>2026-W21</t>
        </is>
      </c>
      <c r="C1214" t="inlineStr">
        <is>
          <t>Nuvei</t>
        </is>
      </c>
      <c r="D1214" t="inlineStr">
        <is>
          <t>EUR</t>
        </is>
      </c>
      <c r="E1214" s="9" t="n">
        <v>393461.14</v>
      </c>
      <c r="F1214" s="9" t="n">
        <v>-7584.36</v>
      </c>
      <c r="G1214" s="9" t="n">
        <v>0</v>
      </c>
      <c r="H1214" s="9">
        <f>IF(D1214="USD",E1214*$N$1,E1214)</f>
        <v/>
      </c>
      <c r="I1214" s="9">
        <f>IF(D1214="USD",F1214*$N$1,F1214)</f>
        <v/>
      </c>
      <c r="J1214" s="9">
        <f>IF(D1214="USD",G1214*$N$1,G1214)</f>
        <v/>
      </c>
      <c r="K1214" s="9">
        <f>H1214+I1214</f>
        <v/>
      </c>
    </row>
    <row r="1215">
      <c r="A1215" s="8" t="n">
        <v>46162</v>
      </c>
      <c r="B1215" t="inlineStr">
        <is>
          <t>2026-W21</t>
        </is>
      </c>
      <c r="C1215" t="inlineStr">
        <is>
          <t>Nuvei</t>
        </is>
      </c>
      <c r="D1215" t="inlineStr">
        <is>
          <t>EUR</t>
        </is>
      </c>
      <c r="E1215" s="9" t="n">
        <v>130707.81</v>
      </c>
      <c r="F1215" s="9" t="n">
        <v>-3871.1</v>
      </c>
      <c r="G1215" s="9" t="n">
        <v>0</v>
      </c>
      <c r="H1215" s="9">
        <f>IF(D1215="USD",E1215*$N$1,E1215)</f>
        <v/>
      </c>
      <c r="I1215" s="9">
        <f>IF(D1215="USD",F1215*$N$1,F1215)</f>
        <v/>
      </c>
      <c r="J1215" s="9">
        <f>IF(D1215="USD",G1215*$N$1,G1215)</f>
        <v/>
      </c>
      <c r="K1215" s="9">
        <f>H1215+I1215</f>
        <v/>
      </c>
    </row>
    <row r="1216">
      <c r="A1216" s="8" t="n">
        <v>46162</v>
      </c>
      <c r="B1216" t="inlineStr">
        <is>
          <t>2026-W21</t>
        </is>
      </c>
      <c r="C1216" t="inlineStr">
        <is>
          <t>Shift4</t>
        </is>
      </c>
      <c r="D1216" t="inlineStr">
        <is>
          <t>EUR</t>
        </is>
      </c>
      <c r="E1216" s="9" t="n">
        <v>0</v>
      </c>
      <c r="F1216" s="9" t="n">
        <v>0</v>
      </c>
      <c r="G1216" s="9" t="n">
        <v>-486766.68</v>
      </c>
      <c r="H1216" s="9">
        <f>IF(D1216="USD",E1216*$N$1,E1216)</f>
        <v/>
      </c>
      <c r="I1216" s="9">
        <f>IF(D1216="USD",F1216*$N$1,F1216)</f>
        <v/>
      </c>
      <c r="J1216" s="9">
        <f>IF(D1216="USD",G1216*$N$1,G1216)</f>
        <v/>
      </c>
      <c r="K1216" s="9">
        <f>H1216+I1216</f>
        <v/>
      </c>
    </row>
    <row r="1217">
      <c r="A1217" s="8" t="n">
        <v>46162</v>
      </c>
      <c r="B1217" t="inlineStr">
        <is>
          <t>2026-W21</t>
        </is>
      </c>
      <c r="C1217" t="inlineStr">
        <is>
          <t>Shift4</t>
        </is>
      </c>
      <c r="D1217" t="inlineStr">
        <is>
          <t>EUR</t>
        </is>
      </c>
      <c r="E1217" s="9" t="n">
        <v>567310.34</v>
      </c>
      <c r="F1217" s="9" t="n">
        <v>-5470</v>
      </c>
      <c r="G1217" s="9" t="n">
        <v>0</v>
      </c>
      <c r="H1217" s="9">
        <f>IF(D1217="USD",E1217*$N$1,E1217)</f>
        <v/>
      </c>
      <c r="I1217" s="9">
        <f>IF(D1217="USD",F1217*$N$1,F1217)</f>
        <v/>
      </c>
      <c r="J1217" s="9">
        <f>IF(D1217="USD",G1217*$N$1,G1217)</f>
        <v/>
      </c>
      <c r="K1217" s="9">
        <f>H1217+I1217</f>
        <v/>
      </c>
    </row>
    <row r="1218">
      <c r="A1218" s="8" t="n">
        <v>46163</v>
      </c>
      <c r="B1218" t="inlineStr">
        <is>
          <t>2026-W21</t>
        </is>
      </c>
      <c r="C1218" t="inlineStr">
        <is>
          <t>Adyen</t>
        </is>
      </c>
      <c r="D1218" t="inlineStr">
        <is>
          <t>EUR</t>
        </is>
      </c>
      <c r="E1218" s="9" t="n">
        <v>0</v>
      </c>
      <c r="F1218" s="9" t="n">
        <v>0</v>
      </c>
      <c r="G1218" s="9" t="n">
        <v>-738871.8</v>
      </c>
      <c r="H1218" s="9">
        <f>IF(D1218="USD",E1218*$N$1,E1218)</f>
        <v/>
      </c>
      <c r="I1218" s="9">
        <f>IF(D1218="USD",F1218*$N$1,F1218)</f>
        <v/>
      </c>
      <c r="J1218" s="9">
        <f>IF(D1218="USD",G1218*$N$1,G1218)</f>
        <v/>
      </c>
      <c r="K1218" s="9">
        <f>H1218+I1218</f>
        <v/>
      </c>
    </row>
    <row r="1219">
      <c r="A1219" s="8" t="n">
        <v>46163</v>
      </c>
      <c r="B1219" t="inlineStr">
        <is>
          <t>2026-W21</t>
        </is>
      </c>
      <c r="C1219" t="inlineStr">
        <is>
          <t>Adyen</t>
        </is>
      </c>
      <c r="D1219" t="inlineStr">
        <is>
          <t>EUR</t>
        </is>
      </c>
      <c r="E1219" s="9" t="n">
        <v>633911.37</v>
      </c>
      <c r="F1219" s="9" t="n">
        <v>-9397.109999999986</v>
      </c>
      <c r="G1219" s="9" t="n">
        <v>0</v>
      </c>
      <c r="H1219" s="9">
        <f>IF(D1219="USD",E1219*$N$1,E1219)</f>
        <v/>
      </c>
      <c r="I1219" s="9">
        <f>IF(D1219="USD",F1219*$N$1,F1219)</f>
        <v/>
      </c>
      <c r="J1219" s="9">
        <f>IF(D1219="USD",G1219*$N$1,G1219)</f>
        <v/>
      </c>
      <c r="K1219" s="9">
        <f>H1219+I1219</f>
        <v/>
      </c>
    </row>
    <row r="1220">
      <c r="A1220" s="8" t="n">
        <v>46163</v>
      </c>
      <c r="B1220" t="inlineStr">
        <is>
          <t>2026-W21</t>
        </is>
      </c>
      <c r="C1220" t="inlineStr">
        <is>
          <t>Adyen</t>
        </is>
      </c>
      <c r="D1220" t="inlineStr">
        <is>
          <t>EUR</t>
        </is>
      </c>
      <c r="E1220" s="9" t="n">
        <v>70606.10000000001</v>
      </c>
      <c r="F1220" s="9" t="n">
        <v>0</v>
      </c>
      <c r="G1220" s="9" t="n">
        <v>0</v>
      </c>
      <c r="H1220" s="9">
        <f>IF(D1220="USD",E1220*$N$1,E1220)</f>
        <v/>
      </c>
      <c r="I1220" s="9">
        <f>IF(D1220="USD",F1220*$N$1,F1220)</f>
        <v/>
      </c>
      <c r="J1220" s="9">
        <f>IF(D1220="USD",G1220*$N$1,G1220)</f>
        <v/>
      </c>
      <c r="K1220" s="9">
        <f>H1220+I1220</f>
        <v/>
      </c>
    </row>
    <row r="1221">
      <c r="A1221" s="8" t="n">
        <v>46163</v>
      </c>
      <c r="B1221" t="inlineStr">
        <is>
          <t>2026-W21</t>
        </is>
      </c>
      <c r="C1221" t="inlineStr">
        <is>
          <t>Nuvei</t>
        </is>
      </c>
      <c r="D1221" t="inlineStr">
        <is>
          <t>EUR</t>
        </is>
      </c>
      <c r="E1221" s="9" t="n">
        <v>0</v>
      </c>
      <c r="F1221" s="9" t="n">
        <v>0</v>
      </c>
      <c r="G1221" s="9" t="n">
        <v>-382440.06</v>
      </c>
      <c r="H1221" s="9">
        <f>IF(D1221="USD",E1221*$N$1,E1221)</f>
        <v/>
      </c>
      <c r="I1221" s="9">
        <f>IF(D1221="USD",F1221*$N$1,F1221)</f>
        <v/>
      </c>
      <c r="J1221" s="9">
        <f>IF(D1221="USD",G1221*$N$1,G1221)</f>
        <v/>
      </c>
      <c r="K1221" s="9">
        <f>H1221+I1221</f>
        <v/>
      </c>
    </row>
    <row r="1222">
      <c r="A1222" s="8" t="n">
        <v>46163</v>
      </c>
      <c r="B1222" t="inlineStr">
        <is>
          <t>2026-W21</t>
        </is>
      </c>
      <c r="C1222" t="inlineStr">
        <is>
          <t>Nuvei</t>
        </is>
      </c>
      <c r="D1222" t="inlineStr">
        <is>
          <t>EUR</t>
        </is>
      </c>
      <c r="E1222" s="9" t="n">
        <v>0</v>
      </c>
      <c r="F1222" s="9" t="n">
        <v>0</v>
      </c>
      <c r="G1222" s="9" t="n">
        <v>-138661.27</v>
      </c>
      <c r="H1222" s="9">
        <f>IF(D1222="USD",E1222*$N$1,E1222)</f>
        <v/>
      </c>
      <c r="I1222" s="9">
        <f>IF(D1222="USD",F1222*$N$1,F1222)</f>
        <v/>
      </c>
      <c r="J1222" s="9">
        <f>IF(D1222="USD",G1222*$N$1,G1222)</f>
        <v/>
      </c>
      <c r="K1222" s="9">
        <f>H1222+I1222</f>
        <v/>
      </c>
    </row>
    <row r="1223">
      <c r="A1223" s="8" t="n">
        <v>46163</v>
      </c>
      <c r="B1223" t="inlineStr">
        <is>
          <t>2026-W21</t>
        </is>
      </c>
      <c r="C1223" t="inlineStr">
        <is>
          <t>Nuvei</t>
        </is>
      </c>
      <c r="D1223" t="inlineStr">
        <is>
          <t>EUR</t>
        </is>
      </c>
      <c r="E1223" s="9" t="n">
        <v>416901.37</v>
      </c>
      <c r="F1223" s="9" t="n">
        <v>-7413.19</v>
      </c>
      <c r="G1223" s="9" t="n">
        <v>0</v>
      </c>
      <c r="H1223" s="9">
        <f>IF(D1223="USD",E1223*$N$1,E1223)</f>
        <v/>
      </c>
      <c r="I1223" s="9">
        <f>IF(D1223="USD",F1223*$N$1,F1223)</f>
        <v/>
      </c>
      <c r="J1223" s="9">
        <f>IF(D1223="USD",G1223*$N$1,G1223)</f>
        <v/>
      </c>
      <c r="K1223" s="9">
        <f>H1223+I1223</f>
        <v/>
      </c>
    </row>
    <row r="1224">
      <c r="A1224" s="8" t="n">
        <v>46163</v>
      </c>
      <c r="B1224" t="inlineStr">
        <is>
          <t>2026-W21</t>
        </is>
      </c>
      <c r="C1224" t="inlineStr">
        <is>
          <t>Nuvei</t>
        </is>
      </c>
      <c r="D1224" t="inlineStr">
        <is>
          <t>EUR</t>
        </is>
      </c>
      <c r="E1224" s="9" t="n">
        <v>146766.01</v>
      </c>
      <c r="F1224" s="9" t="n">
        <v>-4003.19</v>
      </c>
      <c r="G1224" s="9" t="n">
        <v>0</v>
      </c>
      <c r="H1224" s="9">
        <f>IF(D1224="USD",E1224*$N$1,E1224)</f>
        <v/>
      </c>
      <c r="I1224" s="9">
        <f>IF(D1224="USD",F1224*$N$1,F1224)</f>
        <v/>
      </c>
      <c r="J1224" s="9">
        <f>IF(D1224="USD",G1224*$N$1,G1224)</f>
        <v/>
      </c>
      <c r="K1224" s="9">
        <f>H1224+I1224</f>
        <v/>
      </c>
    </row>
    <row r="1225">
      <c r="A1225" s="8" t="n">
        <v>46163</v>
      </c>
      <c r="B1225" t="inlineStr">
        <is>
          <t>2026-W21</t>
        </is>
      </c>
      <c r="C1225" t="inlineStr">
        <is>
          <t>Shift4</t>
        </is>
      </c>
      <c r="D1225" t="inlineStr">
        <is>
          <t>EUR</t>
        </is>
      </c>
      <c r="E1225" s="9" t="n">
        <v>0</v>
      </c>
      <c r="F1225" s="9" t="n">
        <v>0</v>
      </c>
      <c r="G1225" s="9" t="n">
        <v>-1603922.19</v>
      </c>
      <c r="H1225" s="9">
        <f>IF(D1225="USD",E1225*$N$1,E1225)</f>
        <v/>
      </c>
      <c r="I1225" s="9">
        <f>IF(D1225="USD",F1225*$N$1,F1225)</f>
        <v/>
      </c>
      <c r="J1225" s="9">
        <f>IF(D1225="USD",G1225*$N$1,G1225)</f>
        <v/>
      </c>
      <c r="K1225" s="9">
        <f>H1225+I1225</f>
        <v/>
      </c>
    </row>
    <row r="1226">
      <c r="A1226" s="8" t="n">
        <v>46163</v>
      </c>
      <c r="B1226" t="inlineStr">
        <is>
          <t>2026-W21</t>
        </is>
      </c>
      <c r="C1226" t="inlineStr">
        <is>
          <t>Shift4</t>
        </is>
      </c>
      <c r="D1226" t="inlineStr">
        <is>
          <t>EUR</t>
        </is>
      </c>
      <c r="E1226" s="9" t="n">
        <v>538459.8100000001</v>
      </c>
      <c r="F1226" s="9" t="n">
        <v>-5484.39</v>
      </c>
      <c r="G1226" s="9" t="n">
        <v>0</v>
      </c>
      <c r="H1226" s="9">
        <f>IF(D1226="USD",E1226*$N$1,E1226)</f>
        <v/>
      </c>
      <c r="I1226" s="9">
        <f>IF(D1226="USD",F1226*$N$1,F1226)</f>
        <v/>
      </c>
      <c r="J1226" s="9">
        <f>IF(D1226="USD",G1226*$N$1,G1226)</f>
        <v/>
      </c>
      <c r="K1226" s="9">
        <f>H1226+I1226</f>
        <v/>
      </c>
    </row>
    <row r="1227">
      <c r="A1227" s="8" t="n">
        <v>46164</v>
      </c>
      <c r="B1227" t="inlineStr">
        <is>
          <t>2026-W21</t>
        </is>
      </c>
      <c r="C1227" t="inlineStr">
        <is>
          <t>Adyen</t>
        </is>
      </c>
      <c r="D1227" t="inlineStr">
        <is>
          <t>EUR</t>
        </is>
      </c>
      <c r="E1227" s="9" t="n">
        <v>0</v>
      </c>
      <c r="F1227" s="9" t="n">
        <v>0</v>
      </c>
      <c r="G1227" s="9" t="n">
        <v>-757767.1100000001</v>
      </c>
      <c r="H1227" s="9">
        <f>IF(D1227="USD",E1227*$N$1,E1227)</f>
        <v/>
      </c>
      <c r="I1227" s="9">
        <f>IF(D1227="USD",F1227*$N$1,F1227)</f>
        <v/>
      </c>
      <c r="J1227" s="9">
        <f>IF(D1227="USD",G1227*$N$1,G1227)</f>
        <v/>
      </c>
      <c r="K1227" s="9">
        <f>H1227+I1227</f>
        <v/>
      </c>
    </row>
    <row r="1228">
      <c r="A1228" s="8" t="n">
        <v>46164</v>
      </c>
      <c r="B1228" t="inlineStr">
        <is>
          <t>2026-W21</t>
        </is>
      </c>
      <c r="C1228" t="inlineStr">
        <is>
          <t>Adyen</t>
        </is>
      </c>
      <c r="D1228" t="inlineStr">
        <is>
          <t>EUR</t>
        </is>
      </c>
      <c r="E1228" s="9" t="n">
        <v>575531.17</v>
      </c>
      <c r="F1228" s="9" t="n">
        <v>-7938.419999999925</v>
      </c>
      <c r="G1228" s="9" t="n">
        <v>0</v>
      </c>
      <c r="H1228" s="9">
        <f>IF(D1228="USD",E1228*$N$1,E1228)</f>
        <v/>
      </c>
      <c r="I1228" s="9">
        <f>IF(D1228="USD",F1228*$N$1,F1228)</f>
        <v/>
      </c>
      <c r="J1228" s="9">
        <f>IF(D1228="USD",G1228*$N$1,G1228)</f>
        <v/>
      </c>
      <c r="K1228" s="9">
        <f>H1228+I1228</f>
        <v/>
      </c>
    </row>
    <row r="1229">
      <c r="A1229" s="8" t="n">
        <v>46164</v>
      </c>
      <c r="B1229" t="inlineStr">
        <is>
          <t>2026-W21</t>
        </is>
      </c>
      <c r="C1229" t="inlineStr">
        <is>
          <t>Adyen</t>
        </is>
      </c>
      <c r="D1229" t="inlineStr">
        <is>
          <t>EUR</t>
        </is>
      </c>
      <c r="E1229" s="9" t="n">
        <v>73197.35000000001</v>
      </c>
      <c r="F1229" s="9" t="n">
        <v>0</v>
      </c>
      <c r="G1229" s="9" t="n">
        <v>0</v>
      </c>
      <c r="H1229" s="9">
        <f>IF(D1229="USD",E1229*$N$1,E1229)</f>
        <v/>
      </c>
      <c r="I1229" s="9">
        <f>IF(D1229="USD",F1229*$N$1,F1229)</f>
        <v/>
      </c>
      <c r="J1229" s="9">
        <f>IF(D1229="USD",G1229*$N$1,G1229)</f>
        <v/>
      </c>
      <c r="K1229" s="9">
        <f>H1229+I1229</f>
        <v/>
      </c>
    </row>
    <row r="1230">
      <c r="A1230" s="8" t="n">
        <v>46164</v>
      </c>
      <c r="B1230" t="inlineStr">
        <is>
          <t>2026-W21</t>
        </is>
      </c>
      <c r="C1230" t="inlineStr">
        <is>
          <t>Nuvei</t>
        </is>
      </c>
      <c r="D1230" t="inlineStr">
        <is>
          <t>EUR</t>
        </is>
      </c>
      <c r="E1230" s="9" t="n">
        <v>0</v>
      </c>
      <c r="F1230" s="9" t="n">
        <v>0</v>
      </c>
      <c r="G1230" s="9" t="n">
        <v>-1101949.87</v>
      </c>
      <c r="H1230" s="9">
        <f>IF(D1230="USD",E1230*$N$1,E1230)</f>
        <v/>
      </c>
      <c r="I1230" s="9">
        <f>IF(D1230="USD",F1230*$N$1,F1230)</f>
        <v/>
      </c>
      <c r="J1230" s="9">
        <f>IF(D1230="USD",G1230*$N$1,G1230)</f>
        <v/>
      </c>
      <c r="K1230" s="9">
        <f>H1230+I1230</f>
        <v/>
      </c>
    </row>
    <row r="1231">
      <c r="A1231" s="8" t="n">
        <v>46164</v>
      </c>
      <c r="B1231" t="inlineStr">
        <is>
          <t>2026-W21</t>
        </is>
      </c>
      <c r="C1231" t="inlineStr">
        <is>
          <t>Nuvei</t>
        </is>
      </c>
      <c r="D1231" t="inlineStr">
        <is>
          <t>EUR</t>
        </is>
      </c>
      <c r="E1231" s="9" t="n">
        <v>0</v>
      </c>
      <c r="F1231" s="9" t="n">
        <v>0</v>
      </c>
      <c r="G1231" s="9" t="n">
        <v>-355931.08</v>
      </c>
      <c r="H1231" s="9">
        <f>IF(D1231="USD",E1231*$N$1,E1231)</f>
        <v/>
      </c>
      <c r="I1231" s="9">
        <f>IF(D1231="USD",F1231*$N$1,F1231)</f>
        <v/>
      </c>
      <c r="J1231" s="9">
        <f>IF(D1231="USD",G1231*$N$1,G1231)</f>
        <v/>
      </c>
      <c r="K1231" s="9">
        <f>H1231+I1231</f>
        <v/>
      </c>
    </row>
    <row r="1232">
      <c r="A1232" s="8" t="n">
        <v>46164</v>
      </c>
      <c r="B1232" t="inlineStr">
        <is>
          <t>2026-W21</t>
        </is>
      </c>
      <c r="C1232" t="inlineStr">
        <is>
          <t>Nuvei</t>
        </is>
      </c>
      <c r="D1232" t="inlineStr">
        <is>
          <t>EUR</t>
        </is>
      </c>
      <c r="E1232" s="9" t="n">
        <v>396612.25</v>
      </c>
      <c r="F1232" s="9" t="n">
        <v>-6954.16</v>
      </c>
      <c r="G1232" s="9" t="n">
        <v>0</v>
      </c>
      <c r="H1232" s="9">
        <f>IF(D1232="USD",E1232*$N$1,E1232)</f>
        <v/>
      </c>
      <c r="I1232" s="9">
        <f>IF(D1232="USD",F1232*$N$1,F1232)</f>
        <v/>
      </c>
      <c r="J1232" s="9">
        <f>IF(D1232="USD",G1232*$N$1,G1232)</f>
        <v/>
      </c>
      <c r="K1232" s="9">
        <f>H1232+I1232</f>
        <v/>
      </c>
    </row>
    <row r="1233">
      <c r="A1233" s="8" t="n">
        <v>46164</v>
      </c>
      <c r="B1233" t="inlineStr">
        <is>
          <t>2026-W21</t>
        </is>
      </c>
      <c r="C1233" t="inlineStr">
        <is>
          <t>Nuvei</t>
        </is>
      </c>
      <c r="D1233" t="inlineStr">
        <is>
          <t>EUR</t>
        </is>
      </c>
      <c r="E1233" s="9" t="n">
        <v>112677.71</v>
      </c>
      <c r="F1233" s="9" t="n">
        <v>-3097.69</v>
      </c>
      <c r="G1233" s="9" t="n">
        <v>0</v>
      </c>
      <c r="H1233" s="9">
        <f>IF(D1233="USD",E1233*$N$1,E1233)</f>
        <v/>
      </c>
      <c r="I1233" s="9">
        <f>IF(D1233="USD",F1233*$N$1,F1233)</f>
        <v/>
      </c>
      <c r="J1233" s="9">
        <f>IF(D1233="USD",G1233*$N$1,G1233)</f>
        <v/>
      </c>
      <c r="K1233" s="9">
        <f>H1233+I1233</f>
        <v/>
      </c>
    </row>
    <row r="1234">
      <c r="A1234" s="8" t="n">
        <v>46164</v>
      </c>
      <c r="B1234" t="inlineStr">
        <is>
          <t>2026-W21</t>
        </is>
      </c>
      <c r="C1234" t="inlineStr">
        <is>
          <t>Shift4</t>
        </is>
      </c>
      <c r="D1234" t="inlineStr">
        <is>
          <t>EUR</t>
        </is>
      </c>
      <c r="E1234" s="9" t="n">
        <v>0</v>
      </c>
      <c r="F1234" s="9" t="n">
        <v>0</v>
      </c>
      <c r="G1234" s="9" t="n">
        <v>-559189.9300000001</v>
      </c>
      <c r="H1234" s="9">
        <f>IF(D1234="USD",E1234*$N$1,E1234)</f>
        <v/>
      </c>
      <c r="I1234" s="9">
        <f>IF(D1234="USD",F1234*$N$1,F1234)</f>
        <v/>
      </c>
      <c r="J1234" s="9">
        <f>IF(D1234="USD",G1234*$N$1,G1234)</f>
        <v/>
      </c>
      <c r="K1234" s="9">
        <f>H1234+I1234</f>
        <v/>
      </c>
    </row>
    <row r="1235">
      <c r="A1235" s="8" t="n">
        <v>46164</v>
      </c>
      <c r="B1235" t="inlineStr">
        <is>
          <t>2026-W21</t>
        </is>
      </c>
      <c r="C1235" t="inlineStr">
        <is>
          <t>Shift4</t>
        </is>
      </c>
      <c r="D1235" t="inlineStr">
        <is>
          <t>EUR</t>
        </is>
      </c>
      <c r="E1235" s="9" t="n">
        <v>505892.75</v>
      </c>
      <c r="F1235" s="9" t="n">
        <v>-5193.08</v>
      </c>
      <c r="G1235" s="9" t="n">
        <v>0</v>
      </c>
      <c r="H1235" s="9">
        <f>IF(D1235="USD",E1235*$N$1,E1235)</f>
        <v/>
      </c>
      <c r="I1235" s="9">
        <f>IF(D1235="USD",F1235*$N$1,F1235)</f>
        <v/>
      </c>
      <c r="J1235" s="9">
        <f>IF(D1235="USD",G1235*$N$1,G1235)</f>
        <v/>
      </c>
      <c r="K1235" s="9">
        <f>H1235+I1235</f>
        <v/>
      </c>
    </row>
    <row r="1236">
      <c r="A1236" s="8" t="n">
        <v>46165</v>
      </c>
      <c r="B1236" t="inlineStr">
        <is>
          <t>2026-W21</t>
        </is>
      </c>
      <c r="C1236" t="inlineStr">
        <is>
          <t>Adyen</t>
        </is>
      </c>
      <c r="D1236" t="inlineStr">
        <is>
          <t>EUR</t>
        </is>
      </c>
      <c r="E1236" s="9" t="n">
        <v>396170.62</v>
      </c>
      <c r="F1236" s="9" t="n">
        <v>0</v>
      </c>
      <c r="G1236" s="9" t="n">
        <v>0</v>
      </c>
      <c r="H1236" s="9">
        <f>IF(D1236="USD",E1236*$N$1,E1236)</f>
        <v/>
      </c>
      <c r="I1236" s="9">
        <f>IF(D1236="USD",F1236*$N$1,F1236)</f>
        <v/>
      </c>
      <c r="J1236" s="9">
        <f>IF(D1236="USD",G1236*$N$1,G1236)</f>
        <v/>
      </c>
      <c r="K1236" s="9">
        <f>H1236+I1236</f>
        <v/>
      </c>
    </row>
    <row r="1237">
      <c r="A1237" s="8" t="n">
        <v>46165</v>
      </c>
      <c r="B1237" t="inlineStr">
        <is>
          <t>2026-W21</t>
        </is>
      </c>
      <c r="C1237" t="inlineStr">
        <is>
          <t>Adyen</t>
        </is>
      </c>
      <c r="D1237" t="inlineStr">
        <is>
          <t>EUR</t>
        </is>
      </c>
      <c r="E1237" s="9" t="n">
        <v>42208.58</v>
      </c>
      <c r="F1237" s="9" t="n">
        <v>0</v>
      </c>
      <c r="G1237" s="9" t="n">
        <v>0</v>
      </c>
      <c r="H1237" s="9">
        <f>IF(D1237="USD",E1237*$N$1,E1237)</f>
        <v/>
      </c>
      <c r="I1237" s="9">
        <f>IF(D1237="USD",F1237*$N$1,F1237)</f>
        <v/>
      </c>
      <c r="J1237" s="9">
        <f>IF(D1237="USD",G1237*$N$1,G1237)</f>
        <v/>
      </c>
      <c r="K1237" s="9">
        <f>H1237+I1237</f>
        <v/>
      </c>
    </row>
    <row r="1238">
      <c r="A1238" s="8" t="n">
        <v>46165</v>
      </c>
      <c r="B1238" t="inlineStr">
        <is>
          <t>2026-W21</t>
        </is>
      </c>
      <c r="C1238" t="inlineStr">
        <is>
          <t>Nuvei</t>
        </is>
      </c>
      <c r="D1238" t="inlineStr">
        <is>
          <t>EUR</t>
        </is>
      </c>
      <c r="E1238" s="9" t="n">
        <v>284076.47</v>
      </c>
      <c r="F1238" s="9" t="n">
        <v>-4901.43</v>
      </c>
      <c r="G1238" s="9" t="n">
        <v>0</v>
      </c>
      <c r="H1238" s="9">
        <f>IF(D1238="USD",E1238*$N$1,E1238)</f>
        <v/>
      </c>
      <c r="I1238" s="9">
        <f>IF(D1238="USD",F1238*$N$1,F1238)</f>
        <v/>
      </c>
      <c r="J1238" s="9">
        <f>IF(D1238="USD",G1238*$N$1,G1238)</f>
        <v/>
      </c>
      <c r="K1238" s="9">
        <f>H1238+I1238</f>
        <v/>
      </c>
    </row>
    <row r="1239">
      <c r="A1239" s="8" t="n">
        <v>46165</v>
      </c>
      <c r="B1239" t="inlineStr">
        <is>
          <t>2026-W21</t>
        </is>
      </c>
      <c r="C1239" t="inlineStr">
        <is>
          <t>Nuvei</t>
        </is>
      </c>
      <c r="D1239" t="inlineStr">
        <is>
          <t>EUR</t>
        </is>
      </c>
      <c r="E1239" s="9" t="n">
        <v>111569.39</v>
      </c>
      <c r="F1239" s="9" t="n">
        <v>-3143.39</v>
      </c>
      <c r="G1239" s="9" t="n">
        <v>0</v>
      </c>
      <c r="H1239" s="9">
        <f>IF(D1239="USD",E1239*$N$1,E1239)</f>
        <v/>
      </c>
      <c r="I1239" s="9">
        <f>IF(D1239="USD",F1239*$N$1,F1239)</f>
        <v/>
      </c>
      <c r="J1239" s="9">
        <f>IF(D1239="USD",G1239*$N$1,G1239)</f>
        <v/>
      </c>
      <c r="K1239" s="9">
        <f>H1239+I1239</f>
        <v/>
      </c>
    </row>
    <row r="1240">
      <c r="A1240" s="8" t="n">
        <v>46165</v>
      </c>
      <c r="B1240" t="inlineStr">
        <is>
          <t>2026-W21</t>
        </is>
      </c>
      <c r="C1240" t="inlineStr">
        <is>
          <t>Shift4</t>
        </is>
      </c>
      <c r="D1240" t="inlineStr">
        <is>
          <t>EUR</t>
        </is>
      </c>
      <c r="E1240" s="9" t="n">
        <v>382928.68</v>
      </c>
      <c r="F1240" s="9" t="n">
        <v>-3657.51</v>
      </c>
      <c r="G1240" s="9" t="n">
        <v>0</v>
      </c>
      <c r="H1240" s="9">
        <f>IF(D1240="USD",E1240*$N$1,E1240)</f>
        <v/>
      </c>
      <c r="I1240" s="9">
        <f>IF(D1240="USD",F1240*$N$1,F1240)</f>
        <v/>
      </c>
      <c r="J1240" s="9">
        <f>IF(D1240="USD",G1240*$N$1,G1240)</f>
        <v/>
      </c>
      <c r="K1240" s="9">
        <f>H1240+I1240</f>
        <v/>
      </c>
    </row>
    <row r="1241">
      <c r="A1241" s="8" t="n">
        <v>46166</v>
      </c>
      <c r="B1241" t="inlineStr">
        <is>
          <t>2026-W21</t>
        </is>
      </c>
      <c r="C1241" t="inlineStr">
        <is>
          <t>Adyen</t>
        </is>
      </c>
      <c r="D1241" t="inlineStr">
        <is>
          <t>EUR</t>
        </is>
      </c>
      <c r="E1241" s="9" t="n">
        <v>417312.45</v>
      </c>
      <c r="F1241" s="9" t="n">
        <v>0</v>
      </c>
      <c r="G1241" s="9" t="n">
        <v>0</v>
      </c>
      <c r="H1241" s="9">
        <f>IF(D1241="USD",E1241*$N$1,E1241)</f>
        <v/>
      </c>
      <c r="I1241" s="9">
        <f>IF(D1241="USD",F1241*$N$1,F1241)</f>
        <v/>
      </c>
      <c r="J1241" s="9">
        <f>IF(D1241="USD",G1241*$N$1,G1241)</f>
        <v/>
      </c>
      <c r="K1241" s="9">
        <f>H1241+I1241</f>
        <v/>
      </c>
    </row>
    <row r="1242">
      <c r="A1242" s="8" t="n">
        <v>46166</v>
      </c>
      <c r="B1242" t="inlineStr">
        <is>
          <t>2026-W21</t>
        </is>
      </c>
      <c r="C1242" t="inlineStr">
        <is>
          <t>Adyen</t>
        </is>
      </c>
      <c r="D1242" t="inlineStr">
        <is>
          <t>EUR</t>
        </is>
      </c>
      <c r="E1242" s="9" t="n">
        <v>27429.27</v>
      </c>
      <c r="F1242" s="9" t="n">
        <v>0</v>
      </c>
      <c r="G1242" s="9" t="n">
        <v>0</v>
      </c>
      <c r="H1242" s="9">
        <f>IF(D1242="USD",E1242*$N$1,E1242)</f>
        <v/>
      </c>
      <c r="I1242" s="9">
        <f>IF(D1242="USD",F1242*$N$1,F1242)</f>
        <v/>
      </c>
      <c r="J1242" s="9">
        <f>IF(D1242="USD",G1242*$N$1,G1242)</f>
        <v/>
      </c>
      <c r="K1242" s="9">
        <f>H1242+I1242</f>
        <v/>
      </c>
    </row>
    <row r="1243">
      <c r="A1243" s="8" t="n">
        <v>46166</v>
      </c>
      <c r="B1243" t="inlineStr">
        <is>
          <t>2026-W21</t>
        </is>
      </c>
      <c r="C1243" t="inlineStr">
        <is>
          <t>Nuvei</t>
        </is>
      </c>
      <c r="D1243" t="inlineStr">
        <is>
          <t>EUR</t>
        </is>
      </c>
      <c r="E1243" s="9" t="n">
        <v>318324.63</v>
      </c>
      <c r="F1243" s="9" t="n">
        <v>-4933.78</v>
      </c>
      <c r="G1243" s="9" t="n">
        <v>0</v>
      </c>
      <c r="H1243" s="9">
        <f>IF(D1243="USD",E1243*$N$1,E1243)</f>
        <v/>
      </c>
      <c r="I1243" s="9">
        <f>IF(D1243="USD",F1243*$N$1,F1243)</f>
        <v/>
      </c>
      <c r="J1243" s="9">
        <f>IF(D1243="USD",G1243*$N$1,G1243)</f>
        <v/>
      </c>
      <c r="K1243" s="9">
        <f>H1243+I1243</f>
        <v/>
      </c>
    </row>
    <row r="1244">
      <c r="A1244" s="8" t="n">
        <v>46166</v>
      </c>
      <c r="B1244" t="inlineStr">
        <is>
          <t>2026-W21</t>
        </is>
      </c>
      <c r="C1244" t="inlineStr">
        <is>
          <t>Nuvei</t>
        </is>
      </c>
      <c r="D1244" t="inlineStr">
        <is>
          <t>EUR</t>
        </is>
      </c>
      <c r="E1244" s="9" t="n">
        <v>95141.53</v>
      </c>
      <c r="F1244" s="9" t="n">
        <v>-1843.17</v>
      </c>
      <c r="G1244" s="9" t="n">
        <v>0</v>
      </c>
      <c r="H1244" s="9">
        <f>IF(D1244="USD",E1244*$N$1,E1244)</f>
        <v/>
      </c>
      <c r="I1244" s="9">
        <f>IF(D1244="USD",F1244*$N$1,F1244)</f>
        <v/>
      </c>
      <c r="J1244" s="9">
        <f>IF(D1244="USD",G1244*$N$1,G1244)</f>
        <v/>
      </c>
      <c r="K1244" s="9">
        <f>H1244+I1244</f>
        <v/>
      </c>
    </row>
    <row r="1245">
      <c r="A1245" s="8" t="n">
        <v>46166</v>
      </c>
      <c r="B1245" t="inlineStr">
        <is>
          <t>2026-W21</t>
        </is>
      </c>
      <c r="C1245" t="inlineStr">
        <is>
          <t>Shift4</t>
        </is>
      </c>
      <c r="D1245" t="inlineStr">
        <is>
          <t>EUR</t>
        </is>
      </c>
      <c r="E1245" s="9" t="n">
        <v>492557.15</v>
      </c>
      <c r="F1245" s="9" t="n">
        <v>-4326.32</v>
      </c>
      <c r="G1245" s="9" t="n">
        <v>0</v>
      </c>
      <c r="H1245" s="9">
        <f>IF(D1245="USD",E1245*$N$1,E1245)</f>
        <v/>
      </c>
      <c r="I1245" s="9">
        <f>IF(D1245="USD",F1245*$N$1,F1245)</f>
        <v/>
      </c>
      <c r="J1245" s="9">
        <f>IF(D1245="USD",G1245*$N$1,G1245)</f>
        <v/>
      </c>
      <c r="K1245" s="9">
        <f>H1245+I1245</f>
        <v/>
      </c>
    </row>
    <row r="1246">
      <c r="A1246" s="8" t="n">
        <v>46167</v>
      </c>
      <c r="B1246" t="inlineStr">
        <is>
          <t>2026-W22</t>
        </is>
      </c>
      <c r="C1246" t="inlineStr">
        <is>
          <t>Adyen</t>
        </is>
      </c>
      <c r="D1246" t="inlineStr">
        <is>
          <t>EUR</t>
        </is>
      </c>
      <c r="E1246" s="9" t="n">
        <v>0</v>
      </c>
      <c r="F1246" s="9" t="n">
        <v>0</v>
      </c>
      <c r="G1246" s="9" t="n">
        <v>-695120.36</v>
      </c>
      <c r="H1246" s="9">
        <f>IF(D1246="USD",E1246*$N$1,E1246)</f>
        <v/>
      </c>
      <c r="I1246" s="9">
        <f>IF(D1246="USD",F1246*$N$1,F1246)</f>
        <v/>
      </c>
      <c r="J1246" s="9">
        <f>IF(D1246="USD",G1246*$N$1,G1246)</f>
        <v/>
      </c>
      <c r="K1246" s="9">
        <f>H1246+I1246</f>
        <v/>
      </c>
    </row>
    <row r="1247">
      <c r="A1247" s="8" t="n">
        <v>46167</v>
      </c>
      <c r="B1247" t="inlineStr">
        <is>
          <t>2026-W22</t>
        </is>
      </c>
      <c r="C1247" t="inlineStr">
        <is>
          <t>Adyen</t>
        </is>
      </c>
      <c r="D1247" t="inlineStr">
        <is>
          <t>EUR</t>
        </is>
      </c>
      <c r="E1247" s="9" t="n">
        <v>586200.4</v>
      </c>
      <c r="F1247" s="9" t="n">
        <v>-4723.420000000042</v>
      </c>
      <c r="G1247" s="9" t="n">
        <v>0</v>
      </c>
      <c r="H1247" s="9">
        <f>IF(D1247="USD",E1247*$N$1,E1247)</f>
        <v/>
      </c>
      <c r="I1247" s="9">
        <f>IF(D1247="USD",F1247*$N$1,F1247)</f>
        <v/>
      </c>
      <c r="J1247" s="9">
        <f>IF(D1247="USD",G1247*$N$1,G1247)</f>
        <v/>
      </c>
      <c r="K1247" s="9">
        <f>H1247+I1247</f>
        <v/>
      </c>
    </row>
    <row r="1248">
      <c r="A1248" s="8" t="n">
        <v>46167</v>
      </c>
      <c r="B1248" t="inlineStr">
        <is>
          <t>2026-W22</t>
        </is>
      </c>
      <c r="C1248" t="inlineStr">
        <is>
          <t>Adyen</t>
        </is>
      </c>
      <c r="D1248" t="inlineStr">
        <is>
          <t>EUR</t>
        </is>
      </c>
      <c r="E1248" s="9" t="n">
        <v>56489.66</v>
      </c>
      <c r="F1248" s="9" t="n">
        <v>0</v>
      </c>
      <c r="G1248" s="9" t="n">
        <v>0</v>
      </c>
      <c r="H1248" s="9">
        <f>IF(D1248="USD",E1248*$N$1,E1248)</f>
        <v/>
      </c>
      <c r="I1248" s="9">
        <f>IF(D1248="USD",F1248*$N$1,F1248)</f>
        <v/>
      </c>
      <c r="J1248" s="9">
        <f>IF(D1248="USD",G1248*$N$1,G1248)</f>
        <v/>
      </c>
      <c r="K1248" s="9">
        <f>H1248+I1248</f>
        <v/>
      </c>
    </row>
    <row r="1249">
      <c r="A1249" s="8" t="n">
        <v>46167</v>
      </c>
      <c r="B1249" t="inlineStr">
        <is>
          <t>2026-W22</t>
        </is>
      </c>
      <c r="C1249" t="inlineStr">
        <is>
          <t>Nuvei</t>
        </is>
      </c>
      <c r="D1249" t="inlineStr">
        <is>
          <t>EUR</t>
        </is>
      </c>
      <c r="E1249" s="9" t="n">
        <v>0</v>
      </c>
      <c r="F1249" s="9" t="n">
        <v>0</v>
      </c>
      <c r="G1249" s="9" t="n">
        <v>-324349.34</v>
      </c>
      <c r="H1249" s="9">
        <f>IF(D1249="USD",E1249*$N$1,E1249)</f>
        <v/>
      </c>
      <c r="I1249" s="9">
        <f>IF(D1249="USD",F1249*$N$1,F1249)</f>
        <v/>
      </c>
      <c r="J1249" s="9">
        <f>IF(D1249="USD",G1249*$N$1,G1249)</f>
        <v/>
      </c>
      <c r="K1249" s="9">
        <f>H1249+I1249</f>
        <v/>
      </c>
    </row>
    <row r="1250">
      <c r="A1250" s="8" t="n">
        <v>46167</v>
      </c>
      <c r="B1250" t="inlineStr">
        <is>
          <t>2026-W22</t>
        </is>
      </c>
      <c r="C1250" t="inlineStr">
        <is>
          <t>Nuvei</t>
        </is>
      </c>
      <c r="D1250" t="inlineStr">
        <is>
          <t>EUR</t>
        </is>
      </c>
      <c r="E1250" s="9" t="n">
        <v>0</v>
      </c>
      <c r="F1250" s="9" t="n">
        <v>0</v>
      </c>
      <c r="G1250" s="9" t="n">
        <v>-124359.6</v>
      </c>
      <c r="H1250" s="9">
        <f>IF(D1250="USD",E1250*$N$1,E1250)</f>
        <v/>
      </c>
      <c r="I1250" s="9">
        <f>IF(D1250="USD",F1250*$N$1,F1250)</f>
        <v/>
      </c>
      <c r="J1250" s="9">
        <f>IF(D1250="USD",G1250*$N$1,G1250)</f>
        <v/>
      </c>
      <c r="K1250" s="9">
        <f>H1250+I1250</f>
        <v/>
      </c>
    </row>
    <row r="1251">
      <c r="A1251" s="8" t="n">
        <v>46167</v>
      </c>
      <c r="B1251" t="inlineStr">
        <is>
          <t>2026-W22</t>
        </is>
      </c>
      <c r="C1251" t="inlineStr">
        <is>
          <t>Nuvei</t>
        </is>
      </c>
      <c r="D1251" t="inlineStr">
        <is>
          <t>EUR</t>
        </is>
      </c>
      <c r="E1251" s="9" t="n">
        <v>393271.2</v>
      </c>
      <c r="F1251" s="9" t="n">
        <v>-6635.87</v>
      </c>
      <c r="G1251" s="9" t="n">
        <v>0</v>
      </c>
      <c r="H1251" s="9">
        <f>IF(D1251="USD",E1251*$N$1,E1251)</f>
        <v/>
      </c>
      <c r="I1251" s="9">
        <f>IF(D1251="USD",F1251*$N$1,F1251)</f>
        <v/>
      </c>
      <c r="J1251" s="9">
        <f>IF(D1251="USD",G1251*$N$1,G1251)</f>
        <v/>
      </c>
      <c r="K1251" s="9">
        <f>H1251+I1251</f>
        <v/>
      </c>
    </row>
    <row r="1252">
      <c r="A1252" s="8" t="n">
        <v>46167</v>
      </c>
      <c r="B1252" t="inlineStr">
        <is>
          <t>2026-W22</t>
        </is>
      </c>
      <c r="C1252" t="inlineStr">
        <is>
          <t>Nuvei</t>
        </is>
      </c>
      <c r="D1252" t="inlineStr">
        <is>
          <t>EUR</t>
        </is>
      </c>
      <c r="E1252" s="9" t="n">
        <v>120718.45</v>
      </c>
      <c r="F1252" s="9" t="n">
        <v>-3347.92</v>
      </c>
      <c r="G1252" s="9" t="n">
        <v>0</v>
      </c>
      <c r="H1252" s="9">
        <f>IF(D1252="USD",E1252*$N$1,E1252)</f>
        <v/>
      </c>
      <c r="I1252" s="9">
        <f>IF(D1252="USD",F1252*$N$1,F1252)</f>
        <v/>
      </c>
      <c r="J1252" s="9">
        <f>IF(D1252="USD",G1252*$N$1,G1252)</f>
        <v/>
      </c>
      <c r="K1252" s="9">
        <f>H1252+I1252</f>
        <v/>
      </c>
    </row>
    <row r="1253">
      <c r="A1253" s="8" t="n">
        <v>46167</v>
      </c>
      <c r="B1253" t="inlineStr">
        <is>
          <t>2026-W22</t>
        </is>
      </c>
      <c r="C1253" t="inlineStr">
        <is>
          <t>Shift4</t>
        </is>
      </c>
      <c r="D1253" t="inlineStr">
        <is>
          <t>EUR</t>
        </is>
      </c>
      <c r="E1253" s="9" t="n">
        <v>0</v>
      </c>
      <c r="F1253" s="9" t="n">
        <v>0</v>
      </c>
      <c r="G1253" s="9" t="n">
        <v>-561840.34</v>
      </c>
      <c r="H1253" s="9">
        <f>IF(D1253="USD",E1253*$N$1,E1253)</f>
        <v/>
      </c>
      <c r="I1253" s="9">
        <f>IF(D1253="USD",F1253*$N$1,F1253)</f>
        <v/>
      </c>
      <c r="J1253" s="9">
        <f>IF(D1253="USD",G1253*$N$1,G1253)</f>
        <v/>
      </c>
      <c r="K1253" s="9">
        <f>H1253+I1253</f>
        <v/>
      </c>
    </row>
    <row r="1254">
      <c r="A1254" s="8" t="n">
        <v>46167</v>
      </c>
      <c r="B1254" t="inlineStr">
        <is>
          <t>2026-W22</t>
        </is>
      </c>
      <c r="C1254" t="inlineStr">
        <is>
          <t>Shift4</t>
        </is>
      </c>
      <c r="D1254" t="inlineStr">
        <is>
          <t>EUR</t>
        </is>
      </c>
      <c r="E1254" s="9" t="n">
        <v>585474.1</v>
      </c>
      <c r="F1254" s="9" t="n">
        <v>-5533.72</v>
      </c>
      <c r="G1254" s="9" t="n">
        <v>0</v>
      </c>
      <c r="H1254" s="9">
        <f>IF(D1254="USD",E1254*$N$1,E1254)</f>
        <v/>
      </c>
      <c r="I1254" s="9">
        <f>IF(D1254="USD",F1254*$N$1,F1254)</f>
        <v/>
      </c>
      <c r="J1254" s="9">
        <f>IF(D1254="USD",G1254*$N$1,G1254)</f>
        <v/>
      </c>
      <c r="K1254" s="9">
        <f>H1254+I1254</f>
        <v/>
      </c>
    </row>
    <row r="1255">
      <c r="A1255" s="8" t="n">
        <v>46168</v>
      </c>
      <c r="B1255" t="inlineStr">
        <is>
          <t>2026-W22</t>
        </is>
      </c>
      <c r="C1255" t="inlineStr">
        <is>
          <t>Adyen</t>
        </is>
      </c>
      <c r="D1255" t="inlineStr">
        <is>
          <t>EUR</t>
        </is>
      </c>
      <c r="E1255" s="9" t="n">
        <v>0</v>
      </c>
      <c r="F1255" s="9" t="n">
        <v>0</v>
      </c>
      <c r="G1255" s="9" t="n">
        <v>-1523911.02</v>
      </c>
      <c r="H1255" s="9">
        <f>IF(D1255="USD",E1255*$N$1,E1255)</f>
        <v/>
      </c>
      <c r="I1255" s="9">
        <f>IF(D1255="USD",F1255*$N$1,F1255)</f>
        <v/>
      </c>
      <c r="J1255" s="9">
        <f>IF(D1255="USD",G1255*$N$1,G1255)</f>
        <v/>
      </c>
      <c r="K1255" s="9">
        <f>H1255+I1255</f>
        <v/>
      </c>
    </row>
    <row r="1256">
      <c r="A1256" s="8" t="n">
        <v>46168</v>
      </c>
      <c r="B1256" t="inlineStr">
        <is>
          <t>2026-W22</t>
        </is>
      </c>
      <c r="C1256" t="inlineStr">
        <is>
          <t>Adyen</t>
        </is>
      </c>
      <c r="D1256" t="inlineStr">
        <is>
          <t>EUR</t>
        </is>
      </c>
      <c r="E1256" s="9" t="n">
        <v>707078.4399999999</v>
      </c>
      <c r="F1256" s="9" t="n">
        <v>-371155.5699999999</v>
      </c>
      <c r="G1256" s="9" t="n">
        <v>0</v>
      </c>
      <c r="H1256" s="9">
        <f>IF(D1256="USD",E1256*$N$1,E1256)</f>
        <v/>
      </c>
      <c r="I1256" s="9">
        <f>IF(D1256="USD",F1256*$N$1,F1256)</f>
        <v/>
      </c>
      <c r="J1256" s="9">
        <f>IF(D1256="USD",G1256*$N$1,G1256)</f>
        <v/>
      </c>
      <c r="K1256" s="9">
        <f>H1256+I1256</f>
        <v/>
      </c>
    </row>
    <row r="1257">
      <c r="A1257" s="8" t="n">
        <v>46168</v>
      </c>
      <c r="B1257" t="inlineStr">
        <is>
          <t>2026-W22</t>
        </is>
      </c>
      <c r="C1257" t="inlineStr">
        <is>
          <t>Adyen</t>
        </is>
      </c>
      <c r="D1257" t="inlineStr">
        <is>
          <t>EUR</t>
        </is>
      </c>
      <c r="E1257" s="9" t="n">
        <v>83769.88</v>
      </c>
      <c r="F1257" s="9" t="n">
        <v>0</v>
      </c>
      <c r="G1257" s="9" t="n">
        <v>0</v>
      </c>
      <c r="H1257" s="9">
        <f>IF(D1257="USD",E1257*$N$1,E1257)</f>
        <v/>
      </c>
      <c r="I1257" s="9">
        <f>IF(D1257="USD",F1257*$N$1,F1257)</f>
        <v/>
      </c>
      <c r="J1257" s="9">
        <f>IF(D1257="USD",G1257*$N$1,G1257)</f>
        <v/>
      </c>
      <c r="K1257" s="9">
        <f>H1257+I1257</f>
        <v/>
      </c>
    </row>
    <row r="1258">
      <c r="A1258" s="8" t="n">
        <v>46168</v>
      </c>
      <c r="B1258" t="inlineStr">
        <is>
          <t>2026-W22</t>
        </is>
      </c>
      <c r="C1258" t="inlineStr">
        <is>
          <t>Nuvei</t>
        </is>
      </c>
      <c r="D1258" t="inlineStr">
        <is>
          <t>EUR</t>
        </is>
      </c>
      <c r="E1258" s="9" t="n">
        <v>0</v>
      </c>
      <c r="F1258" s="9" t="n">
        <v>0</v>
      </c>
      <c r="G1258" s="9" t="n">
        <v>-390932.09</v>
      </c>
      <c r="H1258" s="9">
        <f>IF(D1258="USD",E1258*$N$1,E1258)</f>
        <v/>
      </c>
      <c r="I1258" s="9">
        <f>IF(D1258="USD",F1258*$N$1,F1258)</f>
        <v/>
      </c>
      <c r="J1258" s="9">
        <f>IF(D1258="USD",G1258*$N$1,G1258)</f>
        <v/>
      </c>
      <c r="K1258" s="9">
        <f>H1258+I1258</f>
        <v/>
      </c>
    </row>
    <row r="1259">
      <c r="A1259" s="8" t="n">
        <v>46168</v>
      </c>
      <c r="B1259" t="inlineStr">
        <is>
          <t>2026-W22</t>
        </is>
      </c>
      <c r="C1259" t="inlineStr">
        <is>
          <t>Nuvei</t>
        </is>
      </c>
      <c r="D1259" t="inlineStr">
        <is>
          <t>EUR</t>
        </is>
      </c>
      <c r="E1259" s="9" t="n">
        <v>0</v>
      </c>
      <c r="F1259" s="9" t="n">
        <v>0</v>
      </c>
      <c r="G1259" s="9" t="n">
        <v>-128933.9</v>
      </c>
      <c r="H1259" s="9">
        <f>IF(D1259="USD",E1259*$N$1,E1259)</f>
        <v/>
      </c>
      <c r="I1259" s="9">
        <f>IF(D1259="USD",F1259*$N$1,F1259)</f>
        <v/>
      </c>
      <c r="J1259" s="9">
        <f>IF(D1259="USD",G1259*$N$1,G1259)</f>
        <v/>
      </c>
      <c r="K1259" s="9">
        <f>H1259+I1259</f>
        <v/>
      </c>
    </row>
    <row r="1260">
      <c r="A1260" s="8" t="n">
        <v>46168</v>
      </c>
      <c r="B1260" t="inlineStr">
        <is>
          <t>2026-W22</t>
        </is>
      </c>
      <c r="C1260" t="inlineStr">
        <is>
          <t>Nuvei</t>
        </is>
      </c>
      <c r="D1260" t="inlineStr">
        <is>
          <t>EUR</t>
        </is>
      </c>
      <c r="E1260" s="9" t="n">
        <v>409481.19</v>
      </c>
      <c r="F1260" s="9" t="n">
        <v>-6819.83</v>
      </c>
      <c r="G1260" s="9" t="n">
        <v>0</v>
      </c>
      <c r="H1260" s="9">
        <f>IF(D1260="USD",E1260*$N$1,E1260)</f>
        <v/>
      </c>
      <c r="I1260" s="9">
        <f>IF(D1260="USD",F1260*$N$1,F1260)</f>
        <v/>
      </c>
      <c r="J1260" s="9">
        <f>IF(D1260="USD",G1260*$N$1,G1260)</f>
        <v/>
      </c>
      <c r="K1260" s="9">
        <f>H1260+I1260</f>
        <v/>
      </c>
    </row>
    <row r="1261">
      <c r="A1261" s="8" t="n">
        <v>46168</v>
      </c>
      <c r="B1261" t="inlineStr">
        <is>
          <t>2026-W22</t>
        </is>
      </c>
      <c r="C1261" t="inlineStr">
        <is>
          <t>Nuvei</t>
        </is>
      </c>
      <c r="D1261" t="inlineStr">
        <is>
          <t>EUR</t>
        </is>
      </c>
      <c r="E1261" s="9" t="n">
        <v>117865.91</v>
      </c>
      <c r="F1261" s="9" t="n">
        <v>-3264.92</v>
      </c>
      <c r="G1261" s="9" t="n">
        <v>0</v>
      </c>
      <c r="H1261" s="9">
        <f>IF(D1261="USD",E1261*$N$1,E1261)</f>
        <v/>
      </c>
      <c r="I1261" s="9">
        <f>IF(D1261="USD",F1261*$N$1,F1261)</f>
        <v/>
      </c>
      <c r="J1261" s="9">
        <f>IF(D1261="USD",G1261*$N$1,G1261)</f>
        <v/>
      </c>
      <c r="K1261" s="9">
        <f>H1261+I1261</f>
        <v/>
      </c>
    </row>
    <row r="1262">
      <c r="A1262" s="8" t="n">
        <v>46168</v>
      </c>
      <c r="B1262" t="inlineStr">
        <is>
          <t>2026-W22</t>
        </is>
      </c>
      <c r="C1262" t="inlineStr">
        <is>
          <t>Shift4</t>
        </is>
      </c>
      <c r="D1262" t="inlineStr">
        <is>
          <t>EUR</t>
        </is>
      </c>
      <c r="E1262" s="9" t="n">
        <v>0</v>
      </c>
      <c r="F1262" s="9" t="n">
        <v>0</v>
      </c>
      <c r="G1262" s="9" t="n">
        <v>-532975.42</v>
      </c>
      <c r="H1262" s="9">
        <f>IF(D1262="USD",E1262*$N$1,E1262)</f>
        <v/>
      </c>
      <c r="I1262" s="9">
        <f>IF(D1262="USD",F1262*$N$1,F1262)</f>
        <v/>
      </c>
      <c r="J1262" s="9">
        <f>IF(D1262="USD",G1262*$N$1,G1262)</f>
        <v/>
      </c>
      <c r="K1262" s="9">
        <f>H1262+I1262</f>
        <v/>
      </c>
    </row>
    <row r="1263">
      <c r="A1263" s="8" t="n">
        <v>46168</v>
      </c>
      <c r="B1263" t="inlineStr">
        <is>
          <t>2026-W22</t>
        </is>
      </c>
      <c r="C1263" t="inlineStr">
        <is>
          <t>Shift4</t>
        </is>
      </c>
      <c r="D1263" t="inlineStr">
        <is>
          <t>EUR</t>
        </is>
      </c>
      <c r="E1263" s="9" t="n">
        <v>582096.4300000001</v>
      </c>
      <c r="F1263" s="9" t="n">
        <v>-5743.15</v>
      </c>
      <c r="G1263" s="9" t="n">
        <v>0</v>
      </c>
      <c r="H1263" s="9">
        <f>IF(D1263="USD",E1263*$N$1,E1263)</f>
        <v/>
      </c>
      <c r="I1263" s="9">
        <f>IF(D1263="USD",F1263*$N$1,F1263)</f>
        <v/>
      </c>
      <c r="J1263" s="9">
        <f>IF(D1263="USD",G1263*$N$1,G1263)</f>
        <v/>
      </c>
      <c r="K1263" s="9">
        <f>H1263+I1263</f>
        <v/>
      </c>
    </row>
    <row r="1264">
      <c r="A1264" s="8" t="n">
        <v>46169</v>
      </c>
      <c r="B1264" t="inlineStr">
        <is>
          <t>2026-W22</t>
        </is>
      </c>
      <c r="C1264" t="inlineStr">
        <is>
          <t>Adyen</t>
        </is>
      </c>
      <c r="D1264" t="inlineStr">
        <is>
          <t>EUR</t>
        </is>
      </c>
      <c r="E1264" s="9" t="n">
        <v>0</v>
      </c>
      <c r="F1264" s="9" t="n">
        <v>0</v>
      </c>
      <c r="G1264" s="9" t="n">
        <v>-637966.64</v>
      </c>
      <c r="H1264" s="9">
        <f>IF(D1264="USD",E1264*$N$1,E1264)</f>
        <v/>
      </c>
      <c r="I1264" s="9">
        <f>IF(D1264="USD",F1264*$N$1,F1264)</f>
        <v/>
      </c>
      <c r="J1264" s="9">
        <f>IF(D1264="USD",G1264*$N$1,G1264)</f>
        <v/>
      </c>
      <c r="K1264" s="9">
        <f>H1264+I1264</f>
        <v/>
      </c>
    </row>
    <row r="1265">
      <c r="A1265" s="8" t="n">
        <v>46169</v>
      </c>
      <c r="B1265" t="inlineStr">
        <is>
          <t>2026-W22</t>
        </is>
      </c>
      <c r="C1265" t="inlineStr">
        <is>
          <t>Adyen</t>
        </is>
      </c>
      <c r="D1265" t="inlineStr">
        <is>
          <t>EUR</t>
        </is>
      </c>
      <c r="E1265" s="9" t="n">
        <v>705238.28</v>
      </c>
      <c r="F1265" s="9" t="n">
        <v>-71540.69000000006</v>
      </c>
      <c r="G1265" s="9" t="n">
        <v>0</v>
      </c>
      <c r="H1265" s="9">
        <f>IF(D1265="USD",E1265*$N$1,E1265)</f>
        <v/>
      </c>
      <c r="I1265" s="9">
        <f>IF(D1265="USD",F1265*$N$1,F1265)</f>
        <v/>
      </c>
      <c r="J1265" s="9">
        <f>IF(D1265="USD",G1265*$N$1,G1265)</f>
        <v/>
      </c>
      <c r="K1265" s="9">
        <f>H1265+I1265</f>
        <v/>
      </c>
    </row>
    <row r="1266">
      <c r="A1266" s="8" t="n">
        <v>46169</v>
      </c>
      <c r="B1266" t="inlineStr">
        <is>
          <t>2026-W22</t>
        </is>
      </c>
      <c r="C1266" t="inlineStr">
        <is>
          <t>Adyen</t>
        </is>
      </c>
      <c r="D1266" t="inlineStr">
        <is>
          <t>EUR</t>
        </is>
      </c>
      <c r="E1266" s="9" t="n">
        <v>81996.21000000001</v>
      </c>
      <c r="F1266" s="9" t="n">
        <v>0</v>
      </c>
      <c r="G1266" s="9" t="n">
        <v>0</v>
      </c>
      <c r="H1266" s="9">
        <f>IF(D1266="USD",E1266*$N$1,E1266)</f>
        <v/>
      </c>
      <c r="I1266" s="9">
        <f>IF(D1266="USD",F1266*$N$1,F1266)</f>
        <v/>
      </c>
      <c r="J1266" s="9">
        <f>IF(D1266="USD",G1266*$N$1,G1266)</f>
        <v/>
      </c>
      <c r="K1266" s="9">
        <f>H1266+I1266</f>
        <v/>
      </c>
    </row>
    <row r="1267">
      <c r="A1267" s="8" t="n">
        <v>46169</v>
      </c>
      <c r="B1267" t="inlineStr">
        <is>
          <t>2026-W22</t>
        </is>
      </c>
      <c r="C1267" t="inlineStr">
        <is>
          <t>Nuvei</t>
        </is>
      </c>
      <c r="D1267" t="inlineStr">
        <is>
          <t>EUR</t>
        </is>
      </c>
      <c r="E1267" s="9" t="n">
        <v>0</v>
      </c>
      <c r="F1267" s="9" t="n">
        <v>0</v>
      </c>
      <c r="G1267" s="9" t="n">
        <v>-409484.69</v>
      </c>
      <c r="H1267" s="9">
        <f>IF(D1267="USD",E1267*$N$1,E1267)</f>
        <v/>
      </c>
      <c r="I1267" s="9">
        <f>IF(D1267="USD",F1267*$N$1,F1267)</f>
        <v/>
      </c>
      <c r="J1267" s="9">
        <f>IF(D1267="USD",G1267*$N$1,G1267)</f>
        <v/>
      </c>
      <c r="K1267" s="9">
        <f>H1267+I1267</f>
        <v/>
      </c>
    </row>
    <row r="1268">
      <c r="A1268" s="8" t="n">
        <v>46169</v>
      </c>
      <c r="B1268" t="inlineStr">
        <is>
          <t>2026-W22</t>
        </is>
      </c>
      <c r="C1268" t="inlineStr">
        <is>
          <t>Nuvei</t>
        </is>
      </c>
      <c r="D1268" t="inlineStr">
        <is>
          <t>EUR</t>
        </is>
      </c>
      <c r="E1268" s="9" t="n">
        <v>0</v>
      </c>
      <c r="F1268" s="9" t="n">
        <v>0</v>
      </c>
      <c r="G1268" s="9" t="n">
        <v>-142759.31</v>
      </c>
      <c r="H1268" s="9">
        <f>IF(D1268="USD",E1268*$N$1,E1268)</f>
        <v/>
      </c>
      <c r="I1268" s="9">
        <f>IF(D1268="USD",F1268*$N$1,F1268)</f>
        <v/>
      </c>
      <c r="J1268" s="9">
        <f>IF(D1268="USD",G1268*$N$1,G1268)</f>
        <v/>
      </c>
      <c r="K1268" s="9">
        <f>H1268+I1268</f>
        <v/>
      </c>
    </row>
    <row r="1269">
      <c r="A1269" s="8" t="n">
        <v>46169</v>
      </c>
      <c r="B1269" t="inlineStr">
        <is>
          <t>2026-W22</t>
        </is>
      </c>
      <c r="C1269" t="inlineStr">
        <is>
          <t>Nuvei</t>
        </is>
      </c>
      <c r="D1269" t="inlineStr">
        <is>
          <t>EUR</t>
        </is>
      </c>
      <c r="E1269" s="9" t="n">
        <v>446522.95</v>
      </c>
      <c r="F1269" s="9" t="n">
        <v>-7813.44</v>
      </c>
      <c r="G1269" s="9" t="n">
        <v>0</v>
      </c>
      <c r="H1269" s="9">
        <f>IF(D1269="USD",E1269*$N$1,E1269)</f>
        <v/>
      </c>
      <c r="I1269" s="9">
        <f>IF(D1269="USD",F1269*$N$1,F1269)</f>
        <v/>
      </c>
      <c r="J1269" s="9">
        <f>IF(D1269="USD",G1269*$N$1,G1269)</f>
        <v/>
      </c>
      <c r="K1269" s="9">
        <f>H1269+I1269</f>
        <v/>
      </c>
    </row>
    <row r="1270">
      <c r="A1270" s="8" t="n">
        <v>46169</v>
      </c>
      <c r="B1270" t="inlineStr">
        <is>
          <t>2026-W22</t>
        </is>
      </c>
      <c r="C1270" t="inlineStr">
        <is>
          <t>Nuvei</t>
        </is>
      </c>
      <c r="D1270" t="inlineStr">
        <is>
          <t>EUR</t>
        </is>
      </c>
      <c r="E1270" s="9" t="n">
        <v>145312.8</v>
      </c>
      <c r="F1270" s="9" t="n">
        <v>-4025.2</v>
      </c>
      <c r="G1270" s="9" t="n">
        <v>0</v>
      </c>
      <c r="H1270" s="9">
        <f>IF(D1270="USD",E1270*$N$1,E1270)</f>
        <v/>
      </c>
      <c r="I1270" s="9">
        <f>IF(D1270="USD",F1270*$N$1,F1270)</f>
        <v/>
      </c>
      <c r="J1270" s="9">
        <f>IF(D1270="USD",G1270*$N$1,G1270)</f>
        <v/>
      </c>
      <c r="K1270" s="9">
        <f>H1270+I1270</f>
        <v/>
      </c>
    </row>
    <row r="1271">
      <c r="A1271" s="8" t="n">
        <v>46169</v>
      </c>
      <c r="B1271" t="inlineStr">
        <is>
          <t>2026-W22</t>
        </is>
      </c>
      <c r="C1271" t="inlineStr">
        <is>
          <t>Shift4</t>
        </is>
      </c>
      <c r="D1271" t="inlineStr">
        <is>
          <t>EUR</t>
        </is>
      </c>
      <c r="E1271" s="9" t="n">
        <v>0</v>
      </c>
      <c r="F1271" s="9" t="n">
        <v>0</v>
      </c>
      <c r="G1271" s="9" t="n">
        <v>-500699.67</v>
      </c>
      <c r="H1271" s="9">
        <f>IF(D1271="USD",E1271*$N$1,E1271)</f>
        <v/>
      </c>
      <c r="I1271" s="9">
        <f>IF(D1271="USD",F1271*$N$1,F1271)</f>
        <v/>
      </c>
      <c r="J1271" s="9">
        <f>IF(D1271="USD",G1271*$N$1,G1271)</f>
        <v/>
      </c>
      <c r="K1271" s="9">
        <f>H1271+I1271</f>
        <v/>
      </c>
    </row>
    <row r="1272">
      <c r="A1272" s="8" t="n">
        <v>46169</v>
      </c>
      <c r="B1272" t="inlineStr">
        <is>
          <t>2026-W22</t>
        </is>
      </c>
      <c r="C1272" t="inlineStr">
        <is>
          <t>Shift4</t>
        </is>
      </c>
      <c r="D1272" t="inlineStr">
        <is>
          <t>EUR</t>
        </is>
      </c>
      <c r="E1272" s="9" t="n">
        <v>590634.6800000001</v>
      </c>
      <c r="F1272" s="9" t="n">
        <v>-5959.22</v>
      </c>
      <c r="G1272" s="9" t="n">
        <v>0</v>
      </c>
      <c r="H1272" s="9">
        <f>IF(D1272="USD",E1272*$N$1,E1272)</f>
        <v/>
      </c>
      <c r="I1272" s="9">
        <f>IF(D1272="USD",F1272*$N$1,F1272)</f>
        <v/>
      </c>
      <c r="J1272" s="9">
        <f>IF(D1272="USD",G1272*$N$1,G1272)</f>
        <v/>
      </c>
      <c r="K1272" s="9">
        <f>H1272+I1272</f>
        <v/>
      </c>
    </row>
    <row r="1273">
      <c r="A1273" s="8" t="n">
        <v>46170</v>
      </c>
      <c r="B1273" t="inlineStr">
        <is>
          <t>2026-W22</t>
        </is>
      </c>
      <c r="C1273" t="inlineStr">
        <is>
          <t>Adyen</t>
        </is>
      </c>
      <c r="D1273" t="inlineStr">
        <is>
          <t>EUR</t>
        </is>
      </c>
      <c r="E1273" s="9" t="n">
        <v>0</v>
      </c>
      <c r="F1273" s="9" t="n">
        <v>0</v>
      </c>
      <c r="G1273" s="9" t="n">
        <v>-419692.75</v>
      </c>
      <c r="H1273" s="9">
        <f>IF(D1273="USD",E1273*$N$1,E1273)</f>
        <v/>
      </c>
      <c r="I1273" s="9">
        <f>IF(D1273="USD",F1273*$N$1,F1273)</f>
        <v/>
      </c>
      <c r="J1273" s="9">
        <f>IF(D1273="USD",G1273*$N$1,G1273)</f>
        <v/>
      </c>
      <c r="K1273" s="9">
        <f>H1273+I1273</f>
        <v/>
      </c>
    </row>
    <row r="1274">
      <c r="A1274" s="8" t="n">
        <v>46170</v>
      </c>
      <c r="B1274" t="inlineStr">
        <is>
          <t>2026-W22</t>
        </is>
      </c>
      <c r="C1274" t="inlineStr">
        <is>
          <t>Adyen</t>
        </is>
      </c>
      <c r="D1274" t="inlineStr">
        <is>
          <t>EUR</t>
        </is>
      </c>
      <c r="E1274" s="9" t="n">
        <v>659890.8199999999</v>
      </c>
      <c r="F1274" s="9" t="n">
        <v>425150.5600000001</v>
      </c>
      <c r="G1274" s="9" t="n">
        <v>0</v>
      </c>
      <c r="H1274" s="9">
        <f>IF(D1274="USD",E1274*$N$1,E1274)</f>
        <v/>
      </c>
      <c r="I1274" s="9">
        <f>IF(D1274="USD",F1274*$N$1,F1274)</f>
        <v/>
      </c>
      <c r="J1274" s="9">
        <f>IF(D1274="USD",G1274*$N$1,G1274)</f>
        <v/>
      </c>
      <c r="K1274" s="9">
        <f>H1274+I1274</f>
        <v/>
      </c>
    </row>
    <row r="1275">
      <c r="A1275" s="8" t="n">
        <v>46170</v>
      </c>
      <c r="B1275" t="inlineStr">
        <is>
          <t>2026-W22</t>
        </is>
      </c>
      <c r="C1275" t="inlineStr">
        <is>
          <t>Adyen</t>
        </is>
      </c>
      <c r="D1275" t="inlineStr">
        <is>
          <t>EUR</t>
        </is>
      </c>
      <c r="E1275" s="9" t="n">
        <v>54658.34</v>
      </c>
      <c r="F1275" s="9" t="n">
        <v>0</v>
      </c>
      <c r="G1275" s="9" t="n">
        <v>0</v>
      </c>
      <c r="H1275" s="9">
        <f>IF(D1275="USD",E1275*$N$1,E1275)</f>
        <v/>
      </c>
      <c r="I1275" s="9">
        <f>IF(D1275="USD",F1275*$N$1,F1275)</f>
        <v/>
      </c>
      <c r="J1275" s="9">
        <f>IF(D1275="USD",G1275*$N$1,G1275)</f>
        <v/>
      </c>
      <c r="K1275" s="9">
        <f>H1275+I1275</f>
        <v/>
      </c>
    </row>
    <row r="1276">
      <c r="A1276" s="8" t="n">
        <v>46170</v>
      </c>
      <c r="B1276" t="inlineStr">
        <is>
          <t>2026-W22</t>
        </is>
      </c>
      <c r="C1276" t="inlineStr">
        <is>
          <t>Nuvei</t>
        </is>
      </c>
      <c r="D1276" t="inlineStr">
        <is>
          <t>EUR</t>
        </is>
      </c>
      <c r="E1276" s="9" t="n">
        <v>0</v>
      </c>
      <c r="F1276" s="9" t="n">
        <v>0</v>
      </c>
      <c r="G1276" s="9" t="n">
        <v>-389654.59</v>
      </c>
      <c r="H1276" s="9">
        <f>IF(D1276="USD",E1276*$N$1,E1276)</f>
        <v/>
      </c>
      <c r="I1276" s="9">
        <f>IF(D1276="USD",F1276*$N$1,F1276)</f>
        <v/>
      </c>
      <c r="J1276" s="9">
        <f>IF(D1276="USD",G1276*$N$1,G1276)</f>
        <v/>
      </c>
      <c r="K1276" s="9">
        <f>H1276+I1276</f>
        <v/>
      </c>
    </row>
    <row r="1277">
      <c r="A1277" s="8" t="n">
        <v>46170</v>
      </c>
      <c r="B1277" t="inlineStr">
        <is>
          <t>2026-W22</t>
        </is>
      </c>
      <c r="C1277" t="inlineStr">
        <is>
          <t>Nuvei</t>
        </is>
      </c>
      <c r="D1277" t="inlineStr">
        <is>
          <t>EUR</t>
        </is>
      </c>
      <c r="E1277" s="9" t="n">
        <v>0</v>
      </c>
      <c r="F1277" s="9" t="n">
        <v>0</v>
      </c>
      <c r="G1277" s="9" t="n">
        <v>-109576.52</v>
      </c>
      <c r="H1277" s="9">
        <f>IF(D1277="USD",E1277*$N$1,E1277)</f>
        <v/>
      </c>
      <c r="I1277" s="9">
        <f>IF(D1277="USD",F1277*$N$1,F1277)</f>
        <v/>
      </c>
      <c r="J1277" s="9">
        <f>IF(D1277="USD",G1277*$N$1,G1277)</f>
        <v/>
      </c>
      <c r="K1277" s="9">
        <f>H1277+I1277</f>
        <v/>
      </c>
    </row>
    <row r="1278">
      <c r="A1278" s="8" t="n">
        <v>46170</v>
      </c>
      <c r="B1278" t="inlineStr">
        <is>
          <t>2026-W22</t>
        </is>
      </c>
      <c r="C1278" t="inlineStr">
        <is>
          <t>Nuvei</t>
        </is>
      </c>
      <c r="D1278" t="inlineStr">
        <is>
          <t>EUR</t>
        </is>
      </c>
      <c r="E1278" s="9" t="n">
        <v>439228.4</v>
      </c>
      <c r="F1278" s="9" t="n">
        <v>-7499.72</v>
      </c>
      <c r="G1278" s="9" t="n">
        <v>0</v>
      </c>
      <c r="H1278" s="9">
        <f>IF(D1278="USD",E1278*$N$1,E1278)</f>
        <v/>
      </c>
      <c r="I1278" s="9">
        <f>IF(D1278="USD",F1278*$N$1,F1278)</f>
        <v/>
      </c>
      <c r="J1278" s="9">
        <f>IF(D1278="USD",G1278*$N$1,G1278)</f>
        <v/>
      </c>
      <c r="K1278" s="9">
        <f>H1278+I1278</f>
        <v/>
      </c>
    </row>
    <row r="1279">
      <c r="A1279" s="8" t="n">
        <v>46170</v>
      </c>
      <c r="B1279" t="inlineStr">
        <is>
          <t>2026-W22</t>
        </is>
      </c>
      <c r="C1279" t="inlineStr">
        <is>
          <t>Nuvei</t>
        </is>
      </c>
      <c r="D1279" t="inlineStr">
        <is>
          <t>EUR</t>
        </is>
      </c>
      <c r="E1279" s="9" t="n">
        <v>132159.43</v>
      </c>
      <c r="F1279" s="9" t="n">
        <v>-3655</v>
      </c>
      <c r="G1279" s="9" t="n">
        <v>0</v>
      </c>
      <c r="H1279" s="9">
        <f>IF(D1279="USD",E1279*$N$1,E1279)</f>
        <v/>
      </c>
      <c r="I1279" s="9">
        <f>IF(D1279="USD",F1279*$N$1,F1279)</f>
        <v/>
      </c>
      <c r="J1279" s="9">
        <f>IF(D1279="USD",G1279*$N$1,G1279)</f>
        <v/>
      </c>
      <c r="K1279" s="9">
        <f>H1279+I1279</f>
        <v/>
      </c>
    </row>
    <row r="1280">
      <c r="A1280" s="8" t="n">
        <v>46170</v>
      </c>
      <c r="B1280" t="inlineStr">
        <is>
          <t>2026-W22</t>
        </is>
      </c>
      <c r="C1280" t="inlineStr">
        <is>
          <t>Shift4</t>
        </is>
      </c>
      <c r="D1280" t="inlineStr">
        <is>
          <t>EUR</t>
        </is>
      </c>
      <c r="E1280" s="9" t="n">
        <v>0</v>
      </c>
      <c r="F1280" s="9" t="n">
        <v>0</v>
      </c>
      <c r="G1280" s="9" t="n">
        <v>-1447426.91</v>
      </c>
      <c r="H1280" s="9">
        <f>IF(D1280="USD",E1280*$N$1,E1280)</f>
        <v/>
      </c>
      <c r="I1280" s="9">
        <f>IF(D1280="USD",F1280*$N$1,F1280)</f>
        <v/>
      </c>
      <c r="J1280" s="9">
        <f>IF(D1280="USD",G1280*$N$1,G1280)</f>
        <v/>
      </c>
      <c r="K1280" s="9">
        <f>H1280+I1280</f>
        <v/>
      </c>
    </row>
    <row r="1281">
      <c r="A1281" s="8" t="n">
        <v>46170</v>
      </c>
      <c r="B1281" t="inlineStr">
        <is>
          <t>2026-W22</t>
        </is>
      </c>
      <c r="C1281" t="inlineStr">
        <is>
          <t>Shift4</t>
        </is>
      </c>
      <c r="D1281" t="inlineStr">
        <is>
          <t>EUR</t>
        </is>
      </c>
      <c r="E1281" s="9" t="n">
        <v>555593.33</v>
      </c>
      <c r="F1281" s="9" t="n">
        <v>-5750.66</v>
      </c>
      <c r="G1281" s="9" t="n">
        <v>0</v>
      </c>
      <c r="H1281" s="9">
        <f>IF(D1281="USD",E1281*$N$1,E1281)</f>
        <v/>
      </c>
      <c r="I1281" s="9">
        <f>IF(D1281="USD",F1281*$N$1,F1281)</f>
        <v/>
      </c>
      <c r="J1281" s="9">
        <f>IF(D1281="USD",G1281*$N$1,G1281)</f>
        <v/>
      </c>
      <c r="K1281" s="9">
        <f>H1281+I1281</f>
        <v/>
      </c>
    </row>
    <row r="1282">
      <c r="A1282" s="8" t="n">
        <v>46171</v>
      </c>
      <c r="B1282" t="inlineStr">
        <is>
          <t>2026-W22</t>
        </is>
      </c>
      <c r="C1282" t="inlineStr">
        <is>
          <t>Adyen</t>
        </is>
      </c>
      <c r="D1282" t="inlineStr">
        <is>
          <t>EUR</t>
        </is>
      </c>
      <c r="E1282" s="9" t="n">
        <v>0</v>
      </c>
      <c r="F1282" s="9" t="n">
        <v>0</v>
      </c>
      <c r="G1282" s="9" t="n">
        <v>-715693.7999999999</v>
      </c>
      <c r="H1282" s="9">
        <f>IF(D1282="USD",E1282*$N$1,E1282)</f>
        <v/>
      </c>
      <c r="I1282" s="9">
        <f>IF(D1282="USD",F1282*$N$1,F1282)</f>
        <v/>
      </c>
      <c r="J1282" s="9">
        <f>IF(D1282="USD",G1282*$N$1,G1282)</f>
        <v/>
      </c>
      <c r="K1282" s="9">
        <f>H1282+I1282</f>
        <v/>
      </c>
    </row>
    <row r="1283">
      <c r="A1283" s="8" t="n">
        <v>46171</v>
      </c>
      <c r="B1283" t="inlineStr">
        <is>
          <t>2026-W22</t>
        </is>
      </c>
      <c r="C1283" t="inlineStr">
        <is>
          <t>Adyen</t>
        </is>
      </c>
      <c r="D1283" t="inlineStr">
        <is>
          <t>EUR</t>
        </is>
      </c>
      <c r="E1283" s="9" t="n">
        <v>641126.41</v>
      </c>
      <c r="F1283" s="9" t="n">
        <v>-845956.7700000001</v>
      </c>
      <c r="G1283" s="9" t="n">
        <v>0</v>
      </c>
      <c r="H1283" s="9">
        <f>IF(D1283="USD",E1283*$N$1,E1283)</f>
        <v/>
      </c>
      <c r="I1283" s="9">
        <f>IF(D1283="USD",F1283*$N$1,F1283)</f>
        <v/>
      </c>
      <c r="J1283" s="9">
        <f>IF(D1283="USD",G1283*$N$1,G1283)</f>
        <v/>
      </c>
      <c r="K1283" s="9">
        <f>H1283+I1283</f>
        <v/>
      </c>
    </row>
    <row r="1284">
      <c r="A1284" s="8" t="n">
        <v>46171</v>
      </c>
      <c r="B1284" t="inlineStr">
        <is>
          <t>2026-W22</t>
        </is>
      </c>
      <c r="C1284" t="inlineStr">
        <is>
          <t>Adyen</t>
        </is>
      </c>
      <c r="D1284" t="inlineStr">
        <is>
          <t>EUR</t>
        </is>
      </c>
      <c r="E1284" s="9" t="n">
        <v>75252.82000000001</v>
      </c>
      <c r="F1284" s="9" t="n">
        <v>0</v>
      </c>
      <c r="G1284" s="9" t="n">
        <v>0</v>
      </c>
      <c r="H1284" s="9">
        <f>IF(D1284="USD",E1284*$N$1,E1284)</f>
        <v/>
      </c>
      <c r="I1284" s="9">
        <f>IF(D1284="USD",F1284*$N$1,F1284)</f>
        <v/>
      </c>
      <c r="J1284" s="9">
        <f>IF(D1284="USD",G1284*$N$1,G1284)</f>
        <v/>
      </c>
      <c r="K1284" s="9">
        <f>H1284+I1284</f>
        <v/>
      </c>
    </row>
    <row r="1285">
      <c r="A1285" s="8" t="n">
        <v>46171</v>
      </c>
      <c r="B1285" t="inlineStr">
        <is>
          <t>2026-W22</t>
        </is>
      </c>
      <c r="C1285" t="inlineStr">
        <is>
          <t>Nuvei</t>
        </is>
      </c>
      <c r="D1285" t="inlineStr">
        <is>
          <t>EUR</t>
        </is>
      </c>
      <c r="E1285" s="9" t="n">
        <v>0</v>
      </c>
      <c r="F1285" s="9" t="n">
        <v>0</v>
      </c>
      <c r="G1285" s="9" t="n">
        <v>-979197.73</v>
      </c>
      <c r="H1285" s="9">
        <f>IF(D1285="USD",E1285*$N$1,E1285)</f>
        <v/>
      </c>
      <c r="I1285" s="9">
        <f>IF(D1285="USD",F1285*$N$1,F1285)</f>
        <v/>
      </c>
      <c r="J1285" s="9">
        <f>IF(D1285="USD",G1285*$N$1,G1285)</f>
        <v/>
      </c>
      <c r="K1285" s="9">
        <f>H1285+I1285</f>
        <v/>
      </c>
    </row>
    <row r="1286">
      <c r="A1286" s="8" t="n">
        <v>46171</v>
      </c>
      <c r="B1286" t="inlineStr">
        <is>
          <t>2026-W22</t>
        </is>
      </c>
      <c r="C1286" t="inlineStr">
        <is>
          <t>Nuvei</t>
        </is>
      </c>
      <c r="D1286" t="inlineStr">
        <is>
          <t>EUR</t>
        </is>
      </c>
      <c r="E1286" s="9" t="n">
        <v>0</v>
      </c>
      <c r="F1286" s="9" t="n">
        <v>0</v>
      </c>
      <c r="G1286" s="9" t="n">
        <v>-319091.39</v>
      </c>
      <c r="H1286" s="9">
        <f>IF(D1286="USD",E1286*$N$1,E1286)</f>
        <v/>
      </c>
      <c r="I1286" s="9">
        <f>IF(D1286="USD",F1286*$N$1,F1286)</f>
        <v/>
      </c>
      <c r="J1286" s="9">
        <f>IF(D1286="USD",G1286*$N$1,G1286)</f>
        <v/>
      </c>
      <c r="K1286" s="9">
        <f>H1286+I1286</f>
        <v/>
      </c>
    </row>
    <row r="1287">
      <c r="A1287" s="8" t="n">
        <v>46171</v>
      </c>
      <c r="B1287" t="inlineStr">
        <is>
          <t>2026-W22</t>
        </is>
      </c>
      <c r="C1287" t="inlineStr">
        <is>
          <t>Nuvei</t>
        </is>
      </c>
      <c r="D1287" t="inlineStr">
        <is>
          <t>EUR</t>
        </is>
      </c>
      <c r="E1287" s="9" t="n">
        <v>422631.1</v>
      </c>
      <c r="F1287" s="9" t="n">
        <v>-7169.86</v>
      </c>
      <c r="G1287" s="9" t="n">
        <v>0</v>
      </c>
      <c r="H1287" s="9">
        <f>IF(D1287="USD",E1287*$N$1,E1287)</f>
        <v/>
      </c>
      <c r="I1287" s="9">
        <f>IF(D1287="USD",F1287*$N$1,F1287)</f>
        <v/>
      </c>
      <c r="J1287" s="9">
        <f>IF(D1287="USD",G1287*$N$1,G1287)</f>
        <v/>
      </c>
      <c r="K1287" s="9">
        <f>H1287+I1287</f>
        <v/>
      </c>
    </row>
    <row r="1288">
      <c r="A1288" s="8" t="n">
        <v>46171</v>
      </c>
      <c r="B1288" t="inlineStr">
        <is>
          <t>2026-W22</t>
        </is>
      </c>
      <c r="C1288" t="inlineStr">
        <is>
          <t>Nuvei</t>
        </is>
      </c>
      <c r="D1288" t="inlineStr">
        <is>
          <t>EUR</t>
        </is>
      </c>
      <c r="E1288" s="9" t="n">
        <v>152980.49</v>
      </c>
      <c r="F1288" s="9" t="n">
        <v>-4164.84</v>
      </c>
      <c r="G1288" s="9" t="n">
        <v>0</v>
      </c>
      <c r="H1288" s="9">
        <f>IF(D1288="USD",E1288*$N$1,E1288)</f>
        <v/>
      </c>
      <c r="I1288" s="9">
        <f>IF(D1288="USD",F1288*$N$1,F1288)</f>
        <v/>
      </c>
      <c r="J1288" s="9">
        <f>IF(D1288="USD",G1288*$N$1,G1288)</f>
        <v/>
      </c>
      <c r="K1288" s="9">
        <f>H1288+I1288</f>
        <v/>
      </c>
    </row>
    <row r="1289">
      <c r="A1289" s="8" t="n">
        <v>46171</v>
      </c>
      <c r="B1289" t="inlineStr">
        <is>
          <t>2026-W22</t>
        </is>
      </c>
      <c r="C1289" t="inlineStr">
        <is>
          <t>Shift4</t>
        </is>
      </c>
      <c r="D1289" t="inlineStr">
        <is>
          <t>EUR</t>
        </is>
      </c>
      <c r="E1289" s="9" t="n">
        <v>0</v>
      </c>
      <c r="F1289" s="9" t="n">
        <v>0</v>
      </c>
      <c r="G1289" s="9" t="n">
        <v>-575958.66</v>
      </c>
      <c r="H1289" s="9">
        <f>IF(D1289="USD",E1289*$N$1,E1289)</f>
        <v/>
      </c>
      <c r="I1289" s="9">
        <f>IF(D1289="USD",F1289*$N$1,F1289)</f>
        <v/>
      </c>
      <c r="J1289" s="9">
        <f>IF(D1289="USD",G1289*$N$1,G1289)</f>
        <v/>
      </c>
      <c r="K1289" s="9">
        <f>H1289+I1289</f>
        <v/>
      </c>
    </row>
    <row r="1290">
      <c r="A1290" s="8" t="n">
        <v>46171</v>
      </c>
      <c r="B1290" t="inlineStr">
        <is>
          <t>2026-W22</t>
        </is>
      </c>
      <c r="C1290" t="inlineStr">
        <is>
          <t>Shift4</t>
        </is>
      </c>
      <c r="D1290" t="inlineStr">
        <is>
          <t>EUR</t>
        </is>
      </c>
      <c r="E1290" s="9" t="n">
        <v>557581.6899999999</v>
      </c>
      <c r="F1290" s="9" t="n">
        <v>-5679.73</v>
      </c>
      <c r="G1290" s="9" t="n">
        <v>0</v>
      </c>
      <c r="H1290" s="9">
        <f>IF(D1290="USD",E1290*$N$1,E1290)</f>
        <v/>
      </c>
      <c r="I1290" s="9">
        <f>IF(D1290="USD",F1290*$N$1,F1290)</f>
        <v/>
      </c>
      <c r="J1290" s="9">
        <f>IF(D1290="USD",G1290*$N$1,G1290)</f>
        <v/>
      </c>
      <c r="K1290" s="9">
        <f>H1290+I1290</f>
        <v/>
      </c>
    </row>
    <row r="1291">
      <c r="A1291" s="8" t="n">
        <v>46172</v>
      </c>
      <c r="B1291" t="inlineStr">
        <is>
          <t>2026-W22</t>
        </is>
      </c>
      <c r="C1291" t="inlineStr">
        <is>
          <t>Adyen</t>
        </is>
      </c>
      <c r="D1291" t="inlineStr">
        <is>
          <t>EUR</t>
        </is>
      </c>
      <c r="E1291" s="9" t="n">
        <v>440253.71</v>
      </c>
      <c r="F1291" s="9" t="n">
        <v>0</v>
      </c>
      <c r="G1291" s="9" t="n">
        <v>0</v>
      </c>
      <c r="H1291" s="9">
        <f>IF(D1291="USD",E1291*$N$1,E1291)</f>
        <v/>
      </c>
      <c r="I1291" s="9">
        <f>IF(D1291="USD",F1291*$N$1,F1291)</f>
        <v/>
      </c>
      <c r="J1291" s="9">
        <f>IF(D1291="USD",G1291*$N$1,G1291)</f>
        <v/>
      </c>
      <c r="K1291" s="9">
        <f>H1291+I1291</f>
        <v/>
      </c>
    </row>
    <row r="1292">
      <c r="A1292" s="8" t="n">
        <v>46172</v>
      </c>
      <c r="B1292" t="inlineStr">
        <is>
          <t>2026-W22</t>
        </is>
      </c>
      <c r="C1292" t="inlineStr">
        <is>
          <t>Adyen</t>
        </is>
      </c>
      <c r="D1292" t="inlineStr">
        <is>
          <t>EUR</t>
        </is>
      </c>
      <c r="E1292" s="9" t="n">
        <v>45116.56</v>
      </c>
      <c r="F1292" s="9" t="n">
        <v>0</v>
      </c>
      <c r="G1292" s="9" t="n">
        <v>0</v>
      </c>
      <c r="H1292" s="9">
        <f>IF(D1292="USD",E1292*$N$1,E1292)</f>
        <v/>
      </c>
      <c r="I1292" s="9">
        <f>IF(D1292="USD",F1292*$N$1,F1292)</f>
        <v/>
      </c>
      <c r="J1292" s="9">
        <f>IF(D1292="USD",G1292*$N$1,G1292)</f>
        <v/>
      </c>
      <c r="K1292" s="9">
        <f>H1292+I1292</f>
        <v/>
      </c>
    </row>
    <row r="1293">
      <c r="A1293" s="8" t="n">
        <v>46172</v>
      </c>
      <c r="B1293" t="inlineStr">
        <is>
          <t>2026-W22</t>
        </is>
      </c>
      <c r="C1293" t="inlineStr">
        <is>
          <t>Nuvei</t>
        </is>
      </c>
      <c r="D1293" t="inlineStr">
        <is>
          <t>EUR</t>
        </is>
      </c>
      <c r="E1293" s="9" t="n">
        <v>354213.19</v>
      </c>
      <c r="F1293" s="9" t="n">
        <v>-5871.2</v>
      </c>
      <c r="G1293" s="9" t="n">
        <v>0</v>
      </c>
      <c r="H1293" s="9">
        <f>IF(D1293="USD",E1293*$N$1,E1293)</f>
        <v/>
      </c>
      <c r="I1293" s="9">
        <f>IF(D1293="USD",F1293*$N$1,F1293)</f>
        <v/>
      </c>
      <c r="J1293" s="9">
        <f>IF(D1293="USD",G1293*$N$1,G1293)</f>
        <v/>
      </c>
      <c r="K1293" s="9">
        <f>H1293+I1293</f>
        <v/>
      </c>
    </row>
    <row r="1294">
      <c r="A1294" s="8" t="n">
        <v>46172</v>
      </c>
      <c r="B1294" t="inlineStr">
        <is>
          <t>2026-W22</t>
        </is>
      </c>
      <c r="C1294" t="inlineStr">
        <is>
          <t>Nuvei</t>
        </is>
      </c>
      <c r="D1294" t="inlineStr">
        <is>
          <t>EUR</t>
        </is>
      </c>
      <c r="E1294" s="9" t="n">
        <v>144883.89</v>
      </c>
      <c r="F1294" s="9" t="n">
        <v>-4188.99</v>
      </c>
      <c r="G1294" s="9" t="n">
        <v>0</v>
      </c>
      <c r="H1294" s="9">
        <f>IF(D1294="USD",E1294*$N$1,E1294)</f>
        <v/>
      </c>
      <c r="I1294" s="9">
        <f>IF(D1294="USD",F1294*$N$1,F1294)</f>
        <v/>
      </c>
      <c r="J1294" s="9">
        <f>IF(D1294="USD",G1294*$N$1,G1294)</f>
        <v/>
      </c>
      <c r="K1294" s="9">
        <f>H1294+I1294</f>
        <v/>
      </c>
    </row>
    <row r="1295">
      <c r="A1295" s="8" t="n">
        <v>46172</v>
      </c>
      <c r="B1295" t="inlineStr">
        <is>
          <t>2026-W22</t>
        </is>
      </c>
      <c r="C1295" t="inlineStr">
        <is>
          <t>Shift4</t>
        </is>
      </c>
      <c r="D1295" t="inlineStr">
        <is>
          <t>EUR</t>
        </is>
      </c>
      <c r="E1295" s="9" t="n">
        <v>481298.3</v>
      </c>
      <c r="F1295" s="9" t="n">
        <v>-4456.28</v>
      </c>
      <c r="G1295" s="9" t="n">
        <v>0</v>
      </c>
      <c r="H1295" s="9">
        <f>IF(D1295="USD",E1295*$N$1,E1295)</f>
        <v/>
      </c>
      <c r="I1295" s="9">
        <f>IF(D1295="USD",F1295*$N$1,F1295)</f>
        <v/>
      </c>
      <c r="J1295" s="9">
        <f>IF(D1295="USD",G1295*$N$1,G1295)</f>
        <v/>
      </c>
      <c r="K1295" s="9">
        <f>H1295+I1295</f>
        <v/>
      </c>
    </row>
    <row r="1296">
      <c r="A1296" s="8" t="n">
        <v>46173</v>
      </c>
      <c r="B1296" t="inlineStr">
        <is>
          <t>2026-W22</t>
        </is>
      </c>
      <c r="C1296" t="inlineStr">
        <is>
          <t>Adyen</t>
        </is>
      </c>
      <c r="D1296" t="inlineStr">
        <is>
          <t>EUR</t>
        </is>
      </c>
      <c r="E1296" s="9" t="n">
        <v>488612.55</v>
      </c>
      <c r="F1296" s="9" t="n">
        <v>0</v>
      </c>
      <c r="G1296" s="9" t="n">
        <v>0</v>
      </c>
      <c r="H1296" s="9">
        <f>IF(D1296="USD",E1296*$N$1,E1296)</f>
        <v/>
      </c>
      <c r="I1296" s="9">
        <f>IF(D1296="USD",F1296*$N$1,F1296)</f>
        <v/>
      </c>
      <c r="J1296" s="9">
        <f>IF(D1296="USD",G1296*$N$1,G1296)</f>
        <v/>
      </c>
      <c r="K1296" s="9">
        <f>H1296+I1296</f>
        <v/>
      </c>
    </row>
    <row r="1297">
      <c r="A1297" s="8" t="n">
        <v>46173</v>
      </c>
      <c r="B1297" t="inlineStr">
        <is>
          <t>2026-W22</t>
        </is>
      </c>
      <c r="C1297" t="inlineStr">
        <is>
          <t>Adyen</t>
        </is>
      </c>
      <c r="D1297" t="inlineStr">
        <is>
          <t>EUR</t>
        </is>
      </c>
      <c r="E1297" s="9" t="n">
        <v>40860.31</v>
      </c>
      <c r="F1297" s="9" t="n">
        <v>0</v>
      </c>
      <c r="G1297" s="9" t="n">
        <v>0</v>
      </c>
      <c r="H1297" s="9">
        <f>IF(D1297="USD",E1297*$N$1,E1297)</f>
        <v/>
      </c>
      <c r="I1297" s="9">
        <f>IF(D1297="USD",F1297*$N$1,F1297)</f>
        <v/>
      </c>
      <c r="J1297" s="9">
        <f>IF(D1297="USD",G1297*$N$1,G1297)</f>
        <v/>
      </c>
      <c r="K1297" s="9">
        <f>H1297+I1297</f>
        <v/>
      </c>
    </row>
    <row r="1298">
      <c r="A1298" s="8" t="n">
        <v>46173</v>
      </c>
      <c r="B1298" t="inlineStr">
        <is>
          <t>2026-W22</t>
        </is>
      </c>
      <c r="C1298" t="inlineStr">
        <is>
          <t>Nuvei</t>
        </is>
      </c>
      <c r="D1298" t="inlineStr">
        <is>
          <t>EUR</t>
        </is>
      </c>
      <c r="E1298" s="9" t="n">
        <v>351195.22</v>
      </c>
      <c r="F1298" s="9" t="n">
        <v>-5517.39</v>
      </c>
      <c r="G1298" s="9" t="n">
        <v>0</v>
      </c>
      <c r="H1298" s="9">
        <f>IF(D1298="USD",E1298*$N$1,E1298)</f>
        <v/>
      </c>
      <c r="I1298" s="9">
        <f>IF(D1298="USD",F1298*$N$1,F1298)</f>
        <v/>
      </c>
      <c r="J1298" s="9">
        <f>IF(D1298="USD",G1298*$N$1,G1298)</f>
        <v/>
      </c>
      <c r="K1298" s="9">
        <f>H1298+I1298</f>
        <v/>
      </c>
    </row>
    <row r="1299">
      <c r="A1299" s="8" t="n">
        <v>46173</v>
      </c>
      <c r="B1299" t="inlineStr">
        <is>
          <t>2026-W22</t>
        </is>
      </c>
      <c r="C1299" t="inlineStr">
        <is>
          <t>Nuvei</t>
        </is>
      </c>
      <c r="D1299" t="inlineStr">
        <is>
          <t>EUR</t>
        </is>
      </c>
      <c r="E1299" s="9" t="n">
        <v>137013.77</v>
      </c>
      <c r="F1299" s="9" t="n">
        <v>-3866.21</v>
      </c>
      <c r="G1299" s="9" t="n">
        <v>0</v>
      </c>
      <c r="H1299" s="9">
        <f>IF(D1299="USD",E1299*$N$1,E1299)</f>
        <v/>
      </c>
      <c r="I1299" s="9">
        <f>IF(D1299="USD",F1299*$N$1,F1299)</f>
        <v/>
      </c>
      <c r="J1299" s="9">
        <f>IF(D1299="USD",G1299*$N$1,G1299)</f>
        <v/>
      </c>
      <c r="K1299" s="9">
        <f>H1299+I1299</f>
        <v/>
      </c>
    </row>
    <row r="1300">
      <c r="A1300" s="8" t="n">
        <v>46173</v>
      </c>
      <c r="B1300" t="inlineStr">
        <is>
          <t>2026-W22</t>
        </is>
      </c>
      <c r="C1300" t="inlineStr">
        <is>
          <t>Shift4</t>
        </is>
      </c>
      <c r="D1300" t="inlineStr">
        <is>
          <t>EUR</t>
        </is>
      </c>
      <c r="E1300" s="9" t="n">
        <v>652651.75</v>
      </c>
      <c r="F1300" s="9" t="n">
        <v>-5852.83</v>
      </c>
      <c r="G1300" s="9" t="n">
        <v>0</v>
      </c>
      <c r="H1300" s="9">
        <f>IF(D1300="USD",E1300*$N$1,E1300)</f>
        <v/>
      </c>
      <c r="I1300" s="9">
        <f>IF(D1300="USD",F1300*$N$1,F1300)</f>
        <v/>
      </c>
      <c r="J1300" s="9">
        <f>IF(D1300="USD",G1300*$N$1,G1300)</f>
        <v/>
      </c>
      <c r="K1300" s="9">
        <f>H1300+I1300</f>
        <v/>
      </c>
    </row>
    <row r="1301">
      <c r="A1301" s="8" t="n">
        <v>46174</v>
      </c>
      <c r="B1301" t="inlineStr">
        <is>
          <t>2026-W23</t>
        </is>
      </c>
      <c r="C1301" t="inlineStr">
        <is>
          <t>Adyen</t>
        </is>
      </c>
      <c r="D1301" t="inlineStr">
        <is>
          <t>EUR</t>
        </is>
      </c>
      <c r="E1301" s="9" t="n">
        <v>0</v>
      </c>
      <c r="F1301" s="9" t="n">
        <v>0</v>
      </c>
      <c r="G1301" s="9" t="n">
        <v>-1139699.72</v>
      </c>
      <c r="H1301" s="9">
        <f>IF(D1301="USD",E1301*$N$1,E1301)</f>
        <v/>
      </c>
      <c r="I1301" s="9">
        <f>IF(D1301="USD",F1301*$N$1,F1301)</f>
        <v/>
      </c>
      <c r="J1301" s="9">
        <f>IF(D1301="USD",G1301*$N$1,G1301)</f>
        <v/>
      </c>
      <c r="K1301" s="9">
        <f>H1301+I1301</f>
        <v/>
      </c>
    </row>
    <row r="1302">
      <c r="A1302" s="8" t="n">
        <v>46174</v>
      </c>
      <c r="B1302" t="inlineStr">
        <is>
          <t>2026-W23</t>
        </is>
      </c>
      <c r="C1302" t="inlineStr">
        <is>
          <t>Adyen</t>
        </is>
      </c>
      <c r="D1302" t="inlineStr">
        <is>
          <t>EUR</t>
        </is>
      </c>
      <c r="E1302" s="9" t="n">
        <v>794909.08</v>
      </c>
      <c r="F1302" s="9" t="n">
        <v>732570.7999999999</v>
      </c>
      <c r="G1302" s="9" t="n">
        <v>0</v>
      </c>
      <c r="H1302" s="9">
        <f>IF(D1302="USD",E1302*$N$1,E1302)</f>
        <v/>
      </c>
      <c r="I1302" s="9">
        <f>IF(D1302="USD",F1302*$N$1,F1302)</f>
        <v/>
      </c>
      <c r="J1302" s="9">
        <f>IF(D1302="USD",G1302*$N$1,G1302)</f>
        <v/>
      </c>
      <c r="K1302" s="9">
        <f>H1302+I1302</f>
        <v/>
      </c>
    </row>
    <row r="1303">
      <c r="A1303" s="8" t="n">
        <v>46174</v>
      </c>
      <c r="B1303" t="inlineStr">
        <is>
          <t>2026-W23</t>
        </is>
      </c>
      <c r="C1303" t="inlineStr">
        <is>
          <t>Adyen</t>
        </is>
      </c>
      <c r="D1303" t="inlineStr">
        <is>
          <t>EUR</t>
        </is>
      </c>
      <c r="E1303" s="9" t="n">
        <v>85218.50999999999</v>
      </c>
      <c r="F1303" s="9" t="n">
        <v>0</v>
      </c>
      <c r="G1303" s="9" t="n">
        <v>0</v>
      </c>
      <c r="H1303" s="9">
        <f>IF(D1303="USD",E1303*$N$1,E1303)</f>
        <v/>
      </c>
      <c r="I1303" s="9">
        <f>IF(D1303="USD",F1303*$N$1,F1303)</f>
        <v/>
      </c>
      <c r="J1303" s="9">
        <f>IF(D1303="USD",G1303*$N$1,G1303)</f>
        <v/>
      </c>
      <c r="K1303" s="9">
        <f>H1303+I1303</f>
        <v/>
      </c>
    </row>
    <row r="1304">
      <c r="A1304" s="8" t="n">
        <v>46174</v>
      </c>
      <c r="B1304" t="inlineStr">
        <is>
          <t>2026-W23</t>
        </is>
      </c>
      <c r="C1304" t="inlineStr">
        <is>
          <t>Nuvei</t>
        </is>
      </c>
      <c r="D1304" t="inlineStr">
        <is>
          <t>EUR</t>
        </is>
      </c>
      <c r="E1304" s="9" t="n">
        <v>0</v>
      </c>
      <c r="F1304" s="9" t="n">
        <v>0</v>
      </c>
      <c r="G1304" s="9" t="n">
        <v>-402632.86</v>
      </c>
      <c r="H1304" s="9">
        <f>IF(D1304="USD",E1304*$N$1,E1304)</f>
        <v/>
      </c>
      <c r="I1304" s="9">
        <f>IF(D1304="USD",F1304*$N$1,F1304)</f>
        <v/>
      </c>
      <c r="J1304" s="9">
        <f>IF(D1304="USD",G1304*$N$1,G1304)</f>
        <v/>
      </c>
      <c r="K1304" s="9">
        <f>H1304+I1304</f>
        <v/>
      </c>
    </row>
    <row r="1305">
      <c r="A1305" s="8" t="n">
        <v>46174</v>
      </c>
      <c r="B1305" t="inlineStr">
        <is>
          <t>2026-W23</t>
        </is>
      </c>
      <c r="C1305" t="inlineStr">
        <is>
          <t>Nuvei</t>
        </is>
      </c>
      <c r="D1305" t="inlineStr">
        <is>
          <t>EUR</t>
        </is>
      </c>
      <c r="E1305" s="9" t="n">
        <v>0</v>
      </c>
      <c r="F1305" s="9" t="n">
        <v>0</v>
      </c>
      <c r="G1305" s="9" t="n">
        <v>-114597.49</v>
      </c>
      <c r="H1305" s="9">
        <f>IF(D1305="USD",E1305*$N$1,E1305)</f>
        <v/>
      </c>
      <c r="I1305" s="9">
        <f>IF(D1305="USD",F1305*$N$1,F1305)</f>
        <v/>
      </c>
      <c r="J1305" s="9">
        <f>IF(D1305="USD",G1305*$N$1,G1305)</f>
        <v/>
      </c>
      <c r="K1305" s="9">
        <f>H1305+I1305</f>
        <v/>
      </c>
    </row>
    <row r="1306">
      <c r="A1306" s="8" t="n">
        <v>46174</v>
      </c>
      <c r="B1306" t="inlineStr">
        <is>
          <t>2026-W23</t>
        </is>
      </c>
      <c r="C1306" t="inlineStr">
        <is>
          <t>Nuvei</t>
        </is>
      </c>
      <c r="D1306" t="inlineStr">
        <is>
          <t>EUR</t>
        </is>
      </c>
      <c r="E1306" s="9" t="n">
        <v>432389.87</v>
      </c>
      <c r="F1306" s="9" t="n">
        <v>-8164.6</v>
      </c>
      <c r="G1306" s="9" t="n">
        <v>0</v>
      </c>
      <c r="H1306" s="9">
        <f>IF(D1306="USD",E1306*$N$1,E1306)</f>
        <v/>
      </c>
      <c r="I1306" s="9">
        <f>IF(D1306="USD",F1306*$N$1,F1306)</f>
        <v/>
      </c>
      <c r="J1306" s="9">
        <f>IF(D1306="USD",G1306*$N$1,G1306)</f>
        <v/>
      </c>
      <c r="K1306" s="9">
        <f>H1306+I1306</f>
        <v/>
      </c>
    </row>
    <row r="1307">
      <c r="A1307" s="8" t="n">
        <v>46174</v>
      </c>
      <c r="B1307" t="inlineStr">
        <is>
          <t>2026-W23</t>
        </is>
      </c>
      <c r="C1307" t="inlineStr">
        <is>
          <t>Nuvei</t>
        </is>
      </c>
      <c r="D1307" t="inlineStr">
        <is>
          <t>EUR</t>
        </is>
      </c>
      <c r="E1307" s="9" t="n">
        <v>158175.25</v>
      </c>
      <c r="F1307" s="9" t="n">
        <v>-4978.25</v>
      </c>
      <c r="G1307" s="9" t="n">
        <v>0</v>
      </c>
      <c r="H1307" s="9">
        <f>IF(D1307="USD",E1307*$N$1,E1307)</f>
        <v/>
      </c>
      <c r="I1307" s="9">
        <f>IF(D1307="USD",F1307*$N$1,F1307)</f>
        <v/>
      </c>
      <c r="J1307" s="9">
        <f>IF(D1307="USD",G1307*$N$1,G1307)</f>
        <v/>
      </c>
      <c r="K1307" s="9">
        <f>H1307+I1307</f>
        <v/>
      </c>
    </row>
    <row r="1308">
      <c r="A1308" s="8" t="n">
        <v>46174</v>
      </c>
      <c r="B1308" t="inlineStr">
        <is>
          <t>2026-W23</t>
        </is>
      </c>
      <c r="C1308" t="inlineStr">
        <is>
          <t>Shift4</t>
        </is>
      </c>
      <c r="D1308" t="inlineStr">
        <is>
          <t>EUR</t>
        </is>
      </c>
      <c r="E1308" s="9" t="n">
        <v>0</v>
      </c>
      <c r="F1308" s="9" t="n">
        <v>0</v>
      </c>
      <c r="G1308" s="9" t="n">
        <v>-584675.46</v>
      </c>
      <c r="H1308" s="9">
        <f>IF(D1308="USD",E1308*$N$1,E1308)</f>
        <v/>
      </c>
      <c r="I1308" s="9">
        <f>IF(D1308="USD",F1308*$N$1,F1308)</f>
        <v/>
      </c>
      <c r="J1308" s="9">
        <f>IF(D1308="USD",G1308*$N$1,G1308)</f>
        <v/>
      </c>
      <c r="K1308" s="9">
        <f>H1308+I1308</f>
        <v/>
      </c>
    </row>
    <row r="1309">
      <c r="A1309" s="8" t="n">
        <v>46174</v>
      </c>
      <c r="B1309" t="inlineStr">
        <is>
          <t>2026-W23</t>
        </is>
      </c>
      <c r="C1309" t="inlineStr">
        <is>
          <t>Shift4</t>
        </is>
      </c>
      <c r="D1309" t="inlineStr">
        <is>
          <t>EUR</t>
        </is>
      </c>
      <c r="E1309" s="9" t="n">
        <v>666746.92</v>
      </c>
      <c r="F1309" s="9" t="n">
        <v>-7042.03</v>
      </c>
      <c r="G1309" s="9" t="n">
        <v>0</v>
      </c>
      <c r="H1309" s="9">
        <f>IF(D1309="USD",E1309*$N$1,E1309)</f>
        <v/>
      </c>
      <c r="I1309" s="9">
        <f>IF(D1309="USD",F1309*$N$1,F1309)</f>
        <v/>
      </c>
      <c r="J1309" s="9">
        <f>IF(D1309="USD",G1309*$N$1,G1309)</f>
        <v/>
      </c>
      <c r="K1309" s="9">
        <f>H1309+I1309</f>
        <v/>
      </c>
    </row>
    <row r="1310">
      <c r="A1310" s="8" t="n">
        <v>46175</v>
      </c>
      <c r="B1310" t="inlineStr">
        <is>
          <t>2026-W23</t>
        </is>
      </c>
      <c r="C1310" t="inlineStr">
        <is>
          <t>Adyen</t>
        </is>
      </c>
      <c r="D1310" t="inlineStr">
        <is>
          <t>EUR</t>
        </is>
      </c>
      <c r="E1310" s="9" t="n">
        <v>0</v>
      </c>
      <c r="F1310" s="9" t="n">
        <v>0</v>
      </c>
      <c r="G1310" s="9" t="n">
        <v>-885265.59</v>
      </c>
      <c r="H1310" s="9">
        <f>IF(D1310="USD",E1310*$N$1,E1310)</f>
        <v/>
      </c>
      <c r="I1310" s="9">
        <f>IF(D1310="USD",F1310*$N$1,F1310)</f>
        <v/>
      </c>
      <c r="J1310" s="9">
        <f>IF(D1310="USD",G1310*$N$1,G1310)</f>
        <v/>
      </c>
      <c r="K1310" s="9">
        <f>H1310+I1310</f>
        <v/>
      </c>
    </row>
    <row r="1311">
      <c r="A1311" s="8" t="n">
        <v>46175</v>
      </c>
      <c r="B1311" t="inlineStr">
        <is>
          <t>2026-W23</t>
        </is>
      </c>
      <c r="C1311" t="inlineStr">
        <is>
          <t>Adyen</t>
        </is>
      </c>
      <c r="D1311" t="inlineStr">
        <is>
          <t>EUR</t>
        </is>
      </c>
      <c r="E1311" s="9" t="n">
        <v>792126.73</v>
      </c>
      <c r="F1311" s="9" t="n">
        <v>-760891.85</v>
      </c>
      <c r="G1311" s="9" t="n">
        <v>0</v>
      </c>
      <c r="H1311" s="9">
        <f>IF(D1311="USD",E1311*$N$1,E1311)</f>
        <v/>
      </c>
      <c r="I1311" s="9">
        <f>IF(D1311="USD",F1311*$N$1,F1311)</f>
        <v/>
      </c>
      <c r="J1311" s="9">
        <f>IF(D1311="USD",G1311*$N$1,G1311)</f>
        <v/>
      </c>
      <c r="K1311" s="9">
        <f>H1311+I1311</f>
        <v/>
      </c>
    </row>
    <row r="1312">
      <c r="A1312" s="8" t="n">
        <v>46175</v>
      </c>
      <c r="B1312" t="inlineStr">
        <is>
          <t>2026-W23</t>
        </is>
      </c>
      <c r="C1312" t="inlineStr">
        <is>
          <t>Adyen</t>
        </is>
      </c>
      <c r="D1312" t="inlineStr">
        <is>
          <t>EUR</t>
        </is>
      </c>
      <c r="E1312" s="9" t="n">
        <v>89765.14999999999</v>
      </c>
      <c r="F1312" s="9" t="n">
        <v>0</v>
      </c>
      <c r="G1312" s="9" t="n">
        <v>0</v>
      </c>
      <c r="H1312" s="9">
        <f>IF(D1312="USD",E1312*$N$1,E1312)</f>
        <v/>
      </c>
      <c r="I1312" s="9">
        <f>IF(D1312="USD",F1312*$N$1,F1312)</f>
        <v/>
      </c>
      <c r="J1312" s="9">
        <f>IF(D1312="USD",G1312*$N$1,G1312)</f>
        <v/>
      </c>
      <c r="K1312" s="9">
        <f>H1312+I1312</f>
        <v/>
      </c>
    </row>
    <row r="1313">
      <c r="A1313" s="8" t="n">
        <v>46175</v>
      </c>
      <c r="B1313" t="inlineStr">
        <is>
          <t>2026-W23</t>
        </is>
      </c>
      <c r="C1313" t="inlineStr">
        <is>
          <t>Nuvei</t>
        </is>
      </c>
      <c r="D1313" t="inlineStr">
        <is>
          <t>EUR</t>
        </is>
      </c>
      <c r="E1313" s="9" t="n">
        <v>0</v>
      </c>
      <c r="F1313" s="9" t="n">
        <v>0</v>
      </c>
      <c r="G1313" s="9" t="n">
        <v>-438706.01</v>
      </c>
      <c r="H1313" s="9">
        <f>IF(D1313="USD",E1313*$N$1,E1313)</f>
        <v/>
      </c>
      <c r="I1313" s="9">
        <f>IF(D1313="USD",F1313*$N$1,F1313)</f>
        <v/>
      </c>
      <c r="J1313" s="9">
        <f>IF(D1313="USD",G1313*$N$1,G1313)</f>
        <v/>
      </c>
      <c r="K1313" s="9">
        <f>H1313+I1313</f>
        <v/>
      </c>
    </row>
    <row r="1314">
      <c r="A1314" s="8" t="n">
        <v>46175</v>
      </c>
      <c r="B1314" t="inlineStr">
        <is>
          <t>2026-W23</t>
        </is>
      </c>
      <c r="C1314" t="inlineStr">
        <is>
          <t>Nuvei</t>
        </is>
      </c>
      <c r="D1314" t="inlineStr">
        <is>
          <t>EUR</t>
        </is>
      </c>
      <c r="E1314" s="9" t="n">
        <v>0</v>
      </c>
      <c r="F1314" s="9" t="n">
        <v>0</v>
      </c>
      <c r="G1314" s="9" t="n">
        <v>-141284.1</v>
      </c>
      <c r="H1314" s="9">
        <f>IF(D1314="USD",E1314*$N$1,E1314)</f>
        <v/>
      </c>
      <c r="I1314" s="9">
        <f>IF(D1314="USD",F1314*$N$1,F1314)</f>
        <v/>
      </c>
      <c r="J1314" s="9">
        <f>IF(D1314="USD",G1314*$N$1,G1314)</f>
        <v/>
      </c>
      <c r="K1314" s="9">
        <f>H1314+I1314</f>
        <v/>
      </c>
    </row>
    <row r="1315">
      <c r="A1315" s="8" t="n">
        <v>46175</v>
      </c>
      <c r="B1315" t="inlineStr">
        <is>
          <t>2026-W23</t>
        </is>
      </c>
      <c r="C1315" t="inlineStr">
        <is>
          <t>Nuvei</t>
        </is>
      </c>
      <c r="D1315" t="inlineStr">
        <is>
          <t>EUR</t>
        </is>
      </c>
      <c r="E1315" s="9" t="n">
        <v>418559.35</v>
      </c>
      <c r="F1315" s="9" t="n">
        <v>-8478.67</v>
      </c>
      <c r="G1315" s="9" t="n">
        <v>0</v>
      </c>
      <c r="H1315" s="9">
        <f>IF(D1315="USD",E1315*$N$1,E1315)</f>
        <v/>
      </c>
      <c r="I1315" s="9">
        <f>IF(D1315="USD",F1315*$N$1,F1315)</f>
        <v/>
      </c>
      <c r="J1315" s="9">
        <f>IF(D1315="USD",G1315*$N$1,G1315)</f>
        <v/>
      </c>
      <c r="K1315" s="9">
        <f>H1315+I1315</f>
        <v/>
      </c>
    </row>
    <row r="1316">
      <c r="A1316" s="8" t="n">
        <v>46175</v>
      </c>
      <c r="B1316" t="inlineStr">
        <is>
          <t>2026-W23</t>
        </is>
      </c>
      <c r="C1316" t="inlineStr">
        <is>
          <t>Nuvei</t>
        </is>
      </c>
      <c r="D1316" t="inlineStr">
        <is>
          <t>EUR</t>
        </is>
      </c>
      <c r="E1316" s="9" t="n">
        <v>172740.81</v>
      </c>
      <c r="F1316" s="9" t="n">
        <v>-4971.86</v>
      </c>
      <c r="G1316" s="9" t="n">
        <v>0</v>
      </c>
      <c r="H1316" s="9">
        <f>IF(D1316="USD",E1316*$N$1,E1316)</f>
        <v/>
      </c>
      <c r="I1316" s="9">
        <f>IF(D1316="USD",F1316*$N$1,F1316)</f>
        <v/>
      </c>
      <c r="J1316" s="9">
        <f>IF(D1316="USD",G1316*$N$1,G1316)</f>
        <v/>
      </c>
      <c r="K1316" s="9">
        <f>H1316+I1316</f>
        <v/>
      </c>
    </row>
    <row r="1317">
      <c r="A1317" s="8" t="n">
        <v>46175</v>
      </c>
      <c r="B1317" t="inlineStr">
        <is>
          <t>2026-W23</t>
        </is>
      </c>
      <c r="C1317" t="inlineStr">
        <is>
          <t>Shift4</t>
        </is>
      </c>
      <c r="D1317" t="inlineStr">
        <is>
          <t>EUR</t>
        </is>
      </c>
      <c r="E1317" s="9" t="n">
        <v>0</v>
      </c>
      <c r="F1317" s="9" t="n">
        <v>0</v>
      </c>
      <c r="G1317" s="9" t="n">
        <v>-549842.67</v>
      </c>
      <c r="H1317" s="9">
        <f>IF(D1317="USD",E1317*$N$1,E1317)</f>
        <v/>
      </c>
      <c r="I1317" s="9">
        <f>IF(D1317="USD",F1317*$N$1,F1317)</f>
        <v/>
      </c>
      <c r="J1317" s="9">
        <f>IF(D1317="USD",G1317*$N$1,G1317)</f>
        <v/>
      </c>
      <c r="K1317" s="9">
        <f>H1317+I1317</f>
        <v/>
      </c>
    </row>
    <row r="1318">
      <c r="A1318" s="8" t="n">
        <v>46175</v>
      </c>
      <c r="B1318" t="inlineStr">
        <is>
          <t>2026-W23</t>
        </is>
      </c>
      <c r="C1318" t="inlineStr">
        <is>
          <t>Shift4</t>
        </is>
      </c>
      <c r="D1318" t="inlineStr">
        <is>
          <t>EUR</t>
        </is>
      </c>
      <c r="E1318" s="9" t="n">
        <v>683054.24</v>
      </c>
      <c r="F1318" s="9" t="n">
        <v>-7173.22</v>
      </c>
      <c r="G1318" s="9" t="n">
        <v>0</v>
      </c>
      <c r="H1318" s="9">
        <f>IF(D1318="USD",E1318*$N$1,E1318)</f>
        <v/>
      </c>
      <c r="I1318" s="9">
        <f>IF(D1318="USD",F1318*$N$1,F1318)</f>
        <v/>
      </c>
      <c r="J1318" s="9">
        <f>IF(D1318="USD",G1318*$N$1,G1318)</f>
        <v/>
      </c>
      <c r="K1318" s="9">
        <f>H1318+I1318</f>
        <v/>
      </c>
    </row>
    <row r="1319">
      <c r="A1319" s="8" t="n">
        <v>46176</v>
      </c>
      <c r="B1319" t="inlineStr">
        <is>
          <t>2026-W23</t>
        </is>
      </c>
      <c r="C1319" t="inlineStr">
        <is>
          <t>Adyen</t>
        </is>
      </c>
      <c r="D1319" t="inlineStr">
        <is>
          <t>EUR</t>
        </is>
      </c>
      <c r="E1319" s="9" t="n">
        <v>0</v>
      </c>
      <c r="F1319" s="9" t="n">
        <v>0</v>
      </c>
      <c r="G1319" s="9" t="n">
        <v>-1612698.39</v>
      </c>
      <c r="H1319" s="9">
        <f>IF(D1319="USD",E1319*$N$1,E1319)</f>
        <v/>
      </c>
      <c r="I1319" s="9">
        <f>IF(D1319="USD",F1319*$N$1,F1319)</f>
        <v/>
      </c>
      <c r="J1319" s="9">
        <f>IF(D1319="USD",G1319*$N$1,G1319)</f>
        <v/>
      </c>
      <c r="K1319" s="9">
        <f>H1319+I1319</f>
        <v/>
      </c>
    </row>
    <row r="1320">
      <c r="A1320" s="8" t="n">
        <v>46176</v>
      </c>
      <c r="B1320" t="inlineStr">
        <is>
          <t>2026-W23</t>
        </is>
      </c>
      <c r="C1320" t="inlineStr">
        <is>
          <t>Adyen</t>
        </is>
      </c>
      <c r="D1320" t="inlineStr">
        <is>
          <t>EUR</t>
        </is>
      </c>
      <c r="E1320" s="9" t="n">
        <v>809129.64</v>
      </c>
      <c r="F1320" s="9" t="n">
        <v>26820.22999999998</v>
      </c>
      <c r="G1320" s="9" t="n">
        <v>0</v>
      </c>
      <c r="H1320" s="9">
        <f>IF(D1320="USD",E1320*$N$1,E1320)</f>
        <v/>
      </c>
      <c r="I1320" s="9">
        <f>IF(D1320="USD",F1320*$N$1,F1320)</f>
        <v/>
      </c>
      <c r="J1320" s="9">
        <f>IF(D1320="USD",G1320*$N$1,G1320)</f>
        <v/>
      </c>
      <c r="K1320" s="9">
        <f>H1320+I1320</f>
        <v/>
      </c>
    </row>
    <row r="1321">
      <c r="A1321" s="8" t="n">
        <v>46176</v>
      </c>
      <c r="B1321" t="inlineStr">
        <is>
          <t>2026-W23</t>
        </is>
      </c>
      <c r="C1321" t="inlineStr">
        <is>
          <t>Adyen</t>
        </is>
      </c>
      <c r="D1321" t="inlineStr">
        <is>
          <t>EUR</t>
        </is>
      </c>
      <c r="E1321" s="9" t="n">
        <v>87741.39999999999</v>
      </c>
      <c r="F1321" s="9" t="n">
        <v>0</v>
      </c>
      <c r="G1321" s="9" t="n">
        <v>0</v>
      </c>
      <c r="H1321" s="9">
        <f>IF(D1321="USD",E1321*$N$1,E1321)</f>
        <v/>
      </c>
      <c r="I1321" s="9">
        <f>IF(D1321="USD",F1321*$N$1,F1321)</f>
        <v/>
      </c>
      <c r="J1321" s="9">
        <f>IF(D1321="USD",G1321*$N$1,G1321)</f>
        <v/>
      </c>
      <c r="K1321" s="9">
        <f>H1321+I1321</f>
        <v/>
      </c>
    </row>
    <row r="1322">
      <c r="A1322" s="8" t="n">
        <v>46176</v>
      </c>
      <c r="B1322" t="inlineStr">
        <is>
          <t>2026-W23</t>
        </is>
      </c>
      <c r="C1322" t="inlineStr">
        <is>
          <t>Nuvei</t>
        </is>
      </c>
      <c r="D1322" t="inlineStr">
        <is>
          <t>EUR</t>
        </is>
      </c>
      <c r="E1322" s="9" t="n">
        <v>0</v>
      </c>
      <c r="F1322" s="9" t="n">
        <v>0</v>
      </c>
      <c r="G1322" s="9" t="n">
        <v>-431725.19</v>
      </c>
      <c r="H1322" s="9">
        <f>IF(D1322="USD",E1322*$N$1,E1322)</f>
        <v/>
      </c>
      <c r="I1322" s="9">
        <f>IF(D1322="USD",F1322*$N$1,F1322)</f>
        <v/>
      </c>
      <c r="J1322" s="9">
        <f>IF(D1322="USD",G1322*$N$1,G1322)</f>
        <v/>
      </c>
      <c r="K1322" s="9">
        <f>H1322+I1322</f>
        <v/>
      </c>
    </row>
    <row r="1323">
      <c r="A1323" s="8" t="n">
        <v>46176</v>
      </c>
      <c r="B1323" t="inlineStr">
        <is>
          <t>2026-W23</t>
        </is>
      </c>
      <c r="C1323" t="inlineStr">
        <is>
          <t>Nuvei</t>
        </is>
      </c>
      <c r="D1323" t="inlineStr">
        <is>
          <t>EUR</t>
        </is>
      </c>
      <c r="E1323" s="9" t="n">
        <v>0</v>
      </c>
      <c r="F1323" s="9" t="n">
        <v>0</v>
      </c>
      <c r="G1323" s="9" t="n">
        <v>-128500.79</v>
      </c>
      <c r="H1323" s="9">
        <f>IF(D1323="USD",E1323*$N$1,E1323)</f>
        <v/>
      </c>
      <c r="I1323" s="9">
        <f>IF(D1323="USD",F1323*$N$1,F1323)</f>
        <v/>
      </c>
      <c r="J1323" s="9">
        <f>IF(D1323="USD",G1323*$N$1,G1323)</f>
        <v/>
      </c>
      <c r="K1323" s="9">
        <f>H1323+I1323</f>
        <v/>
      </c>
    </row>
    <row r="1324">
      <c r="A1324" s="8" t="n">
        <v>46176</v>
      </c>
      <c r="B1324" t="inlineStr">
        <is>
          <t>2026-W23</t>
        </is>
      </c>
      <c r="C1324" t="inlineStr">
        <is>
          <t>Nuvei</t>
        </is>
      </c>
      <c r="D1324" t="inlineStr">
        <is>
          <t>EUR</t>
        </is>
      </c>
      <c r="E1324" s="9" t="n">
        <v>481122.39</v>
      </c>
      <c r="F1324" s="9" t="n">
        <v>-8405.549999999999</v>
      </c>
      <c r="G1324" s="9" t="n">
        <v>0</v>
      </c>
      <c r="H1324" s="9">
        <f>IF(D1324="USD",E1324*$N$1,E1324)</f>
        <v/>
      </c>
      <c r="I1324" s="9">
        <f>IF(D1324="USD",F1324*$N$1,F1324)</f>
        <v/>
      </c>
      <c r="J1324" s="9">
        <f>IF(D1324="USD",G1324*$N$1,G1324)</f>
        <v/>
      </c>
      <c r="K1324" s="9">
        <f>H1324+I1324</f>
        <v/>
      </c>
    </row>
    <row r="1325">
      <c r="A1325" s="8" t="n">
        <v>46176</v>
      </c>
      <c r="B1325" t="inlineStr">
        <is>
          <t>2026-W23</t>
        </is>
      </c>
      <c r="C1325" t="inlineStr">
        <is>
          <t>Nuvei</t>
        </is>
      </c>
      <c r="D1325" t="inlineStr">
        <is>
          <t>EUR</t>
        </is>
      </c>
      <c r="E1325" s="9" t="n">
        <v>174812.13</v>
      </c>
      <c r="F1325" s="9" t="n">
        <v>-4872.59</v>
      </c>
      <c r="G1325" s="9" t="n">
        <v>0</v>
      </c>
      <c r="H1325" s="9">
        <f>IF(D1325="USD",E1325*$N$1,E1325)</f>
        <v/>
      </c>
      <c r="I1325" s="9">
        <f>IF(D1325="USD",F1325*$N$1,F1325)</f>
        <v/>
      </c>
      <c r="J1325" s="9">
        <f>IF(D1325="USD",G1325*$N$1,G1325)</f>
        <v/>
      </c>
      <c r="K1325" s="9">
        <f>H1325+I1325</f>
        <v/>
      </c>
    </row>
    <row r="1326">
      <c r="A1326" s="8" t="n">
        <v>46176</v>
      </c>
      <c r="B1326" t="inlineStr">
        <is>
          <t>2026-W23</t>
        </is>
      </c>
      <c r="C1326" t="inlineStr">
        <is>
          <t>Shift4</t>
        </is>
      </c>
      <c r="D1326" t="inlineStr">
        <is>
          <t>EUR</t>
        </is>
      </c>
      <c r="E1326" s="9" t="n">
        <v>0</v>
      </c>
      <c r="F1326" s="9" t="n">
        <v>0</v>
      </c>
      <c r="G1326" s="9" t="n">
        <v>-574405.4399999999</v>
      </c>
      <c r="H1326" s="9">
        <f>IF(D1326="USD",E1326*$N$1,E1326)</f>
        <v/>
      </c>
      <c r="I1326" s="9">
        <f>IF(D1326="USD",F1326*$N$1,F1326)</f>
        <v/>
      </c>
      <c r="J1326" s="9">
        <f>IF(D1326="USD",G1326*$N$1,G1326)</f>
        <v/>
      </c>
      <c r="K1326" s="9">
        <f>H1326+I1326</f>
        <v/>
      </c>
    </row>
    <row r="1327">
      <c r="A1327" s="8" t="n">
        <v>46176</v>
      </c>
      <c r="B1327" t="inlineStr">
        <is>
          <t>2026-W23</t>
        </is>
      </c>
      <c r="C1327" t="inlineStr">
        <is>
          <t>Shift4</t>
        </is>
      </c>
      <c r="D1327" t="inlineStr">
        <is>
          <t>EUR</t>
        </is>
      </c>
      <c r="E1327" s="9" t="n">
        <v>658519.6899999999</v>
      </c>
      <c r="F1327" s="9" t="n">
        <v>-6828.28</v>
      </c>
      <c r="G1327" s="9" t="n">
        <v>0</v>
      </c>
      <c r="H1327" s="9">
        <f>IF(D1327="USD",E1327*$N$1,E1327)</f>
        <v/>
      </c>
      <c r="I1327" s="9">
        <f>IF(D1327="USD",F1327*$N$1,F1327)</f>
        <v/>
      </c>
      <c r="J1327" s="9">
        <f>IF(D1327="USD",G1327*$N$1,G1327)</f>
        <v/>
      </c>
      <c r="K1327" s="9">
        <f>H1327+I1327</f>
        <v/>
      </c>
    </row>
    <row r="1328">
      <c r="A1328" s="8" t="n">
        <v>46177</v>
      </c>
      <c r="B1328" t="inlineStr">
        <is>
          <t>2026-W23</t>
        </is>
      </c>
      <c r="C1328" t="inlineStr">
        <is>
          <t>Adyen</t>
        </is>
      </c>
      <c r="D1328" t="inlineStr">
        <is>
          <t>EUR</t>
        </is>
      </c>
      <c r="E1328" s="9" t="n">
        <v>0</v>
      </c>
      <c r="F1328" s="9" t="n">
        <v>0</v>
      </c>
      <c r="G1328" s="9" t="n">
        <v>-121000.03</v>
      </c>
      <c r="H1328" s="9">
        <f>IF(D1328="USD",E1328*$N$1,E1328)</f>
        <v/>
      </c>
      <c r="I1328" s="9">
        <f>IF(D1328="USD",F1328*$N$1,F1328)</f>
        <v/>
      </c>
      <c r="J1328" s="9">
        <f>IF(D1328="USD",G1328*$N$1,G1328)</f>
        <v/>
      </c>
      <c r="K1328" s="9">
        <f>H1328+I1328</f>
        <v/>
      </c>
    </row>
    <row r="1329">
      <c r="A1329" s="8" t="n">
        <v>46177</v>
      </c>
      <c r="B1329" t="inlineStr">
        <is>
          <t>2026-W23</t>
        </is>
      </c>
      <c r="C1329" t="inlineStr">
        <is>
          <t>Adyen</t>
        </is>
      </c>
      <c r="D1329" t="inlineStr">
        <is>
          <t>EUR</t>
        </is>
      </c>
      <c r="E1329" s="9" t="n">
        <v>773080.1</v>
      </c>
      <c r="F1329" s="9" t="n">
        <v>798059.8200000001</v>
      </c>
      <c r="G1329" s="9" t="n">
        <v>0</v>
      </c>
      <c r="H1329" s="9">
        <f>IF(D1329="USD",E1329*$N$1,E1329)</f>
        <v/>
      </c>
      <c r="I1329" s="9">
        <f>IF(D1329="USD",F1329*$N$1,F1329)</f>
        <v/>
      </c>
      <c r="J1329" s="9">
        <f>IF(D1329="USD",G1329*$N$1,G1329)</f>
        <v/>
      </c>
      <c r="K1329" s="9">
        <f>H1329+I1329</f>
        <v/>
      </c>
    </row>
    <row r="1330">
      <c r="A1330" s="8" t="n">
        <v>46177</v>
      </c>
      <c r="B1330" t="inlineStr">
        <is>
          <t>2026-W23</t>
        </is>
      </c>
      <c r="C1330" t="inlineStr">
        <is>
          <t>Adyen</t>
        </is>
      </c>
      <c r="D1330" t="inlineStr">
        <is>
          <t>EUR</t>
        </is>
      </c>
      <c r="E1330" s="9" t="n">
        <v>83859.14999999999</v>
      </c>
      <c r="F1330" s="9" t="n">
        <v>0</v>
      </c>
      <c r="G1330" s="9" t="n">
        <v>0</v>
      </c>
      <c r="H1330" s="9">
        <f>IF(D1330="USD",E1330*$N$1,E1330)</f>
        <v/>
      </c>
      <c r="I1330" s="9">
        <f>IF(D1330="USD",F1330*$N$1,F1330)</f>
        <v/>
      </c>
      <c r="J1330" s="9">
        <f>IF(D1330="USD",G1330*$N$1,G1330)</f>
        <v/>
      </c>
      <c r="K1330" s="9">
        <f>H1330+I1330</f>
        <v/>
      </c>
    </row>
    <row r="1331">
      <c r="A1331" s="8" t="n">
        <v>46177</v>
      </c>
      <c r="B1331" t="inlineStr">
        <is>
          <t>2026-W23</t>
        </is>
      </c>
      <c r="C1331" t="inlineStr">
        <is>
          <t>Nuvei</t>
        </is>
      </c>
      <c r="D1331" t="inlineStr">
        <is>
          <t>EUR</t>
        </is>
      </c>
      <c r="E1331" s="9" t="n">
        <v>0</v>
      </c>
      <c r="F1331" s="9" t="n">
        <v>0</v>
      </c>
      <c r="G1331" s="9" t="n">
        <v>-415457.74</v>
      </c>
      <c r="H1331" s="9">
        <f>IF(D1331="USD",E1331*$N$1,E1331)</f>
        <v/>
      </c>
      <c r="I1331" s="9">
        <f>IF(D1331="USD",F1331*$N$1,F1331)</f>
        <v/>
      </c>
      <c r="J1331" s="9">
        <f>IF(D1331="USD",G1331*$N$1,G1331)</f>
        <v/>
      </c>
      <c r="K1331" s="9">
        <f>H1331+I1331</f>
        <v/>
      </c>
    </row>
    <row r="1332">
      <c r="A1332" s="8" t="n">
        <v>46177</v>
      </c>
      <c r="B1332" t="inlineStr">
        <is>
          <t>2026-W23</t>
        </is>
      </c>
      <c r="C1332" t="inlineStr">
        <is>
          <t>Nuvei</t>
        </is>
      </c>
      <c r="D1332" t="inlineStr">
        <is>
          <t>EUR</t>
        </is>
      </c>
      <c r="E1332" s="9" t="n">
        <v>0</v>
      </c>
      <c r="F1332" s="9" t="n">
        <v>0</v>
      </c>
      <c r="G1332" s="9" t="n">
        <v>-148802.15</v>
      </c>
      <c r="H1332" s="9">
        <f>IF(D1332="USD",E1332*$N$1,E1332)</f>
        <v/>
      </c>
      <c r="I1332" s="9">
        <f>IF(D1332="USD",F1332*$N$1,F1332)</f>
        <v/>
      </c>
      <c r="J1332" s="9">
        <f>IF(D1332="USD",G1332*$N$1,G1332)</f>
        <v/>
      </c>
      <c r="K1332" s="9">
        <f>H1332+I1332</f>
        <v/>
      </c>
    </row>
    <row r="1333">
      <c r="A1333" s="8" t="n">
        <v>46177</v>
      </c>
      <c r="B1333" t="inlineStr">
        <is>
          <t>2026-W23</t>
        </is>
      </c>
      <c r="C1333" t="inlineStr">
        <is>
          <t>Nuvei</t>
        </is>
      </c>
      <c r="D1333" t="inlineStr">
        <is>
          <t>EUR</t>
        </is>
      </c>
      <c r="E1333" s="9" t="n">
        <v>508482.75</v>
      </c>
      <c r="F1333" s="9" t="n">
        <v>-8665.85</v>
      </c>
      <c r="G1333" s="9" t="n">
        <v>0</v>
      </c>
      <c r="H1333" s="9">
        <f>IF(D1333="USD",E1333*$N$1,E1333)</f>
        <v/>
      </c>
      <c r="I1333" s="9">
        <f>IF(D1333="USD",F1333*$N$1,F1333)</f>
        <v/>
      </c>
      <c r="J1333" s="9">
        <f>IF(D1333="USD",G1333*$N$1,G1333)</f>
        <v/>
      </c>
      <c r="K1333" s="9">
        <f>H1333+I1333</f>
        <v/>
      </c>
    </row>
    <row r="1334">
      <c r="A1334" s="8" t="n">
        <v>46177</v>
      </c>
      <c r="B1334" t="inlineStr">
        <is>
          <t>2026-W23</t>
        </is>
      </c>
      <c r="C1334" t="inlineStr">
        <is>
          <t>Nuvei</t>
        </is>
      </c>
      <c r="D1334" t="inlineStr">
        <is>
          <t>EUR</t>
        </is>
      </c>
      <c r="E1334" s="9" t="n">
        <v>140606.65</v>
      </c>
      <c r="F1334" s="9" t="n">
        <v>-3939.01</v>
      </c>
      <c r="G1334" s="9" t="n">
        <v>0</v>
      </c>
      <c r="H1334" s="9">
        <f>IF(D1334="USD",E1334*$N$1,E1334)</f>
        <v/>
      </c>
      <c r="I1334" s="9">
        <f>IF(D1334="USD",F1334*$N$1,F1334)</f>
        <v/>
      </c>
      <c r="J1334" s="9">
        <f>IF(D1334="USD",G1334*$N$1,G1334)</f>
        <v/>
      </c>
      <c r="K1334" s="9">
        <f>H1334+I1334</f>
        <v/>
      </c>
    </row>
    <row r="1335">
      <c r="A1335" s="8" t="n">
        <v>46177</v>
      </c>
      <c r="B1335" t="inlineStr">
        <is>
          <t>2026-W23</t>
        </is>
      </c>
      <c r="C1335" t="inlineStr">
        <is>
          <t>Shift4</t>
        </is>
      </c>
      <c r="D1335" t="inlineStr">
        <is>
          <t>EUR</t>
        </is>
      </c>
      <c r="E1335" s="9" t="n">
        <v>0</v>
      </c>
      <c r="F1335" s="9" t="n">
        <v>0</v>
      </c>
      <c r="G1335" s="9" t="n">
        <v>-1783345.83</v>
      </c>
      <c r="H1335" s="9">
        <f>IF(D1335="USD",E1335*$N$1,E1335)</f>
        <v/>
      </c>
      <c r="I1335" s="9">
        <f>IF(D1335="USD",F1335*$N$1,F1335)</f>
        <v/>
      </c>
      <c r="J1335" s="9">
        <f>IF(D1335="USD",G1335*$N$1,G1335)</f>
        <v/>
      </c>
      <c r="K1335" s="9">
        <f>H1335+I1335</f>
        <v/>
      </c>
    </row>
    <row r="1336">
      <c r="A1336" s="8" t="n">
        <v>46177</v>
      </c>
      <c r="B1336" t="inlineStr">
        <is>
          <t>2026-W23</t>
        </is>
      </c>
      <c r="C1336" t="inlineStr">
        <is>
          <t>Shift4</t>
        </is>
      </c>
      <c r="D1336" t="inlineStr">
        <is>
          <t>EUR</t>
        </is>
      </c>
      <c r="E1336" s="9" t="n">
        <v>631135.95</v>
      </c>
      <c r="F1336" s="9" t="n">
        <v>-6834.65</v>
      </c>
      <c r="G1336" s="9" t="n">
        <v>0</v>
      </c>
      <c r="H1336" s="9">
        <f>IF(D1336="USD",E1336*$N$1,E1336)</f>
        <v/>
      </c>
      <c r="I1336" s="9">
        <f>IF(D1336="USD",F1336*$N$1,F1336)</f>
        <v/>
      </c>
      <c r="J1336" s="9">
        <f>IF(D1336="USD",G1336*$N$1,G1336)</f>
        <v/>
      </c>
      <c r="K1336" s="9">
        <f>H1336+I1336</f>
        <v/>
      </c>
    </row>
    <row r="1337">
      <c r="A1337" s="8" t="n">
        <v>46178</v>
      </c>
      <c r="B1337" t="inlineStr">
        <is>
          <t>2026-W23</t>
        </is>
      </c>
      <c r="C1337" t="inlineStr">
        <is>
          <t>Adyen</t>
        </is>
      </c>
      <c r="D1337" t="inlineStr">
        <is>
          <t>EUR</t>
        </is>
      </c>
      <c r="E1337" s="9" t="n">
        <v>0</v>
      </c>
      <c r="F1337" s="9" t="n">
        <v>0</v>
      </c>
      <c r="G1337" s="9" t="n">
        <v>-923691.27</v>
      </c>
      <c r="H1337" s="9">
        <f>IF(D1337="USD",E1337*$N$1,E1337)</f>
        <v/>
      </c>
      <c r="I1337" s="9">
        <f>IF(D1337="USD",F1337*$N$1,F1337)</f>
        <v/>
      </c>
      <c r="J1337" s="9">
        <f>IF(D1337="USD",G1337*$N$1,G1337)</f>
        <v/>
      </c>
      <c r="K1337" s="9">
        <f>H1337+I1337</f>
        <v/>
      </c>
    </row>
    <row r="1338">
      <c r="A1338" s="8" t="n">
        <v>46178</v>
      </c>
      <c r="B1338" t="inlineStr">
        <is>
          <t>2026-W23</t>
        </is>
      </c>
      <c r="C1338" t="inlineStr">
        <is>
          <t>Adyen</t>
        </is>
      </c>
      <c r="D1338" t="inlineStr">
        <is>
          <t>EUR</t>
        </is>
      </c>
      <c r="E1338" s="9" t="n">
        <v>711565.8</v>
      </c>
      <c r="F1338" s="9" t="n">
        <v>-13139.18000000017</v>
      </c>
      <c r="G1338" s="9" t="n">
        <v>0</v>
      </c>
      <c r="H1338" s="9">
        <f>IF(D1338="USD",E1338*$N$1,E1338)</f>
        <v/>
      </c>
      <c r="I1338" s="9">
        <f>IF(D1338="USD",F1338*$N$1,F1338)</f>
        <v/>
      </c>
      <c r="J1338" s="9">
        <f>IF(D1338="USD",G1338*$N$1,G1338)</f>
        <v/>
      </c>
      <c r="K1338" s="9">
        <f>H1338+I1338</f>
        <v/>
      </c>
    </row>
    <row r="1339">
      <c r="A1339" s="8" t="n">
        <v>46178</v>
      </c>
      <c r="B1339" t="inlineStr">
        <is>
          <t>2026-W23</t>
        </is>
      </c>
      <c r="C1339" t="inlineStr">
        <is>
          <t>Adyen</t>
        </is>
      </c>
      <c r="D1339" t="inlineStr">
        <is>
          <t>EUR</t>
        </is>
      </c>
      <c r="E1339" s="9" t="n">
        <v>70550.48</v>
      </c>
      <c r="F1339" s="9" t="n">
        <v>0</v>
      </c>
      <c r="G1339" s="9" t="n">
        <v>0</v>
      </c>
      <c r="H1339" s="9">
        <f>IF(D1339="USD",E1339*$N$1,E1339)</f>
        <v/>
      </c>
      <c r="I1339" s="9">
        <f>IF(D1339="USD",F1339*$N$1,F1339)</f>
        <v/>
      </c>
      <c r="J1339" s="9">
        <f>IF(D1339="USD",G1339*$N$1,G1339)</f>
        <v/>
      </c>
      <c r="K1339" s="9">
        <f>H1339+I1339</f>
        <v/>
      </c>
    </row>
    <row r="1340">
      <c r="A1340" s="8" t="n">
        <v>46178</v>
      </c>
      <c r="B1340" t="inlineStr">
        <is>
          <t>2026-W23</t>
        </is>
      </c>
      <c r="C1340" t="inlineStr">
        <is>
          <t>Nuvei</t>
        </is>
      </c>
      <c r="D1340" t="inlineStr">
        <is>
          <t>EUR</t>
        </is>
      </c>
      <c r="E1340" s="9" t="n">
        <v>0</v>
      </c>
      <c r="F1340" s="9" t="n">
        <v>0</v>
      </c>
      <c r="G1340" s="9" t="n">
        <v>-1118040.75</v>
      </c>
      <c r="H1340" s="9">
        <f>IF(D1340="USD",E1340*$N$1,E1340)</f>
        <v/>
      </c>
      <c r="I1340" s="9">
        <f>IF(D1340="USD",F1340*$N$1,F1340)</f>
        <v/>
      </c>
      <c r="J1340" s="9">
        <f>IF(D1340="USD",G1340*$N$1,G1340)</f>
        <v/>
      </c>
      <c r="K1340" s="9">
        <f>H1340+I1340</f>
        <v/>
      </c>
    </row>
    <row r="1341">
      <c r="A1341" s="8" t="n">
        <v>46178</v>
      </c>
      <c r="B1341" t="inlineStr">
        <is>
          <t>2026-W23</t>
        </is>
      </c>
      <c r="C1341" t="inlineStr">
        <is>
          <t>Nuvei</t>
        </is>
      </c>
      <c r="D1341" t="inlineStr">
        <is>
          <t>EUR</t>
        </is>
      </c>
      <c r="E1341" s="9" t="n">
        <v>0</v>
      </c>
      <c r="F1341" s="9" t="n">
        <v>0</v>
      </c>
      <c r="G1341" s="9" t="n">
        <v>-427035.98</v>
      </c>
      <c r="H1341" s="9">
        <f>IF(D1341="USD",E1341*$N$1,E1341)</f>
        <v/>
      </c>
      <c r="I1341" s="9">
        <f>IF(D1341="USD",F1341*$N$1,F1341)</f>
        <v/>
      </c>
      <c r="J1341" s="9">
        <f>IF(D1341="USD",G1341*$N$1,G1341)</f>
        <v/>
      </c>
      <c r="K1341" s="9">
        <f>H1341+I1341</f>
        <v/>
      </c>
    </row>
    <row r="1342">
      <c r="A1342" s="8" t="n">
        <v>46178</v>
      </c>
      <c r="B1342" t="inlineStr">
        <is>
          <t>2026-W23</t>
        </is>
      </c>
      <c r="C1342" t="inlineStr">
        <is>
          <t>Nuvei</t>
        </is>
      </c>
      <c r="D1342" t="inlineStr">
        <is>
          <t>EUR</t>
        </is>
      </c>
      <c r="E1342" s="9" t="n">
        <v>430383.64</v>
      </c>
      <c r="F1342" s="9" t="n">
        <v>-7525.49</v>
      </c>
      <c r="G1342" s="9" t="n">
        <v>0</v>
      </c>
      <c r="H1342" s="9">
        <f>IF(D1342="USD",E1342*$N$1,E1342)</f>
        <v/>
      </c>
      <c r="I1342" s="9">
        <f>IF(D1342="USD",F1342*$N$1,F1342)</f>
        <v/>
      </c>
      <c r="J1342" s="9">
        <f>IF(D1342="USD",G1342*$N$1,G1342)</f>
        <v/>
      </c>
      <c r="K1342" s="9">
        <f>H1342+I1342</f>
        <v/>
      </c>
    </row>
    <row r="1343">
      <c r="A1343" s="8" t="n">
        <v>46178</v>
      </c>
      <c r="B1343" t="inlineStr">
        <is>
          <t>2026-W23</t>
        </is>
      </c>
      <c r="C1343" t="inlineStr">
        <is>
          <t>Nuvei</t>
        </is>
      </c>
      <c r="D1343" t="inlineStr">
        <is>
          <t>EUR</t>
        </is>
      </c>
      <c r="E1343" s="9" t="n">
        <v>131345.66</v>
      </c>
      <c r="F1343" s="9" t="n">
        <v>-3676.12</v>
      </c>
      <c r="G1343" s="9" t="n">
        <v>0</v>
      </c>
      <c r="H1343" s="9">
        <f>IF(D1343="USD",E1343*$N$1,E1343)</f>
        <v/>
      </c>
      <c r="I1343" s="9">
        <f>IF(D1343="USD",F1343*$N$1,F1343)</f>
        <v/>
      </c>
      <c r="J1343" s="9">
        <f>IF(D1343="USD",G1343*$N$1,G1343)</f>
        <v/>
      </c>
      <c r="K1343" s="9">
        <f>H1343+I1343</f>
        <v/>
      </c>
    </row>
    <row r="1344">
      <c r="A1344" s="8" t="n">
        <v>46178</v>
      </c>
      <c r="B1344" t="inlineStr">
        <is>
          <t>2026-W23</t>
        </is>
      </c>
      <c r="C1344" t="inlineStr">
        <is>
          <t>Nuvei</t>
        </is>
      </c>
      <c r="D1344" t="inlineStr">
        <is>
          <t>EUR</t>
        </is>
      </c>
      <c r="E1344" s="9" t="n">
        <v>39586.51</v>
      </c>
      <c r="F1344" s="9" t="n">
        <v>-1021.67</v>
      </c>
      <c r="G1344" s="9" t="n">
        <v>0</v>
      </c>
      <c r="H1344" s="9">
        <f>IF(D1344="USD",E1344*$N$1,E1344)</f>
        <v/>
      </c>
      <c r="I1344" s="9">
        <f>IF(D1344="USD",F1344*$N$1,F1344)</f>
        <v/>
      </c>
      <c r="J1344" s="9">
        <f>IF(D1344="USD",G1344*$N$1,G1344)</f>
        <v/>
      </c>
      <c r="K1344" s="9">
        <f>H1344+I1344</f>
        <v/>
      </c>
    </row>
    <row r="1345">
      <c r="A1345" s="8" t="n">
        <v>46178</v>
      </c>
      <c r="B1345" t="inlineStr">
        <is>
          <t>2026-W23</t>
        </is>
      </c>
      <c r="C1345" t="inlineStr">
        <is>
          <t>Shift4</t>
        </is>
      </c>
      <c r="D1345" t="inlineStr">
        <is>
          <t>EUR</t>
        </is>
      </c>
      <c r="E1345" s="9" t="n">
        <v>0</v>
      </c>
      <c r="F1345" s="9" t="n">
        <v>0</v>
      </c>
      <c r="G1345" s="9" t="n">
        <v>-675881.02</v>
      </c>
      <c r="H1345" s="9">
        <f>IF(D1345="USD",E1345*$N$1,E1345)</f>
        <v/>
      </c>
      <c r="I1345" s="9">
        <f>IF(D1345="USD",F1345*$N$1,F1345)</f>
        <v/>
      </c>
      <c r="J1345" s="9">
        <f>IF(D1345="USD",G1345*$N$1,G1345)</f>
        <v/>
      </c>
      <c r="K1345" s="9">
        <f>H1345+I1345</f>
        <v/>
      </c>
    </row>
    <row r="1346">
      <c r="A1346" s="8" t="n">
        <v>46178</v>
      </c>
      <c r="B1346" t="inlineStr">
        <is>
          <t>2026-W23</t>
        </is>
      </c>
      <c r="C1346" t="inlineStr">
        <is>
          <t>Shift4</t>
        </is>
      </c>
      <c r="D1346" t="inlineStr">
        <is>
          <t>EUR</t>
        </is>
      </c>
      <c r="E1346" s="9" t="n">
        <v>525829.5699999999</v>
      </c>
      <c r="F1346" s="9" t="n">
        <v>-5458.67</v>
      </c>
      <c r="G1346" s="9" t="n">
        <v>0</v>
      </c>
      <c r="H1346" s="9">
        <f>IF(D1346="USD",E1346*$N$1,E1346)</f>
        <v/>
      </c>
      <c r="I1346" s="9">
        <f>IF(D1346="USD",F1346*$N$1,F1346)</f>
        <v/>
      </c>
      <c r="J1346" s="9">
        <f>IF(D1346="USD",G1346*$N$1,G1346)</f>
        <v/>
      </c>
      <c r="K1346" s="9">
        <f>H1346+I1346</f>
        <v/>
      </c>
    </row>
    <row r="1347">
      <c r="A1347" s="8" t="n">
        <v>46179</v>
      </c>
      <c r="B1347" t="inlineStr">
        <is>
          <t>2026-W23</t>
        </is>
      </c>
      <c r="C1347" t="inlineStr">
        <is>
          <t>Adyen</t>
        </is>
      </c>
      <c r="D1347" t="inlineStr">
        <is>
          <t>EUR</t>
        </is>
      </c>
      <c r="E1347" s="9" t="n">
        <v>504592.47</v>
      </c>
      <c r="F1347" s="9" t="n">
        <v>0</v>
      </c>
      <c r="G1347" s="9" t="n">
        <v>0</v>
      </c>
      <c r="H1347" s="9">
        <f>IF(D1347="USD",E1347*$N$1,E1347)</f>
        <v/>
      </c>
      <c r="I1347" s="9">
        <f>IF(D1347="USD",F1347*$N$1,F1347)</f>
        <v/>
      </c>
      <c r="J1347" s="9">
        <f>IF(D1347="USD",G1347*$N$1,G1347)</f>
        <v/>
      </c>
      <c r="K1347" s="9">
        <f>H1347+I1347</f>
        <v/>
      </c>
    </row>
    <row r="1348">
      <c r="A1348" s="8" t="n">
        <v>46179</v>
      </c>
      <c r="B1348" t="inlineStr">
        <is>
          <t>2026-W23</t>
        </is>
      </c>
      <c r="C1348" t="inlineStr">
        <is>
          <t>Adyen</t>
        </is>
      </c>
      <c r="D1348" t="inlineStr">
        <is>
          <t>EUR</t>
        </is>
      </c>
      <c r="E1348" s="9" t="n">
        <v>46804.6</v>
      </c>
      <c r="F1348" s="9" t="n">
        <v>0</v>
      </c>
      <c r="G1348" s="9" t="n">
        <v>0</v>
      </c>
      <c r="H1348" s="9">
        <f>IF(D1348="USD",E1348*$N$1,E1348)</f>
        <v/>
      </c>
      <c r="I1348" s="9">
        <f>IF(D1348="USD",F1348*$N$1,F1348)</f>
        <v/>
      </c>
      <c r="J1348" s="9">
        <f>IF(D1348="USD",G1348*$N$1,G1348)</f>
        <v/>
      </c>
      <c r="K1348" s="9">
        <f>H1348+I1348</f>
        <v/>
      </c>
    </row>
    <row r="1349">
      <c r="A1349" s="8" t="n">
        <v>46179</v>
      </c>
      <c r="B1349" t="inlineStr">
        <is>
          <t>2026-W23</t>
        </is>
      </c>
      <c r="C1349" t="inlineStr">
        <is>
          <t>Nuvei</t>
        </is>
      </c>
      <c r="D1349" t="inlineStr">
        <is>
          <t>EUR</t>
        </is>
      </c>
      <c r="E1349" s="9" t="n">
        <v>321511.8</v>
      </c>
      <c r="F1349" s="9" t="n">
        <v>-5322.25</v>
      </c>
      <c r="G1349" s="9" t="n">
        <v>0</v>
      </c>
      <c r="H1349" s="9">
        <f>IF(D1349="USD",E1349*$N$1,E1349)</f>
        <v/>
      </c>
      <c r="I1349" s="9">
        <f>IF(D1349="USD",F1349*$N$1,F1349)</f>
        <v/>
      </c>
      <c r="J1349" s="9">
        <f>IF(D1349="USD",G1349*$N$1,G1349)</f>
        <v/>
      </c>
      <c r="K1349" s="9">
        <f>H1349+I1349</f>
        <v/>
      </c>
    </row>
    <row r="1350">
      <c r="A1350" s="8" t="n">
        <v>46179</v>
      </c>
      <c r="B1350" t="inlineStr">
        <is>
          <t>2026-W23</t>
        </is>
      </c>
      <c r="C1350" t="inlineStr">
        <is>
          <t>Nuvei</t>
        </is>
      </c>
      <c r="D1350" t="inlineStr">
        <is>
          <t>EUR</t>
        </is>
      </c>
      <c r="E1350" s="9" t="n">
        <v>165498.12</v>
      </c>
      <c r="F1350" s="9" t="n">
        <v>-4599.45</v>
      </c>
      <c r="G1350" s="9" t="n">
        <v>0</v>
      </c>
      <c r="H1350" s="9">
        <f>IF(D1350="USD",E1350*$N$1,E1350)</f>
        <v/>
      </c>
      <c r="I1350" s="9">
        <f>IF(D1350="USD",F1350*$N$1,F1350)</f>
        <v/>
      </c>
      <c r="J1350" s="9">
        <f>IF(D1350="USD",G1350*$N$1,G1350)</f>
        <v/>
      </c>
      <c r="K1350" s="9">
        <f>H1350+I1350</f>
        <v/>
      </c>
    </row>
    <row r="1351">
      <c r="A1351" s="8" t="n">
        <v>46179</v>
      </c>
      <c r="B1351" t="inlineStr">
        <is>
          <t>2026-W23</t>
        </is>
      </c>
      <c r="C1351" t="inlineStr">
        <is>
          <t>Nuvei</t>
        </is>
      </c>
      <c r="D1351" t="inlineStr">
        <is>
          <t>EUR</t>
        </is>
      </c>
      <c r="E1351" s="9" t="n">
        <v>45252.62</v>
      </c>
      <c r="F1351" s="9" t="n">
        <v>-1146.16</v>
      </c>
      <c r="G1351" s="9" t="n">
        <v>0</v>
      </c>
      <c r="H1351" s="9">
        <f>IF(D1351="USD",E1351*$N$1,E1351)</f>
        <v/>
      </c>
      <c r="I1351" s="9">
        <f>IF(D1351="USD",F1351*$N$1,F1351)</f>
        <v/>
      </c>
      <c r="J1351" s="9">
        <f>IF(D1351="USD",G1351*$N$1,G1351)</f>
        <v/>
      </c>
      <c r="K1351" s="9">
        <f>H1351+I1351</f>
        <v/>
      </c>
    </row>
    <row r="1352">
      <c r="A1352" s="8" t="n">
        <v>46179</v>
      </c>
      <c r="B1352" t="inlineStr">
        <is>
          <t>2026-W23</t>
        </is>
      </c>
      <c r="C1352" t="inlineStr">
        <is>
          <t>Shift4</t>
        </is>
      </c>
      <c r="D1352" t="inlineStr">
        <is>
          <t>EUR</t>
        </is>
      </c>
      <c r="E1352" s="9" t="n">
        <v>502638.33</v>
      </c>
      <c r="F1352" s="9" t="n">
        <v>-4875.75</v>
      </c>
      <c r="G1352" s="9" t="n">
        <v>0</v>
      </c>
      <c r="H1352" s="9">
        <f>IF(D1352="USD",E1352*$N$1,E1352)</f>
        <v/>
      </c>
      <c r="I1352" s="9">
        <f>IF(D1352="USD",F1352*$N$1,F1352)</f>
        <v/>
      </c>
      <c r="J1352" s="9">
        <f>IF(D1352="USD",G1352*$N$1,G1352)</f>
        <v/>
      </c>
      <c r="K1352" s="9">
        <f>H1352+I1352</f>
        <v/>
      </c>
    </row>
    <row r="1353">
      <c r="A1353" s="8" t="n">
        <v>46180</v>
      </c>
      <c r="B1353" t="inlineStr">
        <is>
          <t>2026-W23</t>
        </is>
      </c>
      <c r="C1353" t="inlineStr">
        <is>
          <t>Adyen</t>
        </is>
      </c>
      <c r="D1353" t="inlineStr">
        <is>
          <t>EUR</t>
        </is>
      </c>
      <c r="E1353" s="9" t="n">
        <v>542290.33</v>
      </c>
      <c r="F1353" s="9" t="n">
        <v>0</v>
      </c>
      <c r="G1353" s="9" t="n">
        <v>0</v>
      </c>
      <c r="H1353" s="9">
        <f>IF(D1353="USD",E1353*$N$1,E1353)</f>
        <v/>
      </c>
      <c r="I1353" s="9">
        <f>IF(D1353="USD",F1353*$N$1,F1353)</f>
        <v/>
      </c>
      <c r="J1353" s="9">
        <f>IF(D1353="USD",G1353*$N$1,G1353)</f>
        <v/>
      </c>
      <c r="K1353" s="9">
        <f>H1353+I1353</f>
        <v/>
      </c>
    </row>
    <row r="1354">
      <c r="A1354" s="8" t="n">
        <v>46180</v>
      </c>
      <c r="B1354" t="inlineStr">
        <is>
          <t>2026-W23</t>
        </is>
      </c>
      <c r="C1354" t="inlineStr">
        <is>
          <t>Adyen</t>
        </is>
      </c>
      <c r="D1354" t="inlineStr">
        <is>
          <t>EUR</t>
        </is>
      </c>
      <c r="E1354" s="9" t="n">
        <v>41237.38</v>
      </c>
      <c r="F1354" s="9" t="n">
        <v>0</v>
      </c>
      <c r="G1354" s="9" t="n">
        <v>0</v>
      </c>
      <c r="H1354" s="9">
        <f>IF(D1354="USD",E1354*$N$1,E1354)</f>
        <v/>
      </c>
      <c r="I1354" s="9">
        <f>IF(D1354="USD",F1354*$N$1,F1354)</f>
        <v/>
      </c>
      <c r="J1354" s="9">
        <f>IF(D1354="USD",G1354*$N$1,G1354)</f>
        <v/>
      </c>
      <c r="K1354" s="9">
        <f>H1354+I1354</f>
        <v/>
      </c>
    </row>
    <row r="1355">
      <c r="A1355" s="8" t="n">
        <v>46180</v>
      </c>
      <c r="B1355" t="inlineStr">
        <is>
          <t>2026-W23</t>
        </is>
      </c>
      <c r="C1355" t="inlineStr">
        <is>
          <t>Nuvei</t>
        </is>
      </c>
      <c r="D1355" t="inlineStr">
        <is>
          <t>EUR</t>
        </is>
      </c>
      <c r="E1355" s="9" t="n">
        <v>358267.42</v>
      </c>
      <c r="F1355" s="9" t="n">
        <v>-5473.35</v>
      </c>
      <c r="G1355" s="9" t="n">
        <v>0</v>
      </c>
      <c r="H1355" s="9">
        <f>IF(D1355="USD",E1355*$N$1,E1355)</f>
        <v/>
      </c>
      <c r="I1355" s="9">
        <f>IF(D1355="USD",F1355*$N$1,F1355)</f>
        <v/>
      </c>
      <c r="J1355" s="9">
        <f>IF(D1355="USD",G1355*$N$1,G1355)</f>
        <v/>
      </c>
      <c r="K1355" s="9">
        <f>H1355+I1355</f>
        <v/>
      </c>
    </row>
    <row r="1356">
      <c r="A1356" s="8" t="n">
        <v>46180</v>
      </c>
      <c r="B1356" t="inlineStr">
        <is>
          <t>2026-W23</t>
        </is>
      </c>
      <c r="C1356" t="inlineStr">
        <is>
          <t>Nuvei</t>
        </is>
      </c>
      <c r="D1356" t="inlineStr">
        <is>
          <t>EUR</t>
        </is>
      </c>
      <c r="E1356" s="9" t="n">
        <v>129159.02</v>
      </c>
      <c r="F1356" s="9" t="n">
        <v>-3649.52</v>
      </c>
      <c r="G1356" s="9" t="n">
        <v>0</v>
      </c>
      <c r="H1356" s="9">
        <f>IF(D1356="USD",E1356*$N$1,E1356)</f>
        <v/>
      </c>
      <c r="I1356" s="9">
        <f>IF(D1356="USD",F1356*$N$1,F1356)</f>
        <v/>
      </c>
      <c r="J1356" s="9">
        <f>IF(D1356="USD",G1356*$N$1,G1356)</f>
        <v/>
      </c>
      <c r="K1356" s="9">
        <f>H1356+I1356</f>
        <v/>
      </c>
    </row>
    <row r="1357">
      <c r="A1357" s="8" t="n">
        <v>46180</v>
      </c>
      <c r="B1357" t="inlineStr">
        <is>
          <t>2026-W23</t>
        </is>
      </c>
      <c r="C1357" t="inlineStr">
        <is>
          <t>Nuvei</t>
        </is>
      </c>
      <c r="D1357" t="inlineStr">
        <is>
          <t>EUR</t>
        </is>
      </c>
      <c r="E1357" s="9" t="n">
        <v>21042.03</v>
      </c>
      <c r="F1357" s="9" t="n">
        <v>-589.92</v>
      </c>
      <c r="G1357" s="9" t="n">
        <v>0</v>
      </c>
      <c r="H1357" s="9">
        <f>IF(D1357="USD",E1357*$N$1,E1357)</f>
        <v/>
      </c>
      <c r="I1357" s="9">
        <f>IF(D1357="USD",F1357*$N$1,F1357)</f>
        <v/>
      </c>
      <c r="J1357" s="9">
        <f>IF(D1357="USD",G1357*$N$1,G1357)</f>
        <v/>
      </c>
      <c r="K1357" s="9">
        <f>H1357+I1357</f>
        <v/>
      </c>
    </row>
    <row r="1358">
      <c r="A1358" s="8" t="n">
        <v>46180</v>
      </c>
      <c r="B1358" t="inlineStr">
        <is>
          <t>2026-W23</t>
        </is>
      </c>
      <c r="C1358" t="inlineStr">
        <is>
          <t>Shift4</t>
        </is>
      </c>
      <c r="D1358" t="inlineStr">
        <is>
          <t>EUR</t>
        </is>
      </c>
      <c r="E1358" s="9" t="n">
        <v>606274.3</v>
      </c>
      <c r="F1358" s="9" t="n">
        <v>-5841.35</v>
      </c>
      <c r="G1358" s="9" t="n">
        <v>0</v>
      </c>
      <c r="H1358" s="9">
        <f>IF(D1358="USD",E1358*$N$1,E1358)</f>
        <v/>
      </c>
      <c r="I1358" s="9">
        <f>IF(D1358="USD",F1358*$N$1,F1358)</f>
        <v/>
      </c>
      <c r="J1358" s="9">
        <f>IF(D1358="USD",G1358*$N$1,G1358)</f>
        <v/>
      </c>
      <c r="K1358" s="9">
        <f>H1358+I1358</f>
        <v/>
      </c>
    </row>
    <row r="1359">
      <c r="A1359" s="8" t="n">
        <v>46181</v>
      </c>
      <c r="B1359" t="inlineStr">
        <is>
          <t>2026-W24</t>
        </is>
      </c>
      <c r="C1359" t="inlineStr">
        <is>
          <t>Adyen</t>
        </is>
      </c>
      <c r="D1359" t="inlineStr">
        <is>
          <t>EUR</t>
        </is>
      </c>
      <c r="E1359" s="9" t="n">
        <v>0</v>
      </c>
      <c r="F1359" s="9" t="n">
        <v>0</v>
      </c>
      <c r="G1359" s="9" t="n">
        <v>-1654999.07</v>
      </c>
      <c r="H1359" s="9">
        <f>IF(D1359="USD",E1359*$N$1,E1359)</f>
        <v/>
      </c>
      <c r="I1359" s="9">
        <f>IF(D1359="USD",F1359*$N$1,F1359)</f>
        <v/>
      </c>
      <c r="J1359" s="9">
        <f>IF(D1359="USD",G1359*$N$1,G1359)</f>
        <v/>
      </c>
      <c r="K1359" s="9">
        <f>H1359+I1359</f>
        <v/>
      </c>
    </row>
    <row r="1360">
      <c r="A1360" s="8" t="n">
        <v>46181</v>
      </c>
      <c r="B1360" t="inlineStr">
        <is>
          <t>2026-W24</t>
        </is>
      </c>
      <c r="C1360" t="inlineStr">
        <is>
          <t>Adyen</t>
        </is>
      </c>
      <c r="D1360" t="inlineStr">
        <is>
          <t>EUR</t>
        </is>
      </c>
      <c r="E1360" s="9" t="n">
        <v>843197.9</v>
      </c>
      <c r="F1360" s="9" t="n">
        <v>-98330.89999999991</v>
      </c>
      <c r="G1360" s="9" t="n">
        <v>0</v>
      </c>
      <c r="H1360" s="9">
        <f>IF(D1360="USD",E1360*$N$1,E1360)</f>
        <v/>
      </c>
      <c r="I1360" s="9">
        <f>IF(D1360="USD",F1360*$N$1,F1360)</f>
        <v/>
      </c>
      <c r="J1360" s="9">
        <f>IF(D1360="USD",G1360*$N$1,G1360)</f>
        <v/>
      </c>
      <c r="K1360" s="9">
        <f>H1360+I1360</f>
        <v/>
      </c>
    </row>
    <row r="1361">
      <c r="A1361" s="8" t="n">
        <v>46181</v>
      </c>
      <c r="B1361" t="inlineStr">
        <is>
          <t>2026-W24</t>
        </is>
      </c>
      <c r="C1361" t="inlineStr">
        <is>
          <t>Adyen</t>
        </is>
      </c>
      <c r="D1361" t="inlineStr">
        <is>
          <t>EUR</t>
        </is>
      </c>
      <c r="E1361" s="9" t="n">
        <v>92370.58</v>
      </c>
      <c r="F1361" s="9" t="n">
        <v>0</v>
      </c>
      <c r="G1361" s="9" t="n">
        <v>0</v>
      </c>
      <c r="H1361" s="9">
        <f>IF(D1361="USD",E1361*$N$1,E1361)</f>
        <v/>
      </c>
      <c r="I1361" s="9">
        <f>IF(D1361="USD",F1361*$N$1,F1361)</f>
        <v/>
      </c>
      <c r="J1361" s="9">
        <f>IF(D1361="USD",G1361*$N$1,G1361)</f>
        <v/>
      </c>
      <c r="K1361" s="9">
        <f>H1361+I1361</f>
        <v/>
      </c>
    </row>
    <row r="1362">
      <c r="A1362" s="8" t="n">
        <v>46181</v>
      </c>
      <c r="B1362" t="inlineStr">
        <is>
          <t>2026-W24</t>
        </is>
      </c>
      <c r="C1362" t="inlineStr">
        <is>
          <t>Nuvei</t>
        </is>
      </c>
      <c r="D1362" t="inlineStr">
        <is>
          <t>EUR</t>
        </is>
      </c>
      <c r="E1362" s="9" t="n">
        <v>0</v>
      </c>
      <c r="F1362" s="9" t="n">
        <v>0</v>
      </c>
      <c r="G1362" s="9" t="n">
        <v>-409946.62</v>
      </c>
      <c r="H1362" s="9">
        <f>IF(D1362="USD",E1362*$N$1,E1362)</f>
        <v/>
      </c>
      <c r="I1362" s="9">
        <f>IF(D1362="USD",F1362*$N$1,F1362)</f>
        <v/>
      </c>
      <c r="J1362" s="9">
        <f>IF(D1362="USD",G1362*$N$1,G1362)</f>
        <v/>
      </c>
      <c r="K1362" s="9">
        <f>H1362+I1362</f>
        <v/>
      </c>
    </row>
    <row r="1363">
      <c r="A1363" s="8" t="n">
        <v>46181</v>
      </c>
      <c r="B1363" t="inlineStr">
        <is>
          <t>2026-W24</t>
        </is>
      </c>
      <c r="C1363" t="inlineStr">
        <is>
          <t>Nuvei</t>
        </is>
      </c>
      <c r="D1363" t="inlineStr">
        <is>
          <t>EUR</t>
        </is>
      </c>
      <c r="E1363" s="9" t="n">
        <v>0</v>
      </c>
      <c r="F1363" s="9" t="n">
        <v>0</v>
      </c>
      <c r="G1363" s="9" t="n">
        <v>-167765.45</v>
      </c>
      <c r="H1363" s="9">
        <f>IF(D1363="USD",E1363*$N$1,E1363)</f>
        <v/>
      </c>
      <c r="I1363" s="9">
        <f>IF(D1363="USD",F1363*$N$1,F1363)</f>
        <v/>
      </c>
      <c r="J1363" s="9">
        <f>IF(D1363="USD",G1363*$N$1,G1363)</f>
        <v/>
      </c>
      <c r="K1363" s="9">
        <f>H1363+I1363</f>
        <v/>
      </c>
    </row>
    <row r="1364">
      <c r="A1364" s="8" t="n">
        <v>46181</v>
      </c>
      <c r="B1364" t="inlineStr">
        <is>
          <t>2026-W24</t>
        </is>
      </c>
      <c r="C1364" t="inlineStr">
        <is>
          <t>Nuvei</t>
        </is>
      </c>
      <c r="D1364" t="inlineStr">
        <is>
          <t>EUR</t>
        </is>
      </c>
      <c r="E1364" s="9" t="n">
        <v>448090.71</v>
      </c>
      <c r="F1364" s="9" t="n">
        <v>-7542.5</v>
      </c>
      <c r="G1364" s="9" t="n">
        <v>0</v>
      </c>
      <c r="H1364" s="9">
        <f>IF(D1364="USD",E1364*$N$1,E1364)</f>
        <v/>
      </c>
      <c r="I1364" s="9">
        <f>IF(D1364="USD",F1364*$N$1,F1364)</f>
        <v/>
      </c>
      <c r="J1364" s="9">
        <f>IF(D1364="USD",G1364*$N$1,G1364)</f>
        <v/>
      </c>
      <c r="K1364" s="9">
        <f>H1364+I1364</f>
        <v/>
      </c>
    </row>
    <row r="1365">
      <c r="A1365" s="8" t="n">
        <v>46181</v>
      </c>
      <c r="B1365" t="inlineStr">
        <is>
          <t>2026-W24</t>
        </is>
      </c>
      <c r="C1365" t="inlineStr">
        <is>
          <t>Nuvei</t>
        </is>
      </c>
      <c r="D1365" t="inlineStr">
        <is>
          <t>EUR</t>
        </is>
      </c>
      <c r="E1365" s="9" t="n">
        <v>164381.5</v>
      </c>
      <c r="F1365" s="9" t="n">
        <v>-4437.84</v>
      </c>
      <c r="G1365" s="9" t="n">
        <v>0</v>
      </c>
      <c r="H1365" s="9">
        <f>IF(D1365="USD",E1365*$N$1,E1365)</f>
        <v/>
      </c>
      <c r="I1365" s="9">
        <f>IF(D1365="USD",F1365*$N$1,F1365)</f>
        <v/>
      </c>
      <c r="J1365" s="9">
        <f>IF(D1365="USD",G1365*$N$1,G1365)</f>
        <v/>
      </c>
      <c r="K1365" s="9">
        <f>H1365+I1365</f>
        <v/>
      </c>
    </row>
    <row r="1366">
      <c r="A1366" s="8" t="n">
        <v>46181</v>
      </c>
      <c r="B1366" t="inlineStr">
        <is>
          <t>2026-W24</t>
        </is>
      </c>
      <c r="C1366" t="inlineStr">
        <is>
          <t>Nuvei</t>
        </is>
      </c>
      <c r="D1366" t="inlineStr">
        <is>
          <t>EUR</t>
        </is>
      </c>
      <c r="E1366" s="9" t="n">
        <v>11620.55</v>
      </c>
      <c r="F1366" s="9" t="n">
        <v>-358.69</v>
      </c>
      <c r="G1366" s="9" t="n">
        <v>0</v>
      </c>
      <c r="H1366" s="9">
        <f>IF(D1366="USD",E1366*$N$1,E1366)</f>
        <v/>
      </c>
      <c r="I1366" s="9">
        <f>IF(D1366="USD",F1366*$N$1,F1366)</f>
        <v/>
      </c>
      <c r="J1366" s="9">
        <f>IF(D1366="USD",G1366*$N$1,G1366)</f>
        <v/>
      </c>
      <c r="K1366" s="9">
        <f>H1366+I1366</f>
        <v/>
      </c>
    </row>
    <row r="1367">
      <c r="A1367" s="8" t="n">
        <v>46181</v>
      </c>
      <c r="B1367" t="inlineStr">
        <is>
          <t>2026-W24</t>
        </is>
      </c>
      <c r="C1367" t="inlineStr">
        <is>
          <t>Shift4</t>
        </is>
      </c>
      <c r="D1367" t="inlineStr">
        <is>
          <t>EUR</t>
        </is>
      </c>
      <c r="E1367" s="9" t="n">
        <v>0</v>
      </c>
      <c r="F1367" s="9" t="n">
        <v>0</v>
      </c>
      <c r="G1367" s="9" t="n">
        <v>-651691.41</v>
      </c>
      <c r="H1367" s="9">
        <f>IF(D1367="USD",E1367*$N$1,E1367)</f>
        <v/>
      </c>
      <c r="I1367" s="9">
        <f>IF(D1367="USD",F1367*$N$1,F1367)</f>
        <v/>
      </c>
      <c r="J1367" s="9">
        <f>IF(D1367="USD",G1367*$N$1,G1367)</f>
        <v/>
      </c>
      <c r="K1367" s="9">
        <f>H1367+I1367</f>
        <v/>
      </c>
    </row>
    <row r="1368">
      <c r="A1368" s="8" t="n">
        <v>46181</v>
      </c>
      <c r="B1368" t="inlineStr">
        <is>
          <t>2026-W24</t>
        </is>
      </c>
      <c r="C1368" t="inlineStr">
        <is>
          <t>Shift4</t>
        </is>
      </c>
      <c r="D1368" t="inlineStr">
        <is>
          <t>EUR</t>
        </is>
      </c>
      <c r="E1368" s="9" t="n">
        <v>682896.83</v>
      </c>
      <c r="F1368" s="9" t="n">
        <v>-7194.98</v>
      </c>
      <c r="G1368" s="9" t="n">
        <v>0</v>
      </c>
      <c r="H1368" s="9">
        <f>IF(D1368="USD",E1368*$N$1,E1368)</f>
        <v/>
      </c>
      <c r="I1368" s="9">
        <f>IF(D1368="USD",F1368*$N$1,F1368)</f>
        <v/>
      </c>
      <c r="J1368" s="9">
        <f>IF(D1368="USD",G1368*$N$1,G1368)</f>
        <v/>
      </c>
      <c r="K1368" s="9">
        <f>H1368+I1368</f>
        <v/>
      </c>
    </row>
    <row r="1369">
      <c r="A1369" s="8" t="n">
        <v>46182</v>
      </c>
      <c r="B1369" t="inlineStr">
        <is>
          <t>2026-W24</t>
        </is>
      </c>
      <c r="C1369" t="inlineStr">
        <is>
          <t>Adyen</t>
        </is>
      </c>
      <c r="D1369" t="inlineStr">
        <is>
          <t>EUR</t>
        </is>
      </c>
      <c r="E1369" s="9" t="n">
        <v>0</v>
      </c>
      <c r="F1369" s="9" t="n">
        <v>0</v>
      </c>
      <c r="G1369" s="9" t="n">
        <v>-1903901.88</v>
      </c>
      <c r="H1369" s="9">
        <f>IF(D1369="USD",E1369*$N$1,E1369)</f>
        <v/>
      </c>
      <c r="I1369" s="9">
        <f>IF(D1369="USD",F1369*$N$1,F1369)</f>
        <v/>
      </c>
      <c r="J1369" s="9">
        <f>IF(D1369="USD",G1369*$N$1,G1369)</f>
        <v/>
      </c>
      <c r="K1369" s="9">
        <f>H1369+I1369</f>
        <v/>
      </c>
    </row>
    <row r="1370">
      <c r="A1370" s="8" t="n">
        <v>46182</v>
      </c>
      <c r="B1370" t="inlineStr">
        <is>
          <t>2026-W24</t>
        </is>
      </c>
      <c r="C1370" t="inlineStr">
        <is>
          <t>Adyen</t>
        </is>
      </c>
      <c r="D1370" t="inlineStr">
        <is>
          <t>EUR</t>
        </is>
      </c>
      <c r="E1370" s="9" t="n">
        <v>829448.1800000001</v>
      </c>
      <c r="F1370" s="9" t="n">
        <v>81000.05999999994</v>
      </c>
      <c r="G1370" s="9" t="n">
        <v>0</v>
      </c>
      <c r="H1370" s="9">
        <f>IF(D1370="USD",E1370*$N$1,E1370)</f>
        <v/>
      </c>
      <c r="I1370" s="9">
        <f>IF(D1370="USD",F1370*$N$1,F1370)</f>
        <v/>
      </c>
      <c r="J1370" s="9">
        <f>IF(D1370="USD",G1370*$N$1,G1370)</f>
        <v/>
      </c>
      <c r="K1370" s="9">
        <f>H1370+I1370</f>
        <v/>
      </c>
    </row>
    <row r="1371">
      <c r="A1371" s="8" t="n">
        <v>46182</v>
      </c>
      <c r="B1371" t="inlineStr">
        <is>
          <t>2026-W24</t>
        </is>
      </c>
      <c r="C1371" t="inlineStr">
        <is>
          <t>Adyen</t>
        </is>
      </c>
      <c r="D1371" t="inlineStr">
        <is>
          <t>EUR</t>
        </is>
      </c>
      <c r="E1371" s="9" t="n">
        <v>83712.5</v>
      </c>
      <c r="F1371" s="9" t="n">
        <v>0</v>
      </c>
      <c r="G1371" s="9" t="n">
        <v>0</v>
      </c>
      <c r="H1371" s="9">
        <f>IF(D1371="USD",E1371*$N$1,E1371)</f>
        <v/>
      </c>
      <c r="I1371" s="9">
        <f>IF(D1371="USD",F1371*$N$1,F1371)</f>
        <v/>
      </c>
      <c r="J1371" s="9">
        <f>IF(D1371="USD",G1371*$N$1,G1371)</f>
        <v/>
      </c>
      <c r="K1371" s="9">
        <f>H1371+I1371</f>
        <v/>
      </c>
    </row>
    <row r="1372">
      <c r="A1372" s="8" t="n">
        <v>46182</v>
      </c>
      <c r="B1372" t="inlineStr">
        <is>
          <t>2026-W24</t>
        </is>
      </c>
      <c r="C1372" t="inlineStr">
        <is>
          <t>Nuvei</t>
        </is>
      </c>
      <c r="D1372" t="inlineStr">
        <is>
          <t>EUR</t>
        </is>
      </c>
      <c r="E1372" s="9" t="n">
        <v>0</v>
      </c>
      <c r="F1372" s="9" t="n">
        <v>0</v>
      </c>
      <c r="G1372" s="9" t="n">
        <v>-472713.33</v>
      </c>
      <c r="H1372" s="9">
        <f>IF(D1372="USD",E1372*$N$1,E1372)</f>
        <v/>
      </c>
      <c r="I1372" s="9">
        <f>IF(D1372="USD",F1372*$N$1,F1372)</f>
        <v/>
      </c>
      <c r="J1372" s="9">
        <f>IF(D1372="USD",G1372*$N$1,G1372)</f>
        <v/>
      </c>
      <c r="K1372" s="9">
        <f>H1372+I1372</f>
        <v/>
      </c>
    </row>
    <row r="1373">
      <c r="A1373" s="8" t="n">
        <v>46182</v>
      </c>
      <c r="B1373" t="inlineStr">
        <is>
          <t>2026-W24</t>
        </is>
      </c>
      <c r="C1373" t="inlineStr">
        <is>
          <t>Nuvei</t>
        </is>
      </c>
      <c r="D1373" t="inlineStr">
        <is>
          <t>EUR</t>
        </is>
      </c>
      <c r="E1373" s="9" t="n">
        <v>0</v>
      </c>
      <c r="F1373" s="9" t="n">
        <v>0</v>
      </c>
      <c r="G1373" s="9" t="n">
        <v>-169936.04</v>
      </c>
      <c r="H1373" s="9">
        <f>IF(D1373="USD",E1373*$N$1,E1373)</f>
        <v/>
      </c>
      <c r="I1373" s="9">
        <f>IF(D1373="USD",F1373*$N$1,F1373)</f>
        <v/>
      </c>
      <c r="J1373" s="9">
        <f>IF(D1373="USD",G1373*$N$1,G1373)</f>
        <v/>
      </c>
      <c r="K1373" s="9">
        <f>H1373+I1373</f>
        <v/>
      </c>
    </row>
    <row r="1374">
      <c r="A1374" s="8" t="n">
        <v>46182</v>
      </c>
      <c r="B1374" t="inlineStr">
        <is>
          <t>2026-W24</t>
        </is>
      </c>
      <c r="C1374" t="inlineStr">
        <is>
          <t>Nuvei</t>
        </is>
      </c>
      <c r="D1374" t="inlineStr">
        <is>
          <t>EUR</t>
        </is>
      </c>
      <c r="E1374" s="9" t="n">
        <v>490804.25</v>
      </c>
      <c r="F1374" s="9" t="n">
        <v>-8702.190000000001</v>
      </c>
      <c r="G1374" s="9" t="n">
        <v>0</v>
      </c>
      <c r="H1374" s="9">
        <f>IF(D1374="USD",E1374*$N$1,E1374)</f>
        <v/>
      </c>
      <c r="I1374" s="9">
        <f>IF(D1374="USD",F1374*$N$1,F1374)</f>
        <v/>
      </c>
      <c r="J1374" s="9">
        <f>IF(D1374="USD",G1374*$N$1,G1374)</f>
        <v/>
      </c>
      <c r="K1374" s="9">
        <f>H1374+I1374</f>
        <v/>
      </c>
    </row>
    <row r="1375">
      <c r="A1375" s="8" t="n">
        <v>46182</v>
      </c>
      <c r="B1375" t="inlineStr">
        <is>
          <t>2026-W24</t>
        </is>
      </c>
      <c r="C1375" t="inlineStr">
        <is>
          <t>Nuvei</t>
        </is>
      </c>
      <c r="D1375" t="inlineStr">
        <is>
          <t>EUR</t>
        </is>
      </c>
      <c r="E1375" s="9" t="n">
        <v>185390.04</v>
      </c>
      <c r="F1375" s="9" t="n">
        <v>-5148.01</v>
      </c>
      <c r="G1375" s="9" t="n">
        <v>0</v>
      </c>
      <c r="H1375" s="9">
        <f>IF(D1375="USD",E1375*$N$1,E1375)</f>
        <v/>
      </c>
      <c r="I1375" s="9">
        <f>IF(D1375="USD",F1375*$N$1,F1375)</f>
        <v/>
      </c>
      <c r="J1375" s="9">
        <f>IF(D1375="USD",G1375*$N$1,G1375)</f>
        <v/>
      </c>
      <c r="K1375" s="9">
        <f>H1375+I1375</f>
        <v/>
      </c>
    </row>
    <row r="1376">
      <c r="A1376" s="8" t="n">
        <v>46182</v>
      </c>
      <c r="B1376" t="inlineStr">
        <is>
          <t>2026-W24</t>
        </is>
      </c>
      <c r="C1376" t="inlineStr">
        <is>
          <t>Nuvei</t>
        </is>
      </c>
      <c r="D1376" t="inlineStr">
        <is>
          <t>EUR</t>
        </is>
      </c>
      <c r="E1376" s="9" t="n">
        <v>49811.69</v>
      </c>
      <c r="F1376" s="9" t="n">
        <v>-1286.36</v>
      </c>
      <c r="G1376" s="9" t="n">
        <v>0</v>
      </c>
      <c r="H1376" s="9">
        <f>IF(D1376="USD",E1376*$N$1,E1376)</f>
        <v/>
      </c>
      <c r="I1376" s="9">
        <f>IF(D1376="USD",F1376*$N$1,F1376)</f>
        <v/>
      </c>
      <c r="J1376" s="9">
        <f>IF(D1376="USD",G1376*$N$1,G1376)</f>
        <v/>
      </c>
      <c r="K1376" s="9">
        <f>H1376+I1376</f>
        <v/>
      </c>
    </row>
    <row r="1377">
      <c r="A1377" s="8" t="n">
        <v>46182</v>
      </c>
      <c r="B1377" t="inlineStr">
        <is>
          <t>2026-W24</t>
        </is>
      </c>
      <c r="C1377" t="inlineStr">
        <is>
          <t>Shift4</t>
        </is>
      </c>
      <c r="D1377" t="inlineStr">
        <is>
          <t>EUR</t>
        </is>
      </c>
      <c r="E1377" s="9" t="n">
        <v>0</v>
      </c>
      <c r="F1377" s="9" t="n">
        <v>0</v>
      </c>
      <c r="G1377" s="9" t="n">
        <v>-624301.3100000001</v>
      </c>
      <c r="H1377" s="9">
        <f>IF(D1377="USD",E1377*$N$1,E1377)</f>
        <v/>
      </c>
      <c r="I1377" s="9">
        <f>IF(D1377="USD",F1377*$N$1,F1377)</f>
        <v/>
      </c>
      <c r="J1377" s="9">
        <f>IF(D1377="USD",G1377*$N$1,G1377)</f>
        <v/>
      </c>
      <c r="K1377" s="9">
        <f>H1377+I1377</f>
        <v/>
      </c>
    </row>
    <row r="1378">
      <c r="A1378" s="8" t="n">
        <v>46182</v>
      </c>
      <c r="B1378" t="inlineStr">
        <is>
          <t>2026-W24</t>
        </is>
      </c>
      <c r="C1378" t="inlineStr">
        <is>
          <t>Shift4</t>
        </is>
      </c>
      <c r="D1378" t="inlineStr">
        <is>
          <t>EUR</t>
        </is>
      </c>
      <c r="E1378" s="9" t="n">
        <v>682589.15</v>
      </c>
      <c r="F1378" s="9" t="n">
        <v>-7268.57</v>
      </c>
      <c r="G1378" s="9" t="n">
        <v>0</v>
      </c>
      <c r="H1378" s="9">
        <f>IF(D1378="USD",E1378*$N$1,E1378)</f>
        <v/>
      </c>
      <c r="I1378" s="9">
        <f>IF(D1378="USD",F1378*$N$1,F1378)</f>
        <v/>
      </c>
      <c r="J1378" s="9">
        <f>IF(D1378="USD",G1378*$N$1,G1378)</f>
        <v/>
      </c>
      <c r="K1378" s="9">
        <f>H1378+I1378</f>
        <v/>
      </c>
    </row>
    <row r="1379">
      <c r="A1379" s="8" t="n">
        <v>46183</v>
      </c>
      <c r="B1379" t="inlineStr">
        <is>
          <t>2026-W24</t>
        </is>
      </c>
      <c r="C1379" t="inlineStr">
        <is>
          <t>Adyen</t>
        </is>
      </c>
      <c r="D1379" t="inlineStr">
        <is>
          <t>EUR</t>
        </is>
      </c>
      <c r="E1379" s="9" t="n">
        <v>0</v>
      </c>
      <c r="F1379" s="9" t="n">
        <v>0</v>
      </c>
      <c r="G1379" s="9" t="n">
        <v>-837237.5800000001</v>
      </c>
      <c r="H1379" s="9">
        <f>IF(D1379="USD",E1379*$N$1,E1379)</f>
        <v/>
      </c>
      <c r="I1379" s="9">
        <f>IF(D1379="USD",F1379*$N$1,F1379)</f>
        <v/>
      </c>
      <c r="J1379" s="9">
        <f>IF(D1379="USD",G1379*$N$1,G1379)</f>
        <v/>
      </c>
      <c r="K1379" s="9">
        <f>H1379+I1379</f>
        <v/>
      </c>
    </row>
    <row r="1380">
      <c r="A1380" s="8" t="n">
        <v>46183</v>
      </c>
      <c r="B1380" t="inlineStr">
        <is>
          <t>2026-W24</t>
        </is>
      </c>
      <c r="C1380" t="inlineStr">
        <is>
          <t>Adyen</t>
        </is>
      </c>
      <c r="D1380" t="inlineStr">
        <is>
          <t>EUR</t>
        </is>
      </c>
      <c r="E1380" s="9" t="n">
        <v>814312.48</v>
      </c>
      <c r="F1380" s="9" t="n">
        <v>-10070.42000000004</v>
      </c>
      <c r="G1380" s="9" t="n">
        <v>0</v>
      </c>
      <c r="H1380" s="9">
        <f>IF(D1380="USD",E1380*$N$1,E1380)</f>
        <v/>
      </c>
      <c r="I1380" s="9">
        <f>IF(D1380="USD",F1380*$N$1,F1380)</f>
        <v/>
      </c>
      <c r="J1380" s="9">
        <f>IF(D1380="USD",G1380*$N$1,G1380)</f>
        <v/>
      </c>
      <c r="K1380" s="9">
        <f>H1380+I1380</f>
        <v/>
      </c>
    </row>
    <row r="1381">
      <c r="A1381" s="8" t="n">
        <v>46183</v>
      </c>
      <c r="B1381" t="inlineStr">
        <is>
          <t>2026-W24</t>
        </is>
      </c>
      <c r="C1381" t="inlineStr">
        <is>
          <t>Adyen</t>
        </is>
      </c>
      <c r="D1381" t="inlineStr">
        <is>
          <t>EUR</t>
        </is>
      </c>
      <c r="E1381" s="9" t="n">
        <v>113072.38</v>
      </c>
      <c r="F1381" s="9" t="n">
        <v>0</v>
      </c>
      <c r="G1381" s="9" t="n">
        <v>0</v>
      </c>
      <c r="H1381" s="9">
        <f>IF(D1381="USD",E1381*$N$1,E1381)</f>
        <v/>
      </c>
      <c r="I1381" s="9">
        <f>IF(D1381="USD",F1381*$N$1,F1381)</f>
        <v/>
      </c>
      <c r="J1381" s="9">
        <f>IF(D1381="USD",G1381*$N$1,G1381)</f>
        <v/>
      </c>
      <c r="K1381" s="9">
        <f>H1381+I1381</f>
        <v/>
      </c>
    </row>
    <row r="1382">
      <c r="A1382" s="8" t="n">
        <v>46183</v>
      </c>
      <c r="B1382" t="inlineStr">
        <is>
          <t>2026-W24</t>
        </is>
      </c>
      <c r="C1382" t="inlineStr">
        <is>
          <t>Nuvei</t>
        </is>
      </c>
      <c r="D1382" t="inlineStr">
        <is>
          <t>EUR</t>
        </is>
      </c>
      <c r="E1382" s="9" t="n">
        <v>0</v>
      </c>
      <c r="F1382" s="9" t="n">
        <v>0</v>
      </c>
      <c r="G1382" s="9" t="n">
        <v>-499743.09</v>
      </c>
      <c r="H1382" s="9">
        <f>IF(D1382="USD",E1382*$N$1,E1382)</f>
        <v/>
      </c>
      <c r="I1382" s="9">
        <f>IF(D1382="USD",F1382*$N$1,F1382)</f>
        <v/>
      </c>
      <c r="J1382" s="9">
        <f>IF(D1382="USD",G1382*$N$1,G1382)</f>
        <v/>
      </c>
      <c r="K1382" s="9">
        <f>H1382+I1382</f>
        <v/>
      </c>
    </row>
    <row r="1383">
      <c r="A1383" s="8" t="n">
        <v>46183</v>
      </c>
      <c r="B1383" t="inlineStr">
        <is>
          <t>2026-W24</t>
        </is>
      </c>
      <c r="C1383" t="inlineStr">
        <is>
          <t>Nuvei</t>
        </is>
      </c>
      <c r="D1383" t="inlineStr">
        <is>
          <t>EUR</t>
        </is>
      </c>
      <c r="E1383" s="9" t="n">
        <v>0</v>
      </c>
      <c r="F1383" s="9" t="n">
        <v>0</v>
      </c>
      <c r="G1383" s="9" t="n">
        <v>-136664.04</v>
      </c>
      <c r="H1383" s="9">
        <f>IF(D1383="USD",E1383*$N$1,E1383)</f>
        <v/>
      </c>
      <c r="I1383" s="9">
        <f>IF(D1383="USD",F1383*$N$1,F1383)</f>
        <v/>
      </c>
      <c r="J1383" s="9">
        <f>IF(D1383="USD",G1383*$N$1,G1383)</f>
        <v/>
      </c>
      <c r="K1383" s="9">
        <f>H1383+I1383</f>
        <v/>
      </c>
    </row>
    <row r="1384">
      <c r="A1384" s="8" t="n">
        <v>46183</v>
      </c>
      <c r="B1384" t="inlineStr">
        <is>
          <t>2026-W24</t>
        </is>
      </c>
      <c r="C1384" t="inlineStr">
        <is>
          <t>Nuvei</t>
        </is>
      </c>
      <c r="D1384" t="inlineStr">
        <is>
          <t>EUR</t>
        </is>
      </c>
      <c r="E1384" s="9" t="n">
        <v>450943.47</v>
      </c>
      <c r="F1384" s="9" t="n">
        <v>-7578.62</v>
      </c>
      <c r="G1384" s="9" t="n">
        <v>0</v>
      </c>
      <c r="H1384" s="9">
        <f>IF(D1384="USD",E1384*$N$1,E1384)</f>
        <v/>
      </c>
      <c r="I1384" s="9">
        <f>IF(D1384="USD",F1384*$N$1,F1384)</f>
        <v/>
      </c>
      <c r="J1384" s="9">
        <f>IF(D1384="USD",G1384*$N$1,G1384)</f>
        <v/>
      </c>
      <c r="K1384" s="9">
        <f>H1384+I1384</f>
        <v/>
      </c>
    </row>
    <row r="1385">
      <c r="A1385" s="8" t="n">
        <v>46183</v>
      </c>
      <c r="B1385" t="inlineStr">
        <is>
          <t>2026-W24</t>
        </is>
      </c>
      <c r="C1385" t="inlineStr">
        <is>
          <t>Nuvei</t>
        </is>
      </c>
      <c r="D1385" t="inlineStr">
        <is>
          <t>EUR</t>
        </is>
      </c>
      <c r="E1385" s="9" t="n">
        <v>248845.54</v>
      </c>
      <c r="F1385" s="9" t="n">
        <v>-6975.92</v>
      </c>
      <c r="G1385" s="9" t="n">
        <v>0</v>
      </c>
      <c r="H1385" s="9">
        <f>IF(D1385="USD",E1385*$N$1,E1385)</f>
        <v/>
      </c>
      <c r="I1385" s="9">
        <f>IF(D1385="USD",F1385*$N$1,F1385)</f>
        <v/>
      </c>
      <c r="J1385" s="9">
        <f>IF(D1385="USD",G1385*$N$1,G1385)</f>
        <v/>
      </c>
      <c r="K1385" s="9">
        <f>H1385+I1385</f>
        <v/>
      </c>
    </row>
    <row r="1386">
      <c r="A1386" s="8" t="n">
        <v>46183</v>
      </c>
      <c r="B1386" t="inlineStr">
        <is>
          <t>2026-W24</t>
        </is>
      </c>
      <c r="C1386" t="inlineStr">
        <is>
          <t>Nuvei</t>
        </is>
      </c>
      <c r="D1386" t="inlineStr">
        <is>
          <t>EUR</t>
        </is>
      </c>
      <c r="E1386" s="9" t="n">
        <v>47171.86</v>
      </c>
      <c r="F1386" s="9" t="n">
        <v>-1192.67</v>
      </c>
      <c r="G1386" s="9" t="n">
        <v>0</v>
      </c>
      <c r="H1386" s="9">
        <f>IF(D1386="USD",E1386*$N$1,E1386)</f>
        <v/>
      </c>
      <c r="I1386" s="9">
        <f>IF(D1386="USD",F1386*$N$1,F1386)</f>
        <v/>
      </c>
      <c r="J1386" s="9">
        <f>IF(D1386="USD",G1386*$N$1,G1386)</f>
        <v/>
      </c>
      <c r="K1386" s="9">
        <f>H1386+I1386</f>
        <v/>
      </c>
    </row>
    <row r="1387">
      <c r="A1387" s="8" t="n">
        <v>46183</v>
      </c>
      <c r="B1387" t="inlineStr">
        <is>
          <t>2026-W24</t>
        </is>
      </c>
      <c r="C1387" t="inlineStr">
        <is>
          <t>Nuvei</t>
        </is>
      </c>
      <c r="D1387" t="inlineStr">
        <is>
          <t>USD</t>
        </is>
      </c>
      <c r="E1387" s="9" t="n">
        <v>8514.1</v>
      </c>
      <c r="F1387" s="9" t="n">
        <v>-229.54</v>
      </c>
      <c r="G1387" s="9" t="n">
        <v>0</v>
      </c>
      <c r="H1387" s="9">
        <f>IF(D1387="USD",E1387*$N$1,E1387)</f>
        <v/>
      </c>
      <c r="I1387" s="9">
        <f>IF(D1387="USD",F1387*$N$1,F1387)</f>
        <v/>
      </c>
      <c r="J1387" s="9">
        <f>IF(D1387="USD",G1387*$N$1,G1387)</f>
        <v/>
      </c>
      <c r="K1387" s="9">
        <f>H1387+I1387</f>
        <v/>
      </c>
    </row>
    <row r="1388">
      <c r="A1388" s="8" t="n">
        <v>46183</v>
      </c>
      <c r="B1388" t="inlineStr">
        <is>
          <t>2026-W24</t>
        </is>
      </c>
      <c r="C1388" t="inlineStr">
        <is>
          <t>Shift4</t>
        </is>
      </c>
      <c r="D1388" t="inlineStr">
        <is>
          <t>EUR</t>
        </is>
      </c>
      <c r="E1388" s="9" t="n">
        <v>0</v>
      </c>
      <c r="F1388" s="9" t="n">
        <v>0</v>
      </c>
      <c r="G1388" s="9" t="n">
        <v>-520366.83</v>
      </c>
      <c r="H1388" s="9">
        <f>IF(D1388="USD",E1388*$N$1,E1388)</f>
        <v/>
      </c>
      <c r="I1388" s="9">
        <f>IF(D1388="USD",F1388*$N$1,F1388)</f>
        <v/>
      </c>
      <c r="J1388" s="9">
        <f>IF(D1388="USD",G1388*$N$1,G1388)</f>
        <v/>
      </c>
      <c r="K1388" s="9">
        <f>H1388+I1388</f>
        <v/>
      </c>
    </row>
    <row r="1389">
      <c r="A1389" s="8" t="n">
        <v>46183</v>
      </c>
      <c r="B1389" t="inlineStr">
        <is>
          <t>2026-W24</t>
        </is>
      </c>
      <c r="C1389" t="inlineStr">
        <is>
          <t>Shift4</t>
        </is>
      </c>
      <c r="D1389" t="inlineStr">
        <is>
          <t>EUR</t>
        </is>
      </c>
      <c r="E1389" s="9" t="n">
        <v>664999.87</v>
      </c>
      <c r="F1389" s="9" t="n">
        <v>-7531.23</v>
      </c>
      <c r="G1389" s="9" t="n">
        <v>0</v>
      </c>
      <c r="H1389" s="9">
        <f>IF(D1389="USD",E1389*$N$1,E1389)</f>
        <v/>
      </c>
      <c r="I1389" s="9">
        <f>IF(D1389="USD",F1389*$N$1,F1389)</f>
        <v/>
      </c>
      <c r="J1389" s="9">
        <f>IF(D1389="USD",G1389*$N$1,G1389)</f>
        <v/>
      </c>
      <c r="K1389" s="9">
        <f>H1389+I1389</f>
        <v/>
      </c>
    </row>
    <row r="1390">
      <c r="A1390" s="8" t="n">
        <v>46184</v>
      </c>
      <c r="B1390" t="inlineStr">
        <is>
          <t>2026-W24</t>
        </is>
      </c>
      <c r="C1390" t="inlineStr">
        <is>
          <t>Adyen</t>
        </is>
      </c>
      <c r="D1390" t="inlineStr">
        <is>
          <t>EUR</t>
        </is>
      </c>
      <c r="E1390" s="9" t="n">
        <v>0</v>
      </c>
      <c r="F1390" s="9" t="n">
        <v>0</v>
      </c>
      <c r="G1390" s="9" t="n">
        <v>-994160.74</v>
      </c>
      <c r="H1390" s="9">
        <f>IF(D1390="USD",E1390*$N$1,E1390)</f>
        <v/>
      </c>
      <c r="I1390" s="9">
        <f>IF(D1390="USD",F1390*$N$1,F1390)</f>
        <v/>
      </c>
      <c r="J1390" s="9">
        <f>IF(D1390="USD",G1390*$N$1,G1390)</f>
        <v/>
      </c>
      <c r="K1390" s="9">
        <f>H1390+I1390</f>
        <v/>
      </c>
    </row>
    <row r="1391">
      <c r="A1391" s="8" t="n">
        <v>46184</v>
      </c>
      <c r="B1391" t="inlineStr">
        <is>
          <t>2026-W24</t>
        </is>
      </c>
      <c r="C1391" t="inlineStr">
        <is>
          <t>Adyen</t>
        </is>
      </c>
      <c r="D1391" t="inlineStr">
        <is>
          <t>EUR</t>
        </is>
      </c>
      <c r="E1391" s="9" t="n">
        <v>754903.4399999999</v>
      </c>
      <c r="F1391" s="9" t="n">
        <v>-6798.039999999921</v>
      </c>
      <c r="G1391" s="9" t="n">
        <v>0</v>
      </c>
      <c r="H1391" s="9">
        <f>IF(D1391="USD",E1391*$N$1,E1391)</f>
        <v/>
      </c>
      <c r="I1391" s="9">
        <f>IF(D1391="USD",F1391*$N$1,F1391)</f>
        <v/>
      </c>
      <c r="J1391" s="9">
        <f>IF(D1391="USD",G1391*$N$1,G1391)</f>
        <v/>
      </c>
      <c r="K1391" s="9">
        <f>H1391+I1391</f>
        <v/>
      </c>
    </row>
    <row r="1392">
      <c r="A1392" s="8" t="n">
        <v>46184</v>
      </c>
      <c r="B1392" t="inlineStr">
        <is>
          <t>2026-W24</t>
        </is>
      </c>
      <c r="C1392" t="inlineStr">
        <is>
          <t>Adyen</t>
        </is>
      </c>
      <c r="D1392" t="inlineStr">
        <is>
          <t>EUR</t>
        </is>
      </c>
      <c r="E1392" s="9" t="n">
        <v>139995.06</v>
      </c>
      <c r="F1392" s="9" t="n">
        <v>0</v>
      </c>
      <c r="G1392" s="9" t="n">
        <v>0</v>
      </c>
      <c r="H1392" s="9">
        <f>IF(D1392="USD",E1392*$N$1,E1392)</f>
        <v/>
      </c>
      <c r="I1392" s="9">
        <f>IF(D1392="USD",F1392*$N$1,F1392)</f>
        <v/>
      </c>
      <c r="J1392" s="9">
        <f>IF(D1392="USD",G1392*$N$1,G1392)</f>
        <v/>
      </c>
      <c r="K1392" s="9">
        <f>H1392+I1392</f>
        <v/>
      </c>
    </row>
    <row r="1393">
      <c r="A1393" s="8" t="n">
        <v>46184</v>
      </c>
      <c r="B1393" t="inlineStr">
        <is>
          <t>2026-W24</t>
        </is>
      </c>
      <c r="C1393" t="inlineStr">
        <is>
          <t>Nuvei</t>
        </is>
      </c>
      <c r="D1393" t="inlineStr">
        <is>
          <t>EUR</t>
        </is>
      </c>
      <c r="E1393" s="9" t="n">
        <v>0</v>
      </c>
      <c r="F1393" s="9" t="n">
        <v>0</v>
      </c>
      <c r="G1393" s="9" t="n">
        <v>-422854.65</v>
      </c>
      <c r="H1393" s="9">
        <f>IF(D1393="USD",E1393*$N$1,E1393)</f>
        <v/>
      </c>
      <c r="I1393" s="9">
        <f>IF(D1393="USD",F1393*$N$1,F1393)</f>
        <v/>
      </c>
      <c r="J1393" s="9">
        <f>IF(D1393="USD",G1393*$N$1,G1393)</f>
        <v/>
      </c>
      <c r="K1393" s="9">
        <f>H1393+I1393</f>
        <v/>
      </c>
    </row>
    <row r="1394">
      <c r="A1394" s="8" t="n">
        <v>46184</v>
      </c>
      <c r="B1394" t="inlineStr">
        <is>
          <t>2026-W24</t>
        </is>
      </c>
      <c r="C1394" t="inlineStr">
        <is>
          <t>Nuvei</t>
        </is>
      </c>
      <c r="D1394" t="inlineStr">
        <is>
          <t>EUR</t>
        </is>
      </c>
      <c r="E1394" s="9" t="n">
        <v>0</v>
      </c>
      <c r="F1394" s="9" t="n">
        <v>0</v>
      </c>
      <c r="G1394" s="9" t="n">
        <v>-127666.04</v>
      </c>
      <c r="H1394" s="9">
        <f>IF(D1394="USD",E1394*$N$1,E1394)</f>
        <v/>
      </c>
      <c r="I1394" s="9">
        <f>IF(D1394="USD",F1394*$N$1,F1394)</f>
        <v/>
      </c>
      <c r="J1394" s="9">
        <f>IF(D1394="USD",G1394*$N$1,G1394)</f>
        <v/>
      </c>
      <c r="K1394" s="9">
        <f>H1394+I1394</f>
        <v/>
      </c>
    </row>
    <row r="1395">
      <c r="A1395" s="8" t="n">
        <v>46184</v>
      </c>
      <c r="B1395" t="inlineStr">
        <is>
          <t>2026-W24</t>
        </is>
      </c>
      <c r="C1395" t="inlineStr">
        <is>
          <t>Nuvei</t>
        </is>
      </c>
      <c r="D1395" t="inlineStr">
        <is>
          <t>EUR</t>
        </is>
      </c>
      <c r="E1395" s="9" t="n">
        <v>403735.35</v>
      </c>
      <c r="F1395" s="9" t="n">
        <v>-6282.42</v>
      </c>
      <c r="G1395" s="9" t="n">
        <v>0</v>
      </c>
      <c r="H1395" s="9">
        <f>IF(D1395="USD",E1395*$N$1,E1395)</f>
        <v/>
      </c>
      <c r="I1395" s="9">
        <f>IF(D1395="USD",F1395*$N$1,F1395)</f>
        <v/>
      </c>
      <c r="J1395" s="9">
        <f>IF(D1395="USD",G1395*$N$1,G1395)</f>
        <v/>
      </c>
      <c r="K1395" s="9">
        <f>H1395+I1395</f>
        <v/>
      </c>
    </row>
    <row r="1396">
      <c r="A1396" s="8" t="n">
        <v>46184</v>
      </c>
      <c r="B1396" t="inlineStr">
        <is>
          <t>2026-W24</t>
        </is>
      </c>
      <c r="C1396" t="inlineStr">
        <is>
          <t>Nuvei</t>
        </is>
      </c>
      <c r="D1396" t="inlineStr">
        <is>
          <t>EUR</t>
        </is>
      </c>
      <c r="E1396" s="9" t="n">
        <v>322083.78</v>
      </c>
      <c r="F1396" s="9" t="n">
        <v>-9078.809999999999</v>
      </c>
      <c r="G1396" s="9" t="n">
        <v>0</v>
      </c>
      <c r="H1396" s="9">
        <f>IF(D1396="USD",E1396*$N$1,E1396)</f>
        <v/>
      </c>
      <c r="I1396" s="9">
        <f>IF(D1396="USD",F1396*$N$1,F1396)</f>
        <v/>
      </c>
      <c r="J1396" s="9">
        <f>IF(D1396="USD",G1396*$N$1,G1396)</f>
        <v/>
      </c>
      <c r="K1396" s="9">
        <f>H1396+I1396</f>
        <v/>
      </c>
    </row>
    <row r="1397">
      <c r="A1397" s="8" t="n">
        <v>46184</v>
      </c>
      <c r="B1397" t="inlineStr">
        <is>
          <t>2026-W24</t>
        </is>
      </c>
      <c r="C1397" t="inlineStr">
        <is>
          <t>Nuvei</t>
        </is>
      </c>
      <c r="D1397" t="inlineStr">
        <is>
          <t>EUR</t>
        </is>
      </c>
      <c r="E1397" s="9" t="n">
        <v>39271.36</v>
      </c>
      <c r="F1397" s="9" t="n">
        <v>-983.67</v>
      </c>
      <c r="G1397" s="9" t="n">
        <v>0</v>
      </c>
      <c r="H1397" s="9">
        <f>IF(D1397="USD",E1397*$N$1,E1397)</f>
        <v/>
      </c>
      <c r="I1397" s="9">
        <f>IF(D1397="USD",F1397*$N$1,F1397)</f>
        <v/>
      </c>
      <c r="J1397" s="9">
        <f>IF(D1397="USD",G1397*$N$1,G1397)</f>
        <v/>
      </c>
      <c r="K1397" s="9">
        <f>H1397+I1397</f>
        <v/>
      </c>
    </row>
    <row r="1398">
      <c r="A1398" s="8" t="n">
        <v>46184</v>
      </c>
      <c r="B1398" t="inlineStr">
        <is>
          <t>2026-W24</t>
        </is>
      </c>
      <c r="C1398" t="inlineStr">
        <is>
          <t>Nuvei</t>
        </is>
      </c>
      <c r="D1398" t="inlineStr">
        <is>
          <t>USD</t>
        </is>
      </c>
      <c r="E1398" s="9" t="n">
        <v>9466.200000000001</v>
      </c>
      <c r="F1398" s="9" t="n">
        <v>-260.38</v>
      </c>
      <c r="G1398" s="9" t="n">
        <v>0</v>
      </c>
      <c r="H1398" s="9">
        <f>IF(D1398="USD",E1398*$N$1,E1398)</f>
        <v/>
      </c>
      <c r="I1398" s="9">
        <f>IF(D1398="USD",F1398*$N$1,F1398)</f>
        <v/>
      </c>
      <c r="J1398" s="9">
        <f>IF(D1398="USD",G1398*$N$1,G1398)</f>
        <v/>
      </c>
      <c r="K1398" s="9">
        <f>H1398+I1398</f>
        <v/>
      </c>
    </row>
    <row r="1399">
      <c r="A1399" s="8" t="n">
        <v>46184</v>
      </c>
      <c r="B1399" t="inlineStr">
        <is>
          <t>2026-W24</t>
        </is>
      </c>
      <c r="C1399" t="inlineStr">
        <is>
          <t>Shift4</t>
        </is>
      </c>
      <c r="D1399" t="inlineStr">
        <is>
          <t>EUR</t>
        </is>
      </c>
      <c r="E1399" s="9" t="n">
        <v>0</v>
      </c>
      <c r="F1399" s="9" t="n">
        <v>0</v>
      </c>
      <c r="G1399" s="9" t="n">
        <v>-1773896.82</v>
      </c>
      <c r="H1399" s="9">
        <f>IF(D1399="USD",E1399*$N$1,E1399)</f>
        <v/>
      </c>
      <c r="I1399" s="9">
        <f>IF(D1399="USD",F1399*$N$1,F1399)</f>
        <v/>
      </c>
      <c r="J1399" s="9">
        <f>IF(D1399="USD",G1399*$N$1,G1399)</f>
        <v/>
      </c>
      <c r="K1399" s="9">
        <f>H1399+I1399</f>
        <v/>
      </c>
    </row>
    <row r="1400">
      <c r="A1400" s="8" t="n">
        <v>46184</v>
      </c>
      <c r="B1400" t="inlineStr">
        <is>
          <t>2026-W24</t>
        </is>
      </c>
      <c r="C1400" t="inlineStr">
        <is>
          <t>Shift4</t>
        </is>
      </c>
      <c r="D1400" t="inlineStr">
        <is>
          <t>EUR</t>
        </is>
      </c>
      <c r="E1400" s="9" t="n">
        <v>556405.88</v>
      </c>
      <c r="F1400" s="9" t="n">
        <v>-5752.93</v>
      </c>
      <c r="G1400" s="9" t="n">
        <v>0</v>
      </c>
      <c r="H1400" s="9">
        <f>IF(D1400="USD",E1400*$N$1,E1400)</f>
        <v/>
      </c>
      <c r="I1400" s="9">
        <f>IF(D1400="USD",F1400*$N$1,F1400)</f>
        <v/>
      </c>
      <c r="J1400" s="9">
        <f>IF(D1400="USD",G1400*$N$1,G1400)</f>
        <v/>
      </c>
      <c r="K1400" s="9">
        <f>H1400+I1400</f>
        <v/>
      </c>
    </row>
    <row r="1401">
      <c r="A1401" s="8" t="n">
        <v>46185</v>
      </c>
      <c r="B1401" t="inlineStr">
        <is>
          <t>2026-W24</t>
        </is>
      </c>
      <c r="C1401" t="inlineStr">
        <is>
          <t>Adyen</t>
        </is>
      </c>
      <c r="D1401" t="inlineStr">
        <is>
          <t>EUR</t>
        </is>
      </c>
      <c r="E1401" s="9" t="n">
        <v>0</v>
      </c>
      <c r="F1401" s="9" t="n">
        <v>0</v>
      </c>
      <c r="G1401" s="9" t="n">
        <v>-917314.4399999999</v>
      </c>
      <c r="H1401" s="9">
        <f>IF(D1401="USD",E1401*$N$1,E1401)</f>
        <v/>
      </c>
      <c r="I1401" s="9">
        <f>IF(D1401="USD",F1401*$N$1,F1401)</f>
        <v/>
      </c>
      <c r="J1401" s="9">
        <f>IF(D1401="USD",G1401*$N$1,G1401)</f>
        <v/>
      </c>
      <c r="K1401" s="9">
        <f>H1401+I1401</f>
        <v/>
      </c>
    </row>
    <row r="1402">
      <c r="A1402" s="8" t="n">
        <v>46185</v>
      </c>
      <c r="B1402" t="inlineStr">
        <is>
          <t>2026-W24</t>
        </is>
      </c>
      <c r="C1402" t="inlineStr">
        <is>
          <t>Adyen</t>
        </is>
      </c>
      <c r="D1402" t="inlineStr">
        <is>
          <t>EUR</t>
        </is>
      </c>
      <c r="E1402" s="9" t="n">
        <v>639415.6</v>
      </c>
      <c r="F1402" s="9" t="n">
        <v>-28525.81000000006</v>
      </c>
      <c r="G1402" s="9" t="n">
        <v>0</v>
      </c>
      <c r="H1402" s="9">
        <f>IF(D1402="USD",E1402*$N$1,E1402)</f>
        <v/>
      </c>
      <c r="I1402" s="9">
        <f>IF(D1402="USD",F1402*$N$1,F1402)</f>
        <v/>
      </c>
      <c r="J1402" s="9">
        <f>IF(D1402="USD",G1402*$N$1,G1402)</f>
        <v/>
      </c>
      <c r="K1402" s="9">
        <f>H1402+I1402</f>
        <v/>
      </c>
    </row>
    <row r="1403">
      <c r="A1403" s="8" t="n">
        <v>46185</v>
      </c>
      <c r="B1403" t="inlineStr">
        <is>
          <t>2026-W24</t>
        </is>
      </c>
      <c r="C1403" t="inlineStr">
        <is>
          <t>Adyen</t>
        </is>
      </c>
      <c r="D1403" t="inlineStr">
        <is>
          <t>EUR</t>
        </is>
      </c>
      <c r="E1403" s="9" t="n">
        <v>118112.54</v>
      </c>
      <c r="F1403" s="9" t="n">
        <v>0</v>
      </c>
      <c r="G1403" s="9" t="n">
        <v>0</v>
      </c>
      <c r="H1403" s="9">
        <f>IF(D1403="USD",E1403*$N$1,E1403)</f>
        <v/>
      </c>
      <c r="I1403" s="9">
        <f>IF(D1403="USD",F1403*$N$1,F1403)</f>
        <v/>
      </c>
      <c r="J1403" s="9">
        <f>IF(D1403="USD",G1403*$N$1,G1403)</f>
        <v/>
      </c>
      <c r="K1403" s="9">
        <f>H1403+I1403</f>
        <v/>
      </c>
    </row>
    <row r="1404">
      <c r="A1404" s="8" t="n">
        <v>46185</v>
      </c>
      <c r="B1404" t="inlineStr">
        <is>
          <t>2026-W24</t>
        </is>
      </c>
      <c r="C1404" t="inlineStr">
        <is>
          <t>Nuvei</t>
        </is>
      </c>
      <c r="D1404" t="inlineStr">
        <is>
          <t>EUR</t>
        </is>
      </c>
      <c r="E1404" s="9" t="n">
        <v>0</v>
      </c>
      <c r="F1404" s="9" t="n">
        <v>0</v>
      </c>
      <c r="G1404" s="9" t="n">
        <v>-1109318.32</v>
      </c>
      <c r="H1404" s="9">
        <f>IF(D1404="USD",E1404*$N$1,E1404)</f>
        <v/>
      </c>
      <c r="I1404" s="9">
        <f>IF(D1404="USD",F1404*$N$1,F1404)</f>
        <v/>
      </c>
      <c r="J1404" s="9">
        <f>IF(D1404="USD",G1404*$N$1,G1404)</f>
        <v/>
      </c>
      <c r="K1404" s="9">
        <f>H1404+I1404</f>
        <v/>
      </c>
    </row>
    <row r="1405">
      <c r="A1405" s="8" t="n">
        <v>46185</v>
      </c>
      <c r="B1405" t="inlineStr">
        <is>
          <t>2026-W24</t>
        </is>
      </c>
      <c r="C1405" t="inlineStr">
        <is>
          <t>Nuvei</t>
        </is>
      </c>
      <c r="D1405" t="inlineStr">
        <is>
          <t>EUR</t>
        </is>
      </c>
      <c r="E1405" s="9" t="n">
        <v>0</v>
      </c>
      <c r="F1405" s="9" t="n">
        <v>0</v>
      </c>
      <c r="G1405" s="9" t="n">
        <v>-446348.34</v>
      </c>
      <c r="H1405" s="9">
        <f>IF(D1405="USD",E1405*$N$1,E1405)</f>
        <v/>
      </c>
      <c r="I1405" s="9">
        <f>IF(D1405="USD",F1405*$N$1,F1405)</f>
        <v/>
      </c>
      <c r="J1405" s="9">
        <f>IF(D1405="USD",G1405*$N$1,G1405)</f>
        <v/>
      </c>
      <c r="K1405" s="9">
        <f>H1405+I1405</f>
        <v/>
      </c>
    </row>
    <row r="1406">
      <c r="A1406" s="8" t="n">
        <v>46185</v>
      </c>
      <c r="B1406" t="inlineStr">
        <is>
          <t>2026-W24</t>
        </is>
      </c>
      <c r="C1406" t="inlineStr">
        <is>
          <t>Nuvei</t>
        </is>
      </c>
      <c r="D1406" t="inlineStr">
        <is>
          <t>EUR</t>
        </is>
      </c>
      <c r="E1406" s="9" t="n">
        <v>349112.19</v>
      </c>
      <c r="F1406" s="9" t="n">
        <v>-5979.89</v>
      </c>
      <c r="G1406" s="9" t="n">
        <v>0</v>
      </c>
      <c r="H1406" s="9">
        <f>IF(D1406="USD",E1406*$N$1,E1406)</f>
        <v/>
      </c>
      <c r="I1406" s="9">
        <f>IF(D1406="USD",F1406*$N$1,F1406)</f>
        <v/>
      </c>
      <c r="J1406" s="9">
        <f>IF(D1406="USD",G1406*$N$1,G1406)</f>
        <v/>
      </c>
      <c r="K1406" s="9">
        <f>H1406+I1406</f>
        <v/>
      </c>
    </row>
    <row r="1407">
      <c r="A1407" s="8" t="n">
        <v>46185</v>
      </c>
      <c r="B1407" t="inlineStr">
        <is>
          <t>2026-W24</t>
        </is>
      </c>
      <c r="C1407" t="inlineStr">
        <is>
          <t>Nuvei</t>
        </is>
      </c>
      <c r="D1407" t="inlineStr">
        <is>
          <t>EUR</t>
        </is>
      </c>
      <c r="E1407" s="9" t="n">
        <v>272810.51</v>
      </c>
      <c r="F1407" s="9" t="n">
        <v>-7740.1</v>
      </c>
      <c r="G1407" s="9" t="n">
        <v>0</v>
      </c>
      <c r="H1407" s="9">
        <f>IF(D1407="USD",E1407*$N$1,E1407)</f>
        <v/>
      </c>
      <c r="I1407" s="9">
        <f>IF(D1407="USD",F1407*$N$1,F1407)</f>
        <v/>
      </c>
      <c r="J1407" s="9">
        <f>IF(D1407="USD",G1407*$N$1,G1407)</f>
        <v/>
      </c>
      <c r="K1407" s="9">
        <f>H1407+I1407</f>
        <v/>
      </c>
    </row>
    <row r="1408">
      <c r="A1408" s="8" t="n">
        <v>46185</v>
      </c>
      <c r="B1408" t="inlineStr">
        <is>
          <t>2026-W24</t>
        </is>
      </c>
      <c r="C1408" t="inlineStr">
        <is>
          <t>Nuvei</t>
        </is>
      </c>
      <c r="D1408" t="inlineStr">
        <is>
          <t>EUR</t>
        </is>
      </c>
      <c r="E1408" s="9" t="n">
        <v>31534.42</v>
      </c>
      <c r="F1408" s="9" t="n">
        <v>-758.75</v>
      </c>
      <c r="G1408" s="9" t="n">
        <v>0</v>
      </c>
      <c r="H1408" s="9">
        <f>IF(D1408="USD",E1408*$N$1,E1408)</f>
        <v/>
      </c>
      <c r="I1408" s="9">
        <f>IF(D1408="USD",F1408*$N$1,F1408)</f>
        <v/>
      </c>
      <c r="J1408" s="9">
        <f>IF(D1408="USD",G1408*$N$1,G1408)</f>
        <v/>
      </c>
      <c r="K1408" s="9">
        <f>H1408+I1408</f>
        <v/>
      </c>
    </row>
    <row r="1409">
      <c r="A1409" s="8" t="n">
        <v>46185</v>
      </c>
      <c r="B1409" t="inlineStr">
        <is>
          <t>2026-W24</t>
        </is>
      </c>
      <c r="C1409" t="inlineStr">
        <is>
          <t>Nuvei</t>
        </is>
      </c>
      <c r="D1409" t="inlineStr">
        <is>
          <t>USD</t>
        </is>
      </c>
      <c r="E1409" s="9" t="n">
        <v>4795.2</v>
      </c>
      <c r="F1409" s="9" t="n">
        <v>-124.22</v>
      </c>
      <c r="G1409" s="9" t="n">
        <v>0</v>
      </c>
      <c r="H1409" s="9">
        <f>IF(D1409="USD",E1409*$N$1,E1409)</f>
        <v/>
      </c>
      <c r="I1409" s="9">
        <f>IF(D1409="USD",F1409*$N$1,F1409)</f>
        <v/>
      </c>
      <c r="J1409" s="9">
        <f>IF(D1409="USD",G1409*$N$1,G1409)</f>
        <v/>
      </c>
      <c r="K1409" s="9">
        <f>H1409+I1409</f>
        <v/>
      </c>
    </row>
    <row r="1410">
      <c r="A1410" s="8" t="n">
        <v>46185</v>
      </c>
      <c r="B1410" t="inlineStr">
        <is>
          <t>2026-W24</t>
        </is>
      </c>
      <c r="C1410" t="inlineStr">
        <is>
          <t>Shift4</t>
        </is>
      </c>
      <c r="D1410" t="inlineStr">
        <is>
          <t>EUR</t>
        </is>
      </c>
      <c r="E1410" s="9" t="n">
        <v>0</v>
      </c>
      <c r="F1410" s="9" t="n">
        <v>0</v>
      </c>
      <c r="G1410" s="9" t="n">
        <v>-675320.58</v>
      </c>
      <c r="H1410" s="9">
        <f>IF(D1410="USD",E1410*$N$1,E1410)</f>
        <v/>
      </c>
      <c r="I1410" s="9">
        <f>IF(D1410="USD",F1410*$N$1,F1410)</f>
        <v/>
      </c>
      <c r="J1410" s="9">
        <f>IF(D1410="USD",G1410*$N$1,G1410)</f>
        <v/>
      </c>
      <c r="K1410" s="9">
        <f>H1410+I1410</f>
        <v/>
      </c>
    </row>
    <row r="1411">
      <c r="A1411" s="8" t="n">
        <v>46185</v>
      </c>
      <c r="B1411" t="inlineStr">
        <is>
          <t>2026-W24</t>
        </is>
      </c>
      <c r="C1411" t="inlineStr">
        <is>
          <t>Shift4</t>
        </is>
      </c>
      <c r="D1411" t="inlineStr">
        <is>
          <t>EUR</t>
        </is>
      </c>
      <c r="E1411" s="9" t="n">
        <v>516544.17</v>
      </c>
      <c r="F1411" s="9" t="n">
        <v>-5436.48</v>
      </c>
      <c r="G1411" s="9" t="n">
        <v>0</v>
      </c>
      <c r="H1411" s="9">
        <f>IF(D1411="USD",E1411*$N$1,E1411)</f>
        <v/>
      </c>
      <c r="I1411" s="9">
        <f>IF(D1411="USD",F1411*$N$1,F1411)</f>
        <v/>
      </c>
      <c r="J1411" s="9">
        <f>IF(D1411="USD",G1411*$N$1,G1411)</f>
        <v/>
      </c>
      <c r="K1411" s="9">
        <f>H1411+I1411</f>
        <v/>
      </c>
    </row>
    <row r="1412">
      <c r="A1412" s="8" t="n">
        <v>46186</v>
      </c>
      <c r="B1412" t="inlineStr">
        <is>
          <t>2026-W24</t>
        </is>
      </c>
      <c r="C1412" t="inlineStr">
        <is>
          <t>Adyen</t>
        </is>
      </c>
      <c r="D1412" t="inlineStr">
        <is>
          <t>EUR</t>
        </is>
      </c>
      <c r="E1412" s="9" t="n">
        <v>427055.65</v>
      </c>
      <c r="F1412" s="9" t="n">
        <v>0</v>
      </c>
      <c r="G1412" s="9" t="n">
        <v>0</v>
      </c>
      <c r="H1412" s="9">
        <f>IF(D1412="USD",E1412*$N$1,E1412)</f>
        <v/>
      </c>
      <c r="I1412" s="9">
        <f>IF(D1412="USD",F1412*$N$1,F1412)</f>
        <v/>
      </c>
      <c r="J1412" s="9">
        <f>IF(D1412="USD",G1412*$N$1,G1412)</f>
        <v/>
      </c>
      <c r="K1412" s="9">
        <f>H1412+I1412</f>
        <v/>
      </c>
    </row>
    <row r="1413">
      <c r="A1413" s="8" t="n">
        <v>46186</v>
      </c>
      <c r="B1413" t="inlineStr">
        <is>
          <t>2026-W24</t>
        </is>
      </c>
      <c r="C1413" t="inlineStr">
        <is>
          <t>Adyen</t>
        </is>
      </c>
      <c r="D1413" t="inlineStr">
        <is>
          <t>EUR</t>
        </is>
      </c>
      <c r="E1413" s="9" t="n">
        <v>91070.42999999999</v>
      </c>
      <c r="F1413" s="9" t="n">
        <v>0</v>
      </c>
      <c r="G1413" s="9" t="n">
        <v>0</v>
      </c>
      <c r="H1413" s="9">
        <f>IF(D1413="USD",E1413*$N$1,E1413)</f>
        <v/>
      </c>
      <c r="I1413" s="9">
        <f>IF(D1413="USD",F1413*$N$1,F1413)</f>
        <v/>
      </c>
      <c r="J1413" s="9">
        <f>IF(D1413="USD",G1413*$N$1,G1413)</f>
        <v/>
      </c>
      <c r="K1413" s="9">
        <f>H1413+I1413</f>
        <v/>
      </c>
    </row>
    <row r="1414">
      <c r="A1414" s="8" t="n">
        <v>46186</v>
      </c>
      <c r="B1414" t="inlineStr">
        <is>
          <t>2026-W24</t>
        </is>
      </c>
      <c r="C1414" t="inlineStr">
        <is>
          <t>Nuvei</t>
        </is>
      </c>
      <c r="D1414" t="inlineStr">
        <is>
          <t>EUR</t>
        </is>
      </c>
      <c r="E1414" s="9" t="n">
        <v>237710.88</v>
      </c>
      <c r="F1414" s="9" t="n">
        <v>-3759.31</v>
      </c>
      <c r="G1414" s="9" t="n">
        <v>0</v>
      </c>
      <c r="H1414" s="9">
        <f>IF(D1414="USD",E1414*$N$1,E1414)</f>
        <v/>
      </c>
      <c r="I1414" s="9">
        <f>IF(D1414="USD",F1414*$N$1,F1414)</f>
        <v/>
      </c>
      <c r="J1414" s="9">
        <f>IF(D1414="USD",G1414*$N$1,G1414)</f>
        <v/>
      </c>
      <c r="K1414" s="9">
        <f>H1414+I1414</f>
        <v/>
      </c>
    </row>
    <row r="1415">
      <c r="A1415" s="8" t="n">
        <v>46186</v>
      </c>
      <c r="B1415" t="inlineStr">
        <is>
          <t>2026-W24</t>
        </is>
      </c>
      <c r="C1415" t="inlineStr">
        <is>
          <t>Nuvei</t>
        </is>
      </c>
      <c r="D1415" t="inlineStr">
        <is>
          <t>EUR</t>
        </is>
      </c>
      <c r="E1415" s="9" t="n">
        <v>229368.99</v>
      </c>
      <c r="F1415" s="9" t="n">
        <v>-6585.06</v>
      </c>
      <c r="G1415" s="9" t="n">
        <v>0</v>
      </c>
      <c r="H1415" s="9">
        <f>IF(D1415="USD",E1415*$N$1,E1415)</f>
        <v/>
      </c>
      <c r="I1415" s="9">
        <f>IF(D1415="USD",F1415*$N$1,F1415)</f>
        <v/>
      </c>
      <c r="J1415" s="9">
        <f>IF(D1415="USD",G1415*$N$1,G1415)</f>
        <v/>
      </c>
      <c r="K1415" s="9">
        <f>H1415+I1415</f>
        <v/>
      </c>
    </row>
    <row r="1416">
      <c r="A1416" s="8" t="n">
        <v>46186</v>
      </c>
      <c r="B1416" t="inlineStr">
        <is>
          <t>2026-W24</t>
        </is>
      </c>
      <c r="C1416" t="inlineStr">
        <is>
          <t>Nuvei</t>
        </is>
      </c>
      <c r="D1416" t="inlineStr">
        <is>
          <t>EUR</t>
        </is>
      </c>
      <c r="E1416" s="9" t="n">
        <v>34746.63</v>
      </c>
      <c r="F1416" s="9" t="n">
        <v>-906.37</v>
      </c>
      <c r="G1416" s="9" t="n">
        <v>0</v>
      </c>
      <c r="H1416" s="9">
        <f>IF(D1416="USD",E1416*$N$1,E1416)</f>
        <v/>
      </c>
      <c r="I1416" s="9">
        <f>IF(D1416="USD",F1416*$N$1,F1416)</f>
        <v/>
      </c>
      <c r="J1416" s="9">
        <f>IF(D1416="USD",G1416*$N$1,G1416)</f>
        <v/>
      </c>
      <c r="K1416" s="9">
        <f>H1416+I1416</f>
        <v/>
      </c>
    </row>
    <row r="1417">
      <c r="A1417" s="8" t="n">
        <v>46186</v>
      </c>
      <c r="B1417" t="inlineStr">
        <is>
          <t>2026-W24</t>
        </is>
      </c>
      <c r="C1417" t="inlineStr">
        <is>
          <t>Nuvei</t>
        </is>
      </c>
      <c r="D1417" t="inlineStr">
        <is>
          <t>USD</t>
        </is>
      </c>
      <c r="E1417" s="9" t="n">
        <v>6256.9</v>
      </c>
      <c r="F1417" s="9" t="n">
        <v>-196.81</v>
      </c>
      <c r="G1417" s="9" t="n">
        <v>0</v>
      </c>
      <c r="H1417" s="9">
        <f>IF(D1417="USD",E1417*$N$1,E1417)</f>
        <v/>
      </c>
      <c r="I1417" s="9">
        <f>IF(D1417="USD",F1417*$N$1,F1417)</f>
        <v/>
      </c>
      <c r="J1417" s="9">
        <f>IF(D1417="USD",G1417*$N$1,G1417)</f>
        <v/>
      </c>
      <c r="K1417" s="9">
        <f>H1417+I1417</f>
        <v/>
      </c>
    </row>
    <row r="1418">
      <c r="A1418" s="8" t="n">
        <v>46186</v>
      </c>
      <c r="B1418" t="inlineStr">
        <is>
          <t>2026-W24</t>
        </is>
      </c>
      <c r="C1418" t="inlineStr">
        <is>
          <t>Shift4</t>
        </is>
      </c>
      <c r="D1418" t="inlineStr">
        <is>
          <t>EUR</t>
        </is>
      </c>
      <c r="E1418" s="9" t="n">
        <v>359553.35</v>
      </c>
      <c r="F1418" s="9" t="n">
        <v>-2679.45807</v>
      </c>
      <c r="G1418" s="9" t="n">
        <v>0</v>
      </c>
      <c r="H1418" s="9">
        <f>IF(D1418="USD",E1418*$N$1,E1418)</f>
        <v/>
      </c>
      <c r="I1418" s="9">
        <f>IF(D1418="USD",F1418*$N$1,F1418)</f>
        <v/>
      </c>
      <c r="J1418" s="9">
        <f>IF(D1418="USD",G1418*$N$1,G1418)</f>
        <v/>
      </c>
      <c r="K1418" s="9">
        <f>H1418+I1418</f>
        <v/>
      </c>
    </row>
    <row r="1419">
      <c r="A1419" s="8" t="n">
        <v>46187</v>
      </c>
      <c r="B1419" t="inlineStr">
        <is>
          <t>2026-W24</t>
        </is>
      </c>
      <c r="C1419" t="inlineStr">
        <is>
          <t>Adyen</t>
        </is>
      </c>
      <c r="D1419" t="inlineStr">
        <is>
          <t>EUR</t>
        </is>
      </c>
      <c r="E1419" s="9" t="n">
        <v>539308.4399999999</v>
      </c>
      <c r="F1419" s="9" t="n">
        <v>0</v>
      </c>
      <c r="G1419" s="9" t="n">
        <v>0</v>
      </c>
      <c r="H1419" s="9">
        <f>IF(D1419="USD",E1419*$N$1,E1419)</f>
        <v/>
      </c>
      <c r="I1419" s="9">
        <f>IF(D1419="USD",F1419*$N$1,F1419)</f>
        <v/>
      </c>
      <c r="J1419" s="9">
        <f>IF(D1419="USD",G1419*$N$1,G1419)</f>
        <v/>
      </c>
      <c r="K1419" s="9">
        <f>H1419+I1419</f>
        <v/>
      </c>
    </row>
    <row r="1420">
      <c r="A1420" s="8" t="n">
        <v>46187</v>
      </c>
      <c r="B1420" t="inlineStr">
        <is>
          <t>2026-W24</t>
        </is>
      </c>
      <c r="C1420" t="inlineStr">
        <is>
          <t>Adyen</t>
        </is>
      </c>
      <c r="D1420" t="inlineStr">
        <is>
          <t>EUR</t>
        </is>
      </c>
      <c r="E1420" s="9" t="n">
        <v>90783.38</v>
      </c>
      <c r="F1420" s="9" t="n">
        <v>0</v>
      </c>
      <c r="G1420" s="9" t="n">
        <v>0</v>
      </c>
      <c r="H1420" s="9">
        <f>IF(D1420="USD",E1420*$N$1,E1420)</f>
        <v/>
      </c>
      <c r="I1420" s="9">
        <f>IF(D1420="USD",F1420*$N$1,F1420)</f>
        <v/>
      </c>
      <c r="J1420" s="9">
        <f>IF(D1420="USD",G1420*$N$1,G1420)</f>
        <v/>
      </c>
      <c r="K1420" s="9">
        <f>H1420+I1420</f>
        <v/>
      </c>
    </row>
    <row r="1421">
      <c r="A1421" s="8" t="n">
        <v>46187</v>
      </c>
      <c r="B1421" t="inlineStr">
        <is>
          <t>2026-W24</t>
        </is>
      </c>
      <c r="C1421" t="inlineStr">
        <is>
          <t>Nuvei</t>
        </is>
      </c>
      <c r="D1421" t="inlineStr">
        <is>
          <t>EUR</t>
        </is>
      </c>
      <c r="E1421" s="9" t="n">
        <v>283038.55</v>
      </c>
      <c r="F1421" s="9" t="n">
        <v>-3882.78</v>
      </c>
      <c r="G1421" s="9" t="n">
        <v>0</v>
      </c>
      <c r="H1421" s="9">
        <f>IF(D1421="USD",E1421*$N$1,E1421)</f>
        <v/>
      </c>
      <c r="I1421" s="9">
        <f>IF(D1421="USD",F1421*$N$1,F1421)</f>
        <v/>
      </c>
      <c r="J1421" s="9">
        <f>IF(D1421="USD",G1421*$N$1,G1421)</f>
        <v/>
      </c>
      <c r="K1421" s="9">
        <f>H1421+I1421</f>
        <v/>
      </c>
    </row>
    <row r="1422">
      <c r="A1422" s="8" t="n">
        <v>46187</v>
      </c>
      <c r="B1422" t="inlineStr">
        <is>
          <t>2026-W24</t>
        </is>
      </c>
      <c r="C1422" t="inlineStr">
        <is>
          <t>Nuvei</t>
        </is>
      </c>
      <c r="D1422" t="inlineStr">
        <is>
          <t>EUR</t>
        </is>
      </c>
      <c r="E1422" s="9" t="n">
        <v>245165.37</v>
      </c>
      <c r="F1422" s="9" t="n">
        <v>-7073.5</v>
      </c>
      <c r="G1422" s="9" t="n">
        <v>0</v>
      </c>
      <c r="H1422" s="9">
        <f>IF(D1422="USD",E1422*$N$1,E1422)</f>
        <v/>
      </c>
      <c r="I1422" s="9">
        <f>IF(D1422="USD",F1422*$N$1,F1422)</f>
        <v/>
      </c>
      <c r="J1422" s="9">
        <f>IF(D1422="USD",G1422*$N$1,G1422)</f>
        <v/>
      </c>
      <c r="K1422" s="9">
        <f>H1422+I1422</f>
        <v/>
      </c>
    </row>
    <row r="1423">
      <c r="A1423" s="8" t="n">
        <v>46187</v>
      </c>
      <c r="B1423" t="inlineStr">
        <is>
          <t>2026-W24</t>
        </is>
      </c>
      <c r="C1423" t="inlineStr">
        <is>
          <t>Nuvei</t>
        </is>
      </c>
      <c r="D1423" t="inlineStr">
        <is>
          <t>EUR</t>
        </is>
      </c>
      <c r="E1423" s="9" t="n">
        <v>9989.08</v>
      </c>
      <c r="F1423" s="9" t="n">
        <v>-274.54</v>
      </c>
      <c r="G1423" s="9" t="n">
        <v>0</v>
      </c>
      <c r="H1423" s="9">
        <f>IF(D1423="USD",E1423*$N$1,E1423)</f>
        <v/>
      </c>
      <c r="I1423" s="9">
        <f>IF(D1423="USD",F1423*$N$1,F1423)</f>
        <v/>
      </c>
      <c r="J1423" s="9">
        <f>IF(D1423="USD",G1423*$N$1,G1423)</f>
        <v/>
      </c>
      <c r="K1423" s="9">
        <f>H1423+I1423</f>
        <v/>
      </c>
    </row>
    <row r="1424">
      <c r="A1424" s="8" t="n">
        <v>46187</v>
      </c>
      <c r="B1424" t="inlineStr">
        <is>
          <t>2026-W24</t>
        </is>
      </c>
      <c r="C1424" t="inlineStr">
        <is>
          <t>Nuvei</t>
        </is>
      </c>
      <c r="D1424" t="inlineStr">
        <is>
          <t>USD</t>
        </is>
      </c>
      <c r="E1424" s="9" t="n">
        <v>2973.7</v>
      </c>
      <c r="F1424" s="9" t="n">
        <v>-88.47</v>
      </c>
      <c r="G1424" s="9" t="n">
        <v>0</v>
      </c>
      <c r="H1424" s="9">
        <f>IF(D1424="USD",E1424*$N$1,E1424)</f>
        <v/>
      </c>
      <c r="I1424" s="9">
        <f>IF(D1424="USD",F1424*$N$1,F1424)</f>
        <v/>
      </c>
      <c r="J1424" s="9">
        <f>IF(D1424="USD",G1424*$N$1,G1424)</f>
        <v/>
      </c>
      <c r="K1424" s="9">
        <f>H1424+I1424</f>
        <v/>
      </c>
    </row>
    <row r="1425">
      <c r="A1425" s="8" t="n">
        <v>46187</v>
      </c>
      <c r="B1425" t="inlineStr">
        <is>
          <t>2026-W24</t>
        </is>
      </c>
      <c r="C1425" t="inlineStr">
        <is>
          <t>Shift4</t>
        </is>
      </c>
      <c r="D1425" t="inlineStr">
        <is>
          <t>EUR</t>
        </is>
      </c>
      <c r="E1425" s="9" t="n">
        <v>550647.23</v>
      </c>
      <c r="F1425" s="9" t="n">
        <v>-3515.21994</v>
      </c>
      <c r="G1425" s="9" t="n">
        <v>0</v>
      </c>
      <c r="H1425" s="9">
        <f>IF(D1425="USD",E1425*$N$1,E1425)</f>
        <v/>
      </c>
      <c r="I1425" s="9">
        <f>IF(D1425="USD",F1425*$N$1,F1425)</f>
        <v/>
      </c>
      <c r="J1425" s="9">
        <f>IF(D1425="USD",G1425*$N$1,G1425)</f>
        <v/>
      </c>
      <c r="K1425" s="9">
        <f>H1425+I1425</f>
        <v/>
      </c>
    </row>
    <row r="1426">
      <c r="A1426" s="8" t="n">
        <v>46188</v>
      </c>
      <c r="B1426" t="inlineStr">
        <is>
          <t>2026-W25</t>
        </is>
      </c>
      <c r="C1426" t="inlineStr">
        <is>
          <t>Adyen</t>
        </is>
      </c>
      <c r="D1426" t="inlineStr">
        <is>
          <t>EUR</t>
        </is>
      </c>
      <c r="E1426" s="9" t="n">
        <v>0</v>
      </c>
      <c r="F1426" s="9" t="n">
        <v>0</v>
      </c>
      <c r="G1426" s="9" t="n">
        <v>-888100.4600000001</v>
      </c>
      <c r="H1426" s="9">
        <f>IF(D1426="USD",E1426*$N$1,E1426)</f>
        <v/>
      </c>
      <c r="I1426" s="9">
        <f>IF(D1426="USD",F1426*$N$1,F1426)</f>
        <v/>
      </c>
      <c r="J1426" s="9">
        <f>IF(D1426="USD",G1426*$N$1,G1426)</f>
        <v/>
      </c>
      <c r="K1426" s="9">
        <f>H1426+I1426</f>
        <v/>
      </c>
    </row>
    <row r="1427">
      <c r="A1427" s="8" t="n">
        <v>46188</v>
      </c>
      <c r="B1427" t="inlineStr">
        <is>
          <t>2026-W25</t>
        </is>
      </c>
      <c r="C1427" t="inlineStr">
        <is>
          <t>Adyen</t>
        </is>
      </c>
      <c r="D1427" t="inlineStr">
        <is>
          <t>EUR</t>
        </is>
      </c>
      <c r="E1427" s="9" t="n">
        <v>797183.73</v>
      </c>
      <c r="F1427" s="9" t="n">
        <v>-6977.160000000033</v>
      </c>
      <c r="G1427" s="9" t="n">
        <v>0</v>
      </c>
      <c r="H1427" s="9">
        <f>IF(D1427="USD",E1427*$N$1,E1427)</f>
        <v/>
      </c>
      <c r="I1427" s="9">
        <f>IF(D1427="USD",F1427*$N$1,F1427)</f>
        <v/>
      </c>
      <c r="J1427" s="9">
        <f>IF(D1427="USD",G1427*$N$1,G1427)</f>
        <v/>
      </c>
      <c r="K1427" s="9">
        <f>H1427+I1427</f>
        <v/>
      </c>
    </row>
    <row r="1428">
      <c r="A1428" s="8" t="n">
        <v>46188</v>
      </c>
      <c r="B1428" t="inlineStr">
        <is>
          <t>2026-W25</t>
        </is>
      </c>
      <c r="C1428" t="inlineStr">
        <is>
          <t>Adyen</t>
        </is>
      </c>
      <c r="D1428" t="inlineStr">
        <is>
          <t>EUR</t>
        </is>
      </c>
      <c r="E1428" s="9" t="n">
        <v>158370.29</v>
      </c>
      <c r="F1428" s="9" t="n">
        <v>0</v>
      </c>
      <c r="G1428" s="9" t="n">
        <v>0</v>
      </c>
      <c r="H1428" s="9">
        <f>IF(D1428="USD",E1428*$N$1,E1428)</f>
        <v/>
      </c>
      <c r="I1428" s="9">
        <f>IF(D1428="USD",F1428*$N$1,F1428)</f>
        <v/>
      </c>
      <c r="J1428" s="9">
        <f>IF(D1428="USD",G1428*$N$1,G1428)</f>
        <v/>
      </c>
      <c r="K1428" s="9">
        <f>H1428+I1428</f>
        <v/>
      </c>
    </row>
    <row r="1429">
      <c r="A1429" s="8" t="n">
        <v>46188</v>
      </c>
      <c r="B1429" t="inlineStr">
        <is>
          <t>2026-W25</t>
        </is>
      </c>
      <c r="C1429" t="inlineStr">
        <is>
          <t>Nuvei</t>
        </is>
      </c>
      <c r="D1429" t="inlineStr">
        <is>
          <t>EUR</t>
        </is>
      </c>
      <c r="E1429" s="9" t="n">
        <v>0</v>
      </c>
      <c r="F1429" s="9" t="n">
        <v>0</v>
      </c>
      <c r="G1429" s="9" t="n">
        <v>-482098.56</v>
      </c>
      <c r="H1429" s="9">
        <f>IF(D1429="USD",E1429*$N$1,E1429)</f>
        <v/>
      </c>
      <c r="I1429" s="9">
        <f>IF(D1429="USD",F1429*$N$1,F1429)</f>
        <v/>
      </c>
      <c r="J1429" s="9">
        <f>IF(D1429="USD",G1429*$N$1,G1429)</f>
        <v/>
      </c>
      <c r="K1429" s="9">
        <f>H1429+I1429</f>
        <v/>
      </c>
    </row>
    <row r="1430">
      <c r="A1430" s="8" t="n">
        <v>46188</v>
      </c>
      <c r="B1430" t="inlineStr">
        <is>
          <t>2026-W25</t>
        </is>
      </c>
      <c r="C1430" t="inlineStr">
        <is>
          <t>Nuvei</t>
        </is>
      </c>
      <c r="D1430" t="inlineStr">
        <is>
          <t>EUR</t>
        </is>
      </c>
      <c r="E1430" s="9" t="n">
        <v>0</v>
      </c>
      <c r="F1430" s="9" t="n">
        <v>0</v>
      </c>
      <c r="G1430" s="9" t="n">
        <v>-180238.53</v>
      </c>
      <c r="H1430" s="9">
        <f>IF(D1430="USD",E1430*$N$1,E1430)</f>
        <v/>
      </c>
      <c r="I1430" s="9">
        <f>IF(D1430="USD",F1430*$N$1,F1430)</f>
        <v/>
      </c>
      <c r="J1430" s="9">
        <f>IF(D1430="USD",G1430*$N$1,G1430)</f>
        <v/>
      </c>
      <c r="K1430" s="9">
        <f>H1430+I1430</f>
        <v/>
      </c>
    </row>
    <row r="1431">
      <c r="A1431" s="8" t="n">
        <v>46188</v>
      </c>
      <c r="B1431" t="inlineStr">
        <is>
          <t>2026-W25</t>
        </is>
      </c>
      <c r="C1431" t="inlineStr">
        <is>
          <t>Nuvei</t>
        </is>
      </c>
      <c r="D1431" t="inlineStr">
        <is>
          <t>EUR</t>
        </is>
      </c>
      <c r="E1431" s="9" t="n">
        <v>380440.64</v>
      </c>
      <c r="F1431" s="9" t="n">
        <v>-5691.92</v>
      </c>
      <c r="G1431" s="9" t="n">
        <v>0</v>
      </c>
      <c r="H1431" s="9">
        <f>IF(D1431="USD",E1431*$N$1,E1431)</f>
        <v/>
      </c>
      <c r="I1431" s="9">
        <f>IF(D1431="USD",F1431*$N$1,F1431)</f>
        <v/>
      </c>
      <c r="J1431" s="9">
        <f>IF(D1431="USD",G1431*$N$1,G1431)</f>
        <v/>
      </c>
      <c r="K1431" s="9">
        <f>H1431+I1431</f>
        <v/>
      </c>
    </row>
    <row r="1432">
      <c r="A1432" s="8" t="n">
        <v>46188</v>
      </c>
      <c r="B1432" t="inlineStr">
        <is>
          <t>2026-W25</t>
        </is>
      </c>
      <c r="C1432" t="inlineStr">
        <is>
          <t>Nuvei</t>
        </is>
      </c>
      <c r="D1432" t="inlineStr">
        <is>
          <t>EUR</t>
        </is>
      </c>
      <c r="E1432" s="9" t="n">
        <v>256604.58</v>
      </c>
      <c r="F1432" s="9" t="n">
        <v>-7238.51</v>
      </c>
      <c r="G1432" s="9" t="n">
        <v>0</v>
      </c>
      <c r="H1432" s="9">
        <f>IF(D1432="USD",E1432*$N$1,E1432)</f>
        <v/>
      </c>
      <c r="I1432" s="9">
        <f>IF(D1432="USD",F1432*$N$1,F1432)</f>
        <v/>
      </c>
      <c r="J1432" s="9">
        <f>IF(D1432="USD",G1432*$N$1,G1432)</f>
        <v/>
      </c>
      <c r="K1432" s="9">
        <f>H1432+I1432</f>
        <v/>
      </c>
    </row>
    <row r="1433">
      <c r="A1433" s="8" t="n">
        <v>46188</v>
      </c>
      <c r="B1433" t="inlineStr">
        <is>
          <t>2026-W25</t>
        </is>
      </c>
      <c r="C1433" t="inlineStr">
        <is>
          <t>Nuvei</t>
        </is>
      </c>
      <c r="D1433" t="inlineStr">
        <is>
          <t>EUR</t>
        </is>
      </c>
      <c r="E1433" s="9" t="n">
        <v>6740.19</v>
      </c>
      <c r="F1433" s="9" t="n">
        <v>-230.98</v>
      </c>
      <c r="G1433" s="9" t="n">
        <v>0</v>
      </c>
      <c r="H1433" s="9">
        <f>IF(D1433="USD",E1433*$N$1,E1433)</f>
        <v/>
      </c>
      <c r="I1433" s="9">
        <f>IF(D1433="USD",F1433*$N$1,F1433)</f>
        <v/>
      </c>
      <c r="J1433" s="9">
        <f>IF(D1433="USD",G1433*$N$1,G1433)</f>
        <v/>
      </c>
      <c r="K1433" s="9">
        <f>H1433+I1433</f>
        <v/>
      </c>
    </row>
    <row r="1434">
      <c r="A1434" s="8" t="n">
        <v>46188</v>
      </c>
      <c r="B1434" t="inlineStr">
        <is>
          <t>2026-W25</t>
        </is>
      </c>
      <c r="C1434" t="inlineStr">
        <is>
          <t>Nuvei</t>
        </is>
      </c>
      <c r="D1434" t="inlineStr">
        <is>
          <t>USD</t>
        </is>
      </c>
      <c r="E1434" s="9" t="n">
        <v>4396.6</v>
      </c>
      <c r="F1434" s="9" t="n">
        <v>-148.41</v>
      </c>
      <c r="G1434" s="9" t="n">
        <v>0</v>
      </c>
      <c r="H1434" s="9">
        <f>IF(D1434="USD",E1434*$N$1,E1434)</f>
        <v/>
      </c>
      <c r="I1434" s="9">
        <f>IF(D1434="USD",F1434*$N$1,F1434)</f>
        <v/>
      </c>
      <c r="J1434" s="9">
        <f>IF(D1434="USD",G1434*$N$1,G1434)</f>
        <v/>
      </c>
      <c r="K1434" s="9">
        <f>H1434+I1434</f>
        <v/>
      </c>
    </row>
    <row r="1435">
      <c r="A1435" s="8" t="n">
        <v>46188</v>
      </c>
      <c r="B1435" t="inlineStr">
        <is>
          <t>2026-W25</t>
        </is>
      </c>
      <c r="C1435" t="inlineStr">
        <is>
          <t>Shift4</t>
        </is>
      </c>
      <c r="D1435" t="inlineStr">
        <is>
          <t>EUR</t>
        </is>
      </c>
      <c r="E1435" s="9" t="n">
        <v>0</v>
      </c>
      <c r="F1435" s="9" t="n">
        <v>0</v>
      </c>
      <c r="G1435" s="9" t="n">
        <v>-657468.64</v>
      </c>
      <c r="H1435" s="9">
        <f>IF(D1435="USD",E1435*$N$1,E1435)</f>
        <v/>
      </c>
      <c r="I1435" s="9">
        <f>IF(D1435="USD",F1435*$N$1,F1435)</f>
        <v/>
      </c>
      <c r="J1435" s="9">
        <f>IF(D1435="USD",G1435*$N$1,G1435)</f>
        <v/>
      </c>
      <c r="K1435" s="9">
        <f>H1435+I1435</f>
        <v/>
      </c>
    </row>
    <row r="1436">
      <c r="A1436" s="8" t="n">
        <v>46188</v>
      </c>
      <c r="B1436" t="inlineStr">
        <is>
          <t>2026-W25</t>
        </is>
      </c>
      <c r="C1436" t="inlineStr">
        <is>
          <t>Shift4</t>
        </is>
      </c>
      <c r="D1436" t="inlineStr">
        <is>
          <t>EUR</t>
        </is>
      </c>
      <c r="E1436" s="9" t="n">
        <v>585317.42</v>
      </c>
      <c r="F1436" s="9" t="n">
        <v>-4576.29893</v>
      </c>
      <c r="G1436" s="9" t="n">
        <v>0</v>
      </c>
      <c r="H1436" s="9">
        <f>IF(D1436="USD",E1436*$N$1,E1436)</f>
        <v/>
      </c>
      <c r="I1436" s="9">
        <f>IF(D1436="USD",F1436*$N$1,F1436)</f>
        <v/>
      </c>
      <c r="J1436" s="9">
        <f>IF(D1436="USD",G1436*$N$1,G1436)</f>
        <v/>
      </c>
      <c r="K1436" s="9">
        <f>H1436+I1436</f>
        <v/>
      </c>
    </row>
    <row r="1437">
      <c r="A1437" s="8" t="n">
        <v>46189</v>
      </c>
      <c r="B1437" t="inlineStr">
        <is>
          <t>2026-W25</t>
        </is>
      </c>
      <c r="C1437" t="inlineStr">
        <is>
          <t>Adyen</t>
        </is>
      </c>
      <c r="D1437" t="inlineStr">
        <is>
          <t>EUR</t>
        </is>
      </c>
      <c r="E1437" s="9" t="n">
        <v>0</v>
      </c>
      <c r="F1437" s="9" t="n">
        <v>0</v>
      </c>
      <c r="G1437" s="9" t="n">
        <v>-1877220.23</v>
      </c>
      <c r="H1437" s="9">
        <f>IF(D1437="USD",E1437*$N$1,E1437)</f>
        <v/>
      </c>
      <c r="I1437" s="9">
        <f>IF(D1437="USD",F1437*$N$1,F1437)</f>
        <v/>
      </c>
      <c r="J1437" s="9">
        <f>IF(D1437="USD",G1437*$N$1,G1437)</f>
        <v/>
      </c>
      <c r="K1437" s="9">
        <f>H1437+I1437</f>
        <v/>
      </c>
    </row>
    <row r="1438">
      <c r="A1438" s="8" t="n">
        <v>46189</v>
      </c>
      <c r="B1438" t="inlineStr">
        <is>
          <t>2026-W25</t>
        </is>
      </c>
      <c r="C1438" t="inlineStr">
        <is>
          <t>Adyen</t>
        </is>
      </c>
      <c r="D1438" t="inlineStr">
        <is>
          <t>EUR</t>
        </is>
      </c>
      <c r="E1438" s="9" t="n">
        <v>765178.03</v>
      </c>
      <c r="F1438" s="9" t="n">
        <v>-10434.58999999997</v>
      </c>
      <c r="G1438" s="9" t="n">
        <v>0</v>
      </c>
      <c r="H1438" s="9">
        <f>IF(D1438="USD",E1438*$N$1,E1438)</f>
        <v/>
      </c>
      <c r="I1438" s="9">
        <f>IF(D1438="USD",F1438*$N$1,F1438)</f>
        <v/>
      </c>
      <c r="J1438" s="9">
        <f>IF(D1438="USD",G1438*$N$1,G1438)</f>
        <v/>
      </c>
      <c r="K1438" s="9">
        <f>H1438+I1438</f>
        <v/>
      </c>
    </row>
    <row r="1439">
      <c r="A1439" s="8" t="n">
        <v>46189</v>
      </c>
      <c r="B1439" t="inlineStr">
        <is>
          <t>2026-W25</t>
        </is>
      </c>
      <c r="C1439" t="inlineStr">
        <is>
          <t>Adyen</t>
        </is>
      </c>
      <c r="D1439" t="inlineStr">
        <is>
          <t>EUR</t>
        </is>
      </c>
      <c r="E1439" s="9" t="n">
        <v>151983.92</v>
      </c>
      <c r="F1439" s="9" t="n">
        <v>0</v>
      </c>
      <c r="G1439" s="9" t="n">
        <v>0</v>
      </c>
      <c r="H1439" s="9">
        <f>IF(D1439="USD",E1439*$N$1,E1439)</f>
        <v/>
      </c>
      <c r="I1439" s="9">
        <f>IF(D1439="USD",F1439*$N$1,F1439)</f>
        <v/>
      </c>
      <c r="J1439" s="9">
        <f>IF(D1439="USD",G1439*$N$1,G1439)</f>
        <v/>
      </c>
      <c r="K1439" s="9">
        <f>H1439+I1439</f>
        <v/>
      </c>
    </row>
    <row r="1440">
      <c r="A1440" s="8" t="n">
        <v>46189</v>
      </c>
      <c r="B1440" t="inlineStr">
        <is>
          <t>2026-W25</t>
        </is>
      </c>
      <c r="C1440" t="inlineStr">
        <is>
          <t>Nuvei</t>
        </is>
      </c>
      <c r="D1440" t="inlineStr">
        <is>
          <t>EUR</t>
        </is>
      </c>
      <c r="E1440" s="9" t="n">
        <v>0</v>
      </c>
      <c r="F1440" s="9" t="n">
        <v>0</v>
      </c>
      <c r="G1440" s="9" t="n">
        <v>-443218.75</v>
      </c>
      <c r="H1440" s="9">
        <f>IF(D1440="USD",E1440*$N$1,E1440)</f>
        <v/>
      </c>
      <c r="I1440" s="9">
        <f>IF(D1440="USD",F1440*$N$1,F1440)</f>
        <v/>
      </c>
      <c r="J1440" s="9">
        <f>IF(D1440="USD",G1440*$N$1,G1440)</f>
        <v/>
      </c>
      <c r="K1440" s="9">
        <f>H1440+I1440</f>
        <v/>
      </c>
    </row>
    <row r="1441">
      <c r="A1441" s="8" t="n">
        <v>46189</v>
      </c>
      <c r="B1441" t="inlineStr">
        <is>
          <t>2026-W25</t>
        </is>
      </c>
      <c r="C1441" t="inlineStr">
        <is>
          <t>Nuvei</t>
        </is>
      </c>
      <c r="D1441" t="inlineStr">
        <is>
          <t>EUR</t>
        </is>
      </c>
      <c r="E1441" s="9" t="n">
        <v>0</v>
      </c>
      <c r="F1441" s="9" t="n">
        <v>0</v>
      </c>
      <c r="G1441" s="9" t="n">
        <v>-241866.12</v>
      </c>
      <c r="H1441" s="9">
        <f>IF(D1441="USD",E1441*$N$1,E1441)</f>
        <v/>
      </c>
      <c r="I1441" s="9">
        <f>IF(D1441="USD",F1441*$N$1,F1441)</f>
        <v/>
      </c>
      <c r="J1441" s="9">
        <f>IF(D1441="USD",G1441*$N$1,G1441)</f>
        <v/>
      </c>
      <c r="K1441" s="9">
        <f>H1441+I1441</f>
        <v/>
      </c>
    </row>
    <row r="1442">
      <c r="A1442" s="8" t="n">
        <v>46189</v>
      </c>
      <c r="B1442" t="inlineStr">
        <is>
          <t>2026-W25</t>
        </is>
      </c>
      <c r="C1442" t="inlineStr">
        <is>
          <t>Nuvei</t>
        </is>
      </c>
      <c r="D1442" t="inlineStr">
        <is>
          <t>EUR</t>
        </is>
      </c>
      <c r="E1442" s="9" t="n">
        <v>387320.45</v>
      </c>
      <c r="F1442" s="9" t="n">
        <v>-5955.59</v>
      </c>
      <c r="G1442" s="9" t="n">
        <v>0</v>
      </c>
      <c r="H1442" s="9">
        <f>IF(D1442="USD",E1442*$N$1,E1442)</f>
        <v/>
      </c>
      <c r="I1442" s="9">
        <f>IF(D1442="USD",F1442*$N$1,F1442)</f>
        <v/>
      </c>
      <c r="J1442" s="9">
        <f>IF(D1442="USD",G1442*$N$1,G1442)</f>
        <v/>
      </c>
      <c r="K1442" s="9">
        <f>H1442+I1442</f>
        <v/>
      </c>
    </row>
    <row r="1443">
      <c r="A1443" s="8" t="n">
        <v>46189</v>
      </c>
      <c r="B1443" t="inlineStr">
        <is>
          <t>2026-W25</t>
        </is>
      </c>
      <c r="C1443" t="inlineStr">
        <is>
          <t>Nuvei</t>
        </is>
      </c>
      <c r="D1443" t="inlineStr">
        <is>
          <t>EUR</t>
        </is>
      </c>
      <c r="E1443" s="9" t="n">
        <v>279766.65</v>
      </c>
      <c r="F1443" s="9" t="n">
        <v>-8000.69</v>
      </c>
      <c r="G1443" s="9" t="n">
        <v>0</v>
      </c>
      <c r="H1443" s="9">
        <f>IF(D1443="USD",E1443*$N$1,E1443)</f>
        <v/>
      </c>
      <c r="I1443" s="9">
        <f>IF(D1443="USD",F1443*$N$1,F1443)</f>
        <v/>
      </c>
      <c r="J1443" s="9">
        <f>IF(D1443="USD",G1443*$N$1,G1443)</f>
        <v/>
      </c>
      <c r="K1443" s="9">
        <f>H1443+I1443</f>
        <v/>
      </c>
    </row>
    <row r="1444">
      <c r="A1444" s="8" t="n">
        <v>46189</v>
      </c>
      <c r="B1444" t="inlineStr">
        <is>
          <t>2026-W25</t>
        </is>
      </c>
      <c r="C1444" t="inlineStr">
        <is>
          <t>Nuvei</t>
        </is>
      </c>
      <c r="D1444" t="inlineStr">
        <is>
          <t>EUR</t>
        </is>
      </c>
      <c r="E1444" s="9" t="n">
        <v>39494.4</v>
      </c>
      <c r="F1444" s="9" t="n">
        <v>-970.0700000000001</v>
      </c>
      <c r="G1444" s="9" t="n">
        <v>0</v>
      </c>
      <c r="H1444" s="9">
        <f>IF(D1444="USD",E1444*$N$1,E1444)</f>
        <v/>
      </c>
      <c r="I1444" s="9">
        <f>IF(D1444="USD",F1444*$N$1,F1444)</f>
        <v/>
      </c>
      <c r="J1444" s="9">
        <f>IF(D1444="USD",G1444*$N$1,G1444)</f>
        <v/>
      </c>
      <c r="K1444" s="9">
        <f>H1444+I1444</f>
        <v/>
      </c>
    </row>
    <row r="1445">
      <c r="A1445" s="8" t="n">
        <v>46189</v>
      </c>
      <c r="B1445" t="inlineStr">
        <is>
          <t>2026-W25</t>
        </is>
      </c>
      <c r="C1445" t="inlineStr">
        <is>
          <t>Nuvei</t>
        </is>
      </c>
      <c r="D1445" t="inlineStr">
        <is>
          <t>USD</t>
        </is>
      </c>
      <c r="E1445" s="9" t="n">
        <v>9470.9</v>
      </c>
      <c r="F1445" s="9" t="n">
        <v>-272.59</v>
      </c>
      <c r="G1445" s="9" t="n">
        <v>0</v>
      </c>
      <c r="H1445" s="9">
        <f>IF(D1445="USD",E1445*$N$1,E1445)</f>
        <v/>
      </c>
      <c r="I1445" s="9">
        <f>IF(D1445="USD",F1445*$N$1,F1445)</f>
        <v/>
      </c>
      <c r="J1445" s="9">
        <f>IF(D1445="USD",G1445*$N$1,G1445)</f>
        <v/>
      </c>
      <c r="K1445" s="9">
        <f>H1445+I1445</f>
        <v/>
      </c>
    </row>
    <row r="1446">
      <c r="A1446" s="8" t="n">
        <v>46189</v>
      </c>
      <c r="B1446" t="inlineStr">
        <is>
          <t>2026-W25</t>
        </is>
      </c>
      <c r="C1446" t="inlineStr">
        <is>
          <t>Shift4</t>
        </is>
      </c>
      <c r="D1446" t="inlineStr">
        <is>
          <t>EUR</t>
        </is>
      </c>
      <c r="E1446" s="9" t="n">
        <v>0</v>
      </c>
      <c r="F1446" s="9" t="n">
        <v>0</v>
      </c>
      <c r="G1446" s="9" t="n">
        <v>-550652.9399999999</v>
      </c>
      <c r="H1446" s="9">
        <f>IF(D1446="USD",E1446*$N$1,E1446)</f>
        <v/>
      </c>
      <c r="I1446" s="9">
        <f>IF(D1446="USD",F1446*$N$1,F1446)</f>
        <v/>
      </c>
      <c r="J1446" s="9">
        <f>IF(D1446="USD",G1446*$N$1,G1446)</f>
        <v/>
      </c>
      <c r="K1446" s="9">
        <f>H1446+I1446</f>
        <v/>
      </c>
    </row>
    <row r="1447">
      <c r="A1447" s="8" t="n">
        <v>46189</v>
      </c>
      <c r="B1447" t="inlineStr">
        <is>
          <t>2026-W25</t>
        </is>
      </c>
      <c r="C1447" t="inlineStr">
        <is>
          <t>Shift4</t>
        </is>
      </c>
      <c r="D1447" t="inlineStr">
        <is>
          <t>EUR</t>
        </is>
      </c>
      <c r="E1447" s="9" t="n">
        <v>581378.46</v>
      </c>
      <c r="F1447" s="9" t="n">
        <v>-6245.1458</v>
      </c>
      <c r="G1447" s="9" t="n">
        <v>0</v>
      </c>
      <c r="H1447" s="9">
        <f>IF(D1447="USD",E1447*$N$1,E1447)</f>
        <v/>
      </c>
      <c r="I1447" s="9">
        <f>IF(D1447="USD",F1447*$N$1,F1447)</f>
        <v/>
      </c>
      <c r="J1447" s="9">
        <f>IF(D1447="USD",G1447*$N$1,G1447)</f>
        <v/>
      </c>
      <c r="K1447" s="9">
        <f>H1447+I1447</f>
        <v/>
      </c>
    </row>
    <row r="1448">
      <c r="A1448" s="8" t="n">
        <v>46190</v>
      </c>
      <c r="B1448" t="inlineStr">
        <is>
          <t>2026-W25</t>
        </is>
      </c>
      <c r="C1448" t="inlineStr">
        <is>
          <t>Adyen</t>
        </is>
      </c>
      <c r="D1448" t="inlineStr">
        <is>
          <t>EUR</t>
        </is>
      </c>
      <c r="E1448" s="9" t="n">
        <v>0</v>
      </c>
      <c r="F1448" s="9" t="n">
        <v>0</v>
      </c>
      <c r="G1448" s="9" t="n">
        <v>-948576.86</v>
      </c>
      <c r="H1448" s="9">
        <f>IF(D1448="USD",E1448*$N$1,E1448)</f>
        <v/>
      </c>
      <c r="I1448" s="9">
        <f>IF(D1448="USD",F1448*$N$1,F1448)</f>
        <v/>
      </c>
      <c r="J1448" s="9">
        <f>IF(D1448="USD",G1448*$N$1,G1448)</f>
        <v/>
      </c>
      <c r="K1448" s="9">
        <f>H1448+I1448</f>
        <v/>
      </c>
    </row>
    <row r="1449">
      <c r="A1449" s="8" t="n">
        <v>46190</v>
      </c>
      <c r="B1449" t="inlineStr">
        <is>
          <t>2026-W25</t>
        </is>
      </c>
      <c r="C1449" t="inlineStr">
        <is>
          <t>Adyen</t>
        </is>
      </c>
      <c r="D1449" t="inlineStr">
        <is>
          <t>EUR</t>
        </is>
      </c>
      <c r="E1449" s="9" t="n">
        <v>739109.61</v>
      </c>
      <c r="F1449" s="9" t="n">
        <v>-6041.979999999981</v>
      </c>
      <c r="G1449" s="9" t="n">
        <v>0</v>
      </c>
      <c r="H1449" s="9">
        <f>IF(D1449="USD",E1449*$N$1,E1449)</f>
        <v/>
      </c>
      <c r="I1449" s="9">
        <f>IF(D1449="USD",F1449*$N$1,F1449)</f>
        <v/>
      </c>
      <c r="J1449" s="9">
        <f>IF(D1449="USD",G1449*$N$1,G1449)</f>
        <v/>
      </c>
      <c r="K1449" s="9">
        <f>H1449+I1449</f>
        <v/>
      </c>
    </row>
    <row r="1450">
      <c r="A1450" s="8" t="n">
        <v>46190</v>
      </c>
      <c r="B1450" t="inlineStr">
        <is>
          <t>2026-W25</t>
        </is>
      </c>
      <c r="C1450" t="inlineStr">
        <is>
          <t>Adyen</t>
        </is>
      </c>
      <c r="D1450" t="inlineStr">
        <is>
          <t>EUR</t>
        </is>
      </c>
      <c r="E1450" s="9" t="n">
        <v>152606.88</v>
      </c>
      <c r="F1450" s="9" t="n">
        <v>0</v>
      </c>
      <c r="G1450" s="9" t="n">
        <v>0</v>
      </c>
      <c r="H1450" s="9">
        <f>IF(D1450="USD",E1450*$N$1,E1450)</f>
        <v/>
      </c>
      <c r="I1450" s="9">
        <f>IF(D1450="USD",F1450*$N$1,F1450)</f>
        <v/>
      </c>
      <c r="J1450" s="9">
        <f>IF(D1450="USD",G1450*$N$1,G1450)</f>
        <v/>
      </c>
      <c r="K1450" s="9">
        <f>H1450+I1450</f>
        <v/>
      </c>
    </row>
    <row r="1451">
      <c r="A1451" s="8" t="n">
        <v>46190</v>
      </c>
      <c r="B1451" t="inlineStr">
        <is>
          <t>2026-W25</t>
        </is>
      </c>
      <c r="C1451" t="inlineStr">
        <is>
          <t>Nuvei</t>
        </is>
      </c>
      <c r="D1451" t="inlineStr">
        <is>
          <t>EUR</t>
        </is>
      </c>
      <c r="E1451" s="9" t="n">
        <v>0</v>
      </c>
      <c r="F1451" s="9" t="n">
        <v>0</v>
      </c>
      <c r="G1451" s="9" t="n">
        <v>-397449.43</v>
      </c>
      <c r="H1451" s="9">
        <f>IF(D1451="USD",E1451*$N$1,E1451)</f>
        <v/>
      </c>
      <c r="I1451" s="9">
        <f>IF(D1451="USD",F1451*$N$1,F1451)</f>
        <v/>
      </c>
      <c r="J1451" s="9">
        <f>IF(D1451="USD",G1451*$N$1,G1451)</f>
        <v/>
      </c>
      <c r="K1451" s="9">
        <f>H1451+I1451</f>
        <v/>
      </c>
    </row>
    <row r="1452">
      <c r="A1452" s="8" t="n">
        <v>46190</v>
      </c>
      <c r="B1452" t="inlineStr">
        <is>
          <t>2026-W25</t>
        </is>
      </c>
      <c r="C1452" t="inlineStr">
        <is>
          <t>Nuvei</t>
        </is>
      </c>
      <c r="D1452" t="inlineStr">
        <is>
          <t>EUR</t>
        </is>
      </c>
      <c r="E1452" s="9" t="n">
        <v>0</v>
      </c>
      <c r="F1452" s="9" t="n">
        <v>0</v>
      </c>
      <c r="G1452" s="9" t="n">
        <v>-313001.46</v>
      </c>
      <c r="H1452" s="9">
        <f>IF(D1452="USD",E1452*$N$1,E1452)</f>
        <v/>
      </c>
      <c r="I1452" s="9">
        <f>IF(D1452="USD",F1452*$N$1,F1452)</f>
        <v/>
      </c>
      <c r="J1452" s="9">
        <f>IF(D1452="USD",G1452*$N$1,G1452)</f>
        <v/>
      </c>
      <c r="K1452" s="9">
        <f>H1452+I1452</f>
        <v/>
      </c>
    </row>
    <row r="1453">
      <c r="A1453" s="8" t="n">
        <v>46190</v>
      </c>
      <c r="B1453" t="inlineStr">
        <is>
          <t>2026-W25</t>
        </is>
      </c>
      <c r="C1453" t="inlineStr">
        <is>
          <t>Nuvei</t>
        </is>
      </c>
      <c r="D1453" t="inlineStr">
        <is>
          <t>EUR</t>
        </is>
      </c>
      <c r="E1453" s="9" t="n">
        <v>411756.02</v>
      </c>
      <c r="F1453" s="9" t="n">
        <v>-6782.63</v>
      </c>
      <c r="G1453" s="9" t="n">
        <v>0</v>
      </c>
      <c r="H1453" s="9">
        <f>IF(D1453="USD",E1453*$N$1,E1453)</f>
        <v/>
      </c>
      <c r="I1453" s="9">
        <f>IF(D1453="USD",F1453*$N$1,F1453)</f>
        <v/>
      </c>
      <c r="J1453" s="9">
        <f>IF(D1453="USD",G1453*$N$1,G1453)</f>
        <v/>
      </c>
      <c r="K1453" s="9">
        <f>H1453+I1453</f>
        <v/>
      </c>
    </row>
    <row r="1454">
      <c r="A1454" s="8" t="n">
        <v>46190</v>
      </c>
      <c r="B1454" t="inlineStr">
        <is>
          <t>2026-W25</t>
        </is>
      </c>
      <c r="C1454" t="inlineStr">
        <is>
          <t>Nuvei</t>
        </is>
      </c>
      <c r="D1454" t="inlineStr">
        <is>
          <t>EUR</t>
        </is>
      </c>
      <c r="E1454" s="9" t="n">
        <v>272475.24</v>
      </c>
      <c r="F1454" s="9" t="n">
        <v>-7804.2</v>
      </c>
      <c r="G1454" s="9" t="n">
        <v>0</v>
      </c>
      <c r="H1454" s="9">
        <f>IF(D1454="USD",E1454*$N$1,E1454)</f>
        <v/>
      </c>
      <c r="I1454" s="9">
        <f>IF(D1454="USD",F1454*$N$1,F1454)</f>
        <v/>
      </c>
      <c r="J1454" s="9">
        <f>IF(D1454="USD",G1454*$N$1,G1454)</f>
        <v/>
      </c>
      <c r="K1454" s="9">
        <f>H1454+I1454</f>
        <v/>
      </c>
    </row>
    <row r="1455">
      <c r="A1455" s="8" t="n">
        <v>46190</v>
      </c>
      <c r="B1455" t="inlineStr">
        <is>
          <t>2026-W25</t>
        </is>
      </c>
      <c r="C1455" t="inlineStr">
        <is>
          <t>Nuvei</t>
        </is>
      </c>
      <c r="D1455" t="inlineStr">
        <is>
          <t>EUR</t>
        </is>
      </c>
      <c r="E1455" s="9" t="n">
        <v>35734.21</v>
      </c>
      <c r="F1455" s="9" t="n">
        <v>-872.25</v>
      </c>
      <c r="G1455" s="9" t="n">
        <v>0</v>
      </c>
      <c r="H1455" s="9">
        <f>IF(D1455="USD",E1455*$N$1,E1455)</f>
        <v/>
      </c>
      <c r="I1455" s="9">
        <f>IF(D1455="USD",F1455*$N$1,F1455)</f>
        <v/>
      </c>
      <c r="J1455" s="9">
        <f>IF(D1455="USD",G1455*$N$1,G1455)</f>
        <v/>
      </c>
      <c r="K1455" s="9">
        <f>H1455+I1455</f>
        <v/>
      </c>
    </row>
    <row r="1456">
      <c r="A1456" s="8" t="n">
        <v>46190</v>
      </c>
      <c r="B1456" t="inlineStr">
        <is>
          <t>2026-W25</t>
        </is>
      </c>
      <c r="C1456" t="inlineStr">
        <is>
          <t>Nuvei</t>
        </is>
      </c>
      <c r="D1456" t="inlineStr">
        <is>
          <t>USD</t>
        </is>
      </c>
      <c r="E1456" s="9" t="n">
        <v>13618.9</v>
      </c>
      <c r="F1456" s="9" t="n">
        <v>-383.78</v>
      </c>
      <c r="G1456" s="9" t="n">
        <v>0</v>
      </c>
      <c r="H1456" s="9">
        <f>IF(D1456="USD",E1456*$N$1,E1456)</f>
        <v/>
      </c>
      <c r="I1456" s="9">
        <f>IF(D1456="USD",F1456*$N$1,F1456)</f>
        <v/>
      </c>
      <c r="J1456" s="9">
        <f>IF(D1456="USD",G1456*$N$1,G1456)</f>
        <v/>
      </c>
      <c r="K1456" s="9">
        <f>H1456+I1456</f>
        <v/>
      </c>
    </row>
    <row r="1457">
      <c r="A1457" s="8" t="n">
        <v>46190</v>
      </c>
      <c r="B1457" t="inlineStr">
        <is>
          <t>2026-W25</t>
        </is>
      </c>
      <c r="C1457" t="inlineStr">
        <is>
          <t>Shift4</t>
        </is>
      </c>
      <c r="D1457" t="inlineStr">
        <is>
          <t>EUR</t>
        </is>
      </c>
      <c r="E1457" s="9" t="n">
        <v>0</v>
      </c>
      <c r="F1457" s="9" t="n">
        <v>0</v>
      </c>
      <c r="G1457" s="9" t="n">
        <v>-511107.69</v>
      </c>
      <c r="H1457" s="9">
        <f>IF(D1457="USD",E1457*$N$1,E1457)</f>
        <v/>
      </c>
      <c r="I1457" s="9">
        <f>IF(D1457="USD",F1457*$N$1,F1457)</f>
        <v/>
      </c>
      <c r="J1457" s="9">
        <f>IF(D1457="USD",G1457*$N$1,G1457)</f>
        <v/>
      </c>
      <c r="K1457" s="9">
        <f>H1457+I1457</f>
        <v/>
      </c>
    </row>
    <row r="1458">
      <c r="A1458" s="8" t="n">
        <v>46190</v>
      </c>
      <c r="B1458" t="inlineStr">
        <is>
          <t>2026-W25</t>
        </is>
      </c>
      <c r="C1458" t="inlineStr">
        <is>
          <t>Shift4</t>
        </is>
      </c>
      <c r="D1458" t="inlineStr">
        <is>
          <t>EUR</t>
        </is>
      </c>
      <c r="E1458" s="9" t="n">
        <v>559251.89</v>
      </c>
      <c r="F1458" s="9" t="n">
        <v>-5884.36</v>
      </c>
      <c r="G1458" s="9" t="n">
        <v>0</v>
      </c>
      <c r="H1458" s="9">
        <f>IF(D1458="USD",E1458*$N$1,E1458)</f>
        <v/>
      </c>
      <c r="I1458" s="9">
        <f>IF(D1458="USD",F1458*$N$1,F1458)</f>
        <v/>
      </c>
      <c r="J1458" s="9">
        <f>IF(D1458="USD",G1458*$N$1,G1458)</f>
        <v/>
      </c>
      <c r="K1458" s="9">
        <f>H1458+I1458</f>
        <v/>
      </c>
    </row>
    <row r="1459">
      <c r="A1459" s="8" t="n">
        <v>46191</v>
      </c>
      <c r="B1459" t="inlineStr">
        <is>
          <t>2026-W25</t>
        </is>
      </c>
      <c r="C1459" t="inlineStr">
        <is>
          <t>Adyen</t>
        </is>
      </c>
      <c r="D1459" t="inlineStr">
        <is>
          <t>EUR</t>
        </is>
      </c>
      <c r="E1459" s="9" t="n">
        <v>0</v>
      </c>
      <c r="F1459" s="9" t="n">
        <v>0</v>
      </c>
      <c r="G1459" s="9" t="n">
        <v>-906727.3600000001</v>
      </c>
      <c r="H1459" s="9">
        <f>IF(D1459="USD",E1459*$N$1,E1459)</f>
        <v/>
      </c>
      <c r="I1459" s="9">
        <f>IF(D1459="USD",F1459*$N$1,F1459)</f>
        <v/>
      </c>
      <c r="J1459" s="9">
        <f>IF(D1459="USD",G1459*$N$1,G1459)</f>
        <v/>
      </c>
      <c r="K1459" s="9">
        <f>H1459+I1459</f>
        <v/>
      </c>
    </row>
    <row r="1460">
      <c r="A1460" s="8" t="n">
        <v>46191</v>
      </c>
      <c r="B1460" t="inlineStr">
        <is>
          <t>2026-W25</t>
        </is>
      </c>
      <c r="C1460" t="inlineStr">
        <is>
          <t>Adyen</t>
        </is>
      </c>
      <c r="D1460" t="inlineStr">
        <is>
          <t>EUR</t>
        </is>
      </c>
      <c r="E1460" s="9" t="n">
        <v>698215.97</v>
      </c>
      <c r="F1460" s="9" t="n">
        <v>-6490.619999999995</v>
      </c>
      <c r="G1460" s="9" t="n">
        <v>0</v>
      </c>
      <c r="H1460" s="9">
        <f>IF(D1460="USD",E1460*$N$1,E1460)</f>
        <v/>
      </c>
      <c r="I1460" s="9">
        <f>IF(D1460="USD",F1460*$N$1,F1460)</f>
        <v/>
      </c>
      <c r="J1460" s="9">
        <f>IF(D1460="USD",G1460*$N$1,G1460)</f>
        <v/>
      </c>
      <c r="K1460" s="9">
        <f>H1460+I1460</f>
        <v/>
      </c>
    </row>
    <row r="1461">
      <c r="A1461" s="8" t="n">
        <v>46191</v>
      </c>
      <c r="B1461" t="inlineStr">
        <is>
          <t>2026-W25</t>
        </is>
      </c>
      <c r="C1461" t="inlineStr">
        <is>
          <t>Adyen</t>
        </is>
      </c>
      <c r="D1461" t="inlineStr">
        <is>
          <t>EUR</t>
        </is>
      </c>
      <c r="E1461" s="9" t="n">
        <v>112477.56</v>
      </c>
      <c r="F1461" s="9" t="n">
        <v>0</v>
      </c>
      <c r="G1461" s="9" t="n">
        <v>0</v>
      </c>
      <c r="H1461" s="9">
        <f>IF(D1461="USD",E1461*$N$1,E1461)</f>
        <v/>
      </c>
      <c r="I1461" s="9">
        <f>IF(D1461="USD",F1461*$N$1,F1461)</f>
        <v/>
      </c>
      <c r="J1461" s="9">
        <f>IF(D1461="USD",G1461*$N$1,G1461)</f>
        <v/>
      </c>
      <c r="K1461" s="9">
        <f>H1461+I1461</f>
        <v/>
      </c>
    </row>
    <row r="1462">
      <c r="A1462" s="8" t="n">
        <v>46191</v>
      </c>
      <c r="B1462" t="inlineStr">
        <is>
          <t>2026-W25</t>
        </is>
      </c>
      <c r="C1462" t="inlineStr">
        <is>
          <t>Nuvei</t>
        </is>
      </c>
      <c r="D1462" t="inlineStr">
        <is>
          <t>EUR</t>
        </is>
      </c>
      <c r="E1462" s="9" t="n">
        <v>0</v>
      </c>
      <c r="F1462" s="9" t="n">
        <v>0</v>
      </c>
      <c r="G1462" s="9" t="n">
        <v>-343128.8</v>
      </c>
      <c r="H1462" s="9">
        <f>IF(D1462="USD",E1462*$N$1,E1462)</f>
        <v/>
      </c>
      <c r="I1462" s="9">
        <f>IF(D1462="USD",F1462*$N$1,F1462)</f>
        <v/>
      </c>
      <c r="J1462" s="9">
        <f>IF(D1462="USD",G1462*$N$1,G1462)</f>
        <v/>
      </c>
      <c r="K1462" s="9">
        <f>H1462+I1462</f>
        <v/>
      </c>
    </row>
    <row r="1463">
      <c r="A1463" s="8" t="n">
        <v>46191</v>
      </c>
      <c r="B1463" t="inlineStr">
        <is>
          <t>2026-W25</t>
        </is>
      </c>
      <c r="C1463" t="inlineStr">
        <is>
          <t>Nuvei</t>
        </is>
      </c>
      <c r="D1463" t="inlineStr">
        <is>
          <t>EUR</t>
        </is>
      </c>
      <c r="E1463" s="9" t="n">
        <v>0</v>
      </c>
      <c r="F1463" s="9" t="n">
        <v>0</v>
      </c>
      <c r="G1463" s="9" t="n">
        <v>-265066.91</v>
      </c>
      <c r="H1463" s="9">
        <f>IF(D1463="USD",E1463*$N$1,E1463)</f>
        <v/>
      </c>
      <c r="I1463" s="9">
        <f>IF(D1463="USD",F1463*$N$1,F1463)</f>
        <v/>
      </c>
      <c r="J1463" s="9">
        <f>IF(D1463="USD",G1463*$N$1,G1463)</f>
        <v/>
      </c>
      <c r="K1463" s="9">
        <f>H1463+I1463</f>
        <v/>
      </c>
    </row>
    <row r="1464">
      <c r="A1464" s="8" t="n">
        <v>46191</v>
      </c>
      <c r="B1464" t="inlineStr">
        <is>
          <t>2026-W25</t>
        </is>
      </c>
      <c r="C1464" t="inlineStr">
        <is>
          <t>Nuvei</t>
        </is>
      </c>
      <c r="D1464" t="inlineStr">
        <is>
          <t>EUR</t>
        </is>
      </c>
      <c r="E1464" s="9" t="n">
        <v>366895.85</v>
      </c>
      <c r="F1464" s="9" t="n">
        <v>-1223.83</v>
      </c>
      <c r="G1464" s="9" t="n">
        <v>0</v>
      </c>
      <c r="H1464" s="9">
        <f>IF(D1464="USD",E1464*$N$1,E1464)</f>
        <v/>
      </c>
      <c r="I1464" s="9">
        <f>IF(D1464="USD",F1464*$N$1,F1464)</f>
        <v/>
      </c>
      <c r="J1464" s="9">
        <f>IF(D1464="USD",G1464*$N$1,G1464)</f>
        <v/>
      </c>
      <c r="K1464" s="9">
        <f>H1464+I1464</f>
        <v/>
      </c>
    </row>
    <row r="1465">
      <c r="A1465" s="8" t="n">
        <v>46191</v>
      </c>
      <c r="B1465" t="inlineStr">
        <is>
          <t>2026-W25</t>
        </is>
      </c>
      <c r="C1465" t="inlineStr">
        <is>
          <t>Nuvei</t>
        </is>
      </c>
      <c r="D1465" t="inlineStr">
        <is>
          <t>EUR</t>
        </is>
      </c>
      <c r="E1465" s="9" t="n">
        <v>255729.32</v>
      </c>
      <c r="F1465" s="9" t="n">
        <v>-5637.73</v>
      </c>
      <c r="G1465" s="9" t="n">
        <v>0</v>
      </c>
      <c r="H1465" s="9">
        <f>IF(D1465="USD",E1465*$N$1,E1465)</f>
        <v/>
      </c>
      <c r="I1465" s="9">
        <f>IF(D1465="USD",F1465*$N$1,F1465)</f>
        <v/>
      </c>
      <c r="J1465" s="9">
        <f>IF(D1465="USD",G1465*$N$1,G1465)</f>
        <v/>
      </c>
      <c r="K1465" s="9">
        <f>H1465+I1465</f>
        <v/>
      </c>
    </row>
    <row r="1466">
      <c r="A1466" s="8" t="n">
        <v>46191</v>
      </c>
      <c r="B1466" t="inlineStr">
        <is>
          <t>2026-W25</t>
        </is>
      </c>
      <c r="C1466" t="inlineStr">
        <is>
          <t>Nuvei</t>
        </is>
      </c>
      <c r="D1466" t="inlineStr">
        <is>
          <t>EUR</t>
        </is>
      </c>
      <c r="E1466" s="9" t="n">
        <v>39247.25</v>
      </c>
      <c r="F1466" s="9" t="n">
        <v>-1037.07</v>
      </c>
      <c r="G1466" s="9" t="n">
        <v>0</v>
      </c>
      <c r="H1466" s="9">
        <f>IF(D1466="USD",E1466*$N$1,E1466)</f>
        <v/>
      </c>
      <c r="I1466" s="9">
        <f>IF(D1466="USD",F1466*$N$1,F1466)</f>
        <v/>
      </c>
      <c r="J1466" s="9">
        <f>IF(D1466="USD",G1466*$N$1,G1466)</f>
        <v/>
      </c>
      <c r="K1466" s="9">
        <f>H1466+I1466</f>
        <v/>
      </c>
    </row>
    <row r="1467">
      <c r="A1467" s="8" t="n">
        <v>46191</v>
      </c>
      <c r="B1467" t="inlineStr">
        <is>
          <t>2026-W25</t>
        </is>
      </c>
      <c r="C1467" t="inlineStr">
        <is>
          <t>Nuvei</t>
        </is>
      </c>
      <c r="D1467" t="inlineStr">
        <is>
          <t>USD</t>
        </is>
      </c>
      <c r="E1467" s="9" t="n">
        <v>36215.3</v>
      </c>
      <c r="F1467" s="9" t="n">
        <v>-305.52</v>
      </c>
      <c r="G1467" s="9" t="n">
        <v>0</v>
      </c>
      <c r="H1467" s="9">
        <f>IF(D1467="USD",E1467*$N$1,E1467)</f>
        <v/>
      </c>
      <c r="I1467" s="9">
        <f>IF(D1467="USD",F1467*$N$1,F1467)</f>
        <v/>
      </c>
      <c r="J1467" s="9">
        <f>IF(D1467="USD",G1467*$N$1,G1467)</f>
        <v/>
      </c>
      <c r="K1467" s="9">
        <f>H1467+I1467</f>
        <v/>
      </c>
    </row>
    <row r="1468">
      <c r="A1468" s="8" t="n">
        <v>46191</v>
      </c>
      <c r="B1468" t="inlineStr">
        <is>
          <t>2026-W25</t>
        </is>
      </c>
      <c r="C1468" t="inlineStr">
        <is>
          <t>Shift4</t>
        </is>
      </c>
      <c r="D1468" t="inlineStr">
        <is>
          <t>EUR</t>
        </is>
      </c>
      <c r="E1468" s="9" t="n">
        <v>0</v>
      </c>
      <c r="F1468" s="9" t="n">
        <v>0</v>
      </c>
      <c r="G1468" s="9" t="n">
        <v>-1481397.03</v>
      </c>
      <c r="H1468" s="9">
        <f>IF(D1468="USD",E1468*$N$1,E1468)</f>
        <v/>
      </c>
      <c r="I1468" s="9">
        <f>IF(D1468="USD",F1468*$N$1,F1468)</f>
        <v/>
      </c>
      <c r="J1468" s="9">
        <f>IF(D1468="USD",G1468*$N$1,G1468)</f>
        <v/>
      </c>
      <c r="K1468" s="9">
        <f>H1468+I1468</f>
        <v/>
      </c>
    </row>
    <row r="1469">
      <c r="A1469" s="8" t="n">
        <v>46191</v>
      </c>
      <c r="B1469" t="inlineStr">
        <is>
          <t>2026-W25</t>
        </is>
      </c>
      <c r="C1469" t="inlineStr">
        <is>
          <t>Shift4</t>
        </is>
      </c>
      <c r="D1469" t="inlineStr">
        <is>
          <t>EUR</t>
        </is>
      </c>
      <c r="E1469" s="9" t="n">
        <v>543814.9300000001</v>
      </c>
      <c r="F1469" s="9" t="n">
        <v>-5810.17</v>
      </c>
      <c r="G1469" s="9" t="n">
        <v>0</v>
      </c>
      <c r="H1469" s="9">
        <f>IF(D1469="USD",E1469*$N$1,E1469)</f>
        <v/>
      </c>
      <c r="I1469" s="9">
        <f>IF(D1469="USD",F1469*$N$1,F1469)</f>
        <v/>
      </c>
      <c r="J1469" s="9">
        <f>IF(D1469="USD",G1469*$N$1,G1469)</f>
        <v/>
      </c>
      <c r="K1469" s="9">
        <f>H1469+I1469</f>
        <v/>
      </c>
    </row>
    <row r="1470">
      <c r="A1470" s="8" t="n">
        <v>46192</v>
      </c>
      <c r="B1470" t="inlineStr">
        <is>
          <t>2026-W25</t>
        </is>
      </c>
      <c r="C1470" t="inlineStr">
        <is>
          <t>Adyen</t>
        </is>
      </c>
      <c r="D1470" t="inlineStr">
        <is>
          <t>EUR</t>
        </is>
      </c>
      <c r="E1470" s="9" t="n">
        <v>0</v>
      </c>
      <c r="F1470" s="9" t="n">
        <v>0</v>
      </c>
      <c r="G1470" s="9" t="n">
        <v>-885674.51</v>
      </c>
      <c r="H1470" s="9">
        <f>IF(D1470="USD",E1470*$N$1,E1470)</f>
        <v/>
      </c>
      <c r="I1470" s="9">
        <f>IF(D1470="USD",F1470*$N$1,F1470)</f>
        <v/>
      </c>
      <c r="J1470" s="9">
        <f>IF(D1470="USD",G1470*$N$1,G1470)</f>
        <v/>
      </c>
      <c r="K1470" s="9">
        <f>H1470+I1470</f>
        <v/>
      </c>
    </row>
    <row r="1471">
      <c r="A1471" s="8" t="n">
        <v>46192</v>
      </c>
      <c r="B1471" t="inlineStr">
        <is>
          <t>2026-W25</t>
        </is>
      </c>
      <c r="C1471" t="inlineStr">
        <is>
          <t>Adyen</t>
        </is>
      </c>
      <c r="D1471" t="inlineStr">
        <is>
          <t>EUR</t>
        </is>
      </c>
      <c r="E1471" s="9" t="n">
        <v>682575.34</v>
      </c>
      <c r="F1471" s="9" t="n">
        <v>-10608.73999999999</v>
      </c>
      <c r="G1471" s="9" t="n">
        <v>0</v>
      </c>
      <c r="H1471" s="9">
        <f>IF(D1471="USD",E1471*$N$1,E1471)</f>
        <v/>
      </c>
      <c r="I1471" s="9">
        <f>IF(D1471="USD",F1471*$N$1,F1471)</f>
        <v/>
      </c>
      <c r="J1471" s="9">
        <f>IF(D1471="USD",G1471*$N$1,G1471)</f>
        <v/>
      </c>
      <c r="K1471" s="9">
        <f>H1471+I1471</f>
        <v/>
      </c>
    </row>
    <row r="1472">
      <c r="A1472" s="8" t="n">
        <v>46192</v>
      </c>
      <c r="B1472" t="inlineStr">
        <is>
          <t>2026-W25</t>
        </is>
      </c>
      <c r="C1472" t="inlineStr">
        <is>
          <t>Adyen</t>
        </is>
      </c>
      <c r="D1472" t="inlineStr">
        <is>
          <t>EUR</t>
        </is>
      </c>
      <c r="E1472" s="9" t="n">
        <v>106915.47</v>
      </c>
      <c r="F1472" s="9" t="n">
        <v>0</v>
      </c>
      <c r="G1472" s="9" t="n">
        <v>0</v>
      </c>
      <c r="H1472" s="9">
        <f>IF(D1472="USD",E1472*$N$1,E1472)</f>
        <v/>
      </c>
      <c r="I1472" s="9">
        <f>IF(D1472="USD",F1472*$N$1,F1472)</f>
        <v/>
      </c>
      <c r="J1472" s="9">
        <f>IF(D1472="USD",G1472*$N$1,G1472)</f>
        <v/>
      </c>
      <c r="K1472" s="9">
        <f>H1472+I1472</f>
        <v/>
      </c>
    </row>
    <row r="1473">
      <c r="A1473" s="8" t="n">
        <v>46192</v>
      </c>
      <c r="B1473" t="inlineStr">
        <is>
          <t>2026-W25</t>
        </is>
      </c>
      <c r="C1473" t="inlineStr">
        <is>
          <t>Nuvei</t>
        </is>
      </c>
      <c r="D1473" t="inlineStr">
        <is>
          <t>EUR</t>
        </is>
      </c>
      <c r="E1473" s="9" t="n">
        <v>0</v>
      </c>
      <c r="F1473" s="9" t="n">
        <v>0</v>
      </c>
      <c r="G1473" s="9" t="n">
        <v>-887768.3100000001</v>
      </c>
      <c r="H1473" s="9">
        <f>IF(D1473="USD",E1473*$N$1,E1473)</f>
        <v/>
      </c>
      <c r="I1473" s="9">
        <f>IF(D1473="USD",F1473*$N$1,F1473)</f>
        <v/>
      </c>
      <c r="J1473" s="9">
        <f>IF(D1473="USD",G1473*$N$1,G1473)</f>
        <v/>
      </c>
      <c r="K1473" s="9">
        <f>H1473+I1473</f>
        <v/>
      </c>
    </row>
    <row r="1474">
      <c r="A1474" s="8" t="n">
        <v>46192</v>
      </c>
      <c r="B1474" t="inlineStr">
        <is>
          <t>2026-W25</t>
        </is>
      </c>
      <c r="C1474" t="inlineStr">
        <is>
          <t>Nuvei</t>
        </is>
      </c>
      <c r="D1474" t="inlineStr">
        <is>
          <t>EUR</t>
        </is>
      </c>
      <c r="E1474" s="9" t="n">
        <v>0</v>
      </c>
      <c r="F1474" s="9" t="n">
        <v>0</v>
      </c>
      <c r="G1474" s="9" t="n">
        <v>-710238.37</v>
      </c>
      <c r="H1474" s="9">
        <f>IF(D1474="USD",E1474*$N$1,E1474)</f>
        <v/>
      </c>
      <c r="I1474" s="9">
        <f>IF(D1474="USD",F1474*$N$1,F1474)</f>
        <v/>
      </c>
      <c r="J1474" s="9">
        <f>IF(D1474="USD",G1474*$N$1,G1474)</f>
        <v/>
      </c>
      <c r="K1474" s="9">
        <f>H1474+I1474</f>
        <v/>
      </c>
    </row>
    <row r="1475">
      <c r="A1475" s="8" t="n">
        <v>46192</v>
      </c>
      <c r="B1475" t="inlineStr">
        <is>
          <t>2026-W25</t>
        </is>
      </c>
      <c r="C1475" t="inlineStr">
        <is>
          <t>Nuvei</t>
        </is>
      </c>
      <c r="D1475" t="inlineStr">
        <is>
          <t>EUR</t>
        </is>
      </c>
      <c r="E1475" s="9" t="n">
        <v>360415.67</v>
      </c>
      <c r="F1475" s="9" t="n">
        <v>-6615.85</v>
      </c>
      <c r="G1475" s="9" t="n">
        <v>0</v>
      </c>
      <c r="H1475" s="9">
        <f>IF(D1475="USD",E1475*$N$1,E1475)</f>
        <v/>
      </c>
      <c r="I1475" s="9">
        <f>IF(D1475="USD",F1475*$N$1,F1475)</f>
        <v/>
      </c>
      <c r="J1475" s="9">
        <f>IF(D1475="USD",G1475*$N$1,G1475)</f>
        <v/>
      </c>
      <c r="K1475" s="9">
        <f>H1475+I1475</f>
        <v/>
      </c>
    </row>
    <row r="1476">
      <c r="A1476" s="8" t="n">
        <v>46192</v>
      </c>
      <c r="B1476" t="inlineStr">
        <is>
          <t>2026-W25</t>
        </is>
      </c>
      <c r="C1476" t="inlineStr">
        <is>
          <t>Nuvei</t>
        </is>
      </c>
      <c r="D1476" t="inlineStr">
        <is>
          <t>EUR</t>
        </is>
      </c>
      <c r="E1476" s="9" t="n">
        <v>208801.42</v>
      </c>
      <c r="F1476" s="9" t="n">
        <v>-5862.08</v>
      </c>
      <c r="G1476" s="9" t="n">
        <v>0</v>
      </c>
      <c r="H1476" s="9">
        <f>IF(D1476="USD",E1476*$N$1,E1476)</f>
        <v/>
      </c>
      <c r="I1476" s="9">
        <f>IF(D1476="USD",F1476*$N$1,F1476)</f>
        <v/>
      </c>
      <c r="J1476" s="9">
        <f>IF(D1476="USD",G1476*$N$1,G1476)</f>
        <v/>
      </c>
      <c r="K1476" s="9">
        <f>H1476+I1476</f>
        <v/>
      </c>
    </row>
    <row r="1477">
      <c r="A1477" s="8" t="n">
        <v>46192</v>
      </c>
      <c r="B1477" t="inlineStr">
        <is>
          <t>2026-W25</t>
        </is>
      </c>
      <c r="C1477" t="inlineStr">
        <is>
          <t>Nuvei</t>
        </is>
      </c>
      <c r="D1477" t="inlineStr">
        <is>
          <t>EUR</t>
        </is>
      </c>
      <c r="E1477" s="9" t="n">
        <v>25371</v>
      </c>
      <c r="F1477" s="9" t="n">
        <v>-646.46</v>
      </c>
      <c r="G1477" s="9" t="n">
        <v>0</v>
      </c>
      <c r="H1477" s="9">
        <f>IF(D1477="USD",E1477*$N$1,E1477)</f>
        <v/>
      </c>
      <c r="I1477" s="9">
        <f>IF(D1477="USD",F1477*$N$1,F1477)</f>
        <v/>
      </c>
      <c r="J1477" s="9">
        <f>IF(D1477="USD",G1477*$N$1,G1477)</f>
        <v/>
      </c>
      <c r="K1477" s="9">
        <f>H1477+I1477</f>
        <v/>
      </c>
    </row>
    <row r="1478">
      <c r="A1478" s="8" t="n">
        <v>46192</v>
      </c>
      <c r="B1478" t="inlineStr">
        <is>
          <t>2026-W25</t>
        </is>
      </c>
      <c r="C1478" t="inlineStr">
        <is>
          <t>Nuvei</t>
        </is>
      </c>
      <c r="D1478" t="inlineStr">
        <is>
          <t>USD</t>
        </is>
      </c>
      <c r="E1478" s="9" t="n">
        <v>5675.9</v>
      </c>
      <c r="F1478" s="9" t="n">
        <v>-179.36</v>
      </c>
      <c r="G1478" s="9" t="n">
        <v>0</v>
      </c>
      <c r="H1478" s="9">
        <f>IF(D1478="USD",E1478*$N$1,E1478)</f>
        <v/>
      </c>
      <c r="I1478" s="9">
        <f>IF(D1478="USD",F1478*$N$1,F1478)</f>
        <v/>
      </c>
      <c r="J1478" s="9">
        <f>IF(D1478="USD",G1478*$N$1,G1478)</f>
        <v/>
      </c>
      <c r="K1478" s="9">
        <f>H1478+I1478</f>
        <v/>
      </c>
    </row>
    <row r="1479">
      <c r="A1479" s="8" t="n">
        <v>46192</v>
      </c>
      <c r="B1479" t="inlineStr">
        <is>
          <t>2026-W25</t>
        </is>
      </c>
      <c r="C1479" t="inlineStr">
        <is>
          <t>Shift4</t>
        </is>
      </c>
      <c r="D1479" t="inlineStr">
        <is>
          <t>EUR</t>
        </is>
      </c>
      <c r="E1479" s="9" t="n">
        <v>0</v>
      </c>
      <c r="F1479" s="9" t="n">
        <v>0</v>
      </c>
      <c r="G1479" s="9" t="n">
        <v>-575133.3100000001</v>
      </c>
      <c r="H1479" s="9">
        <f>IF(D1479="USD",E1479*$N$1,E1479)</f>
        <v/>
      </c>
      <c r="I1479" s="9">
        <f>IF(D1479="USD",F1479*$N$1,F1479)</f>
        <v/>
      </c>
      <c r="J1479" s="9">
        <f>IF(D1479="USD",G1479*$N$1,G1479)</f>
        <v/>
      </c>
      <c r="K1479" s="9">
        <f>H1479+I1479</f>
        <v/>
      </c>
    </row>
    <row r="1480">
      <c r="A1480" s="8" t="n">
        <v>46192</v>
      </c>
      <c r="B1480" t="inlineStr">
        <is>
          <t>2026-W25</t>
        </is>
      </c>
      <c r="C1480" t="inlineStr">
        <is>
          <t>Shift4</t>
        </is>
      </c>
      <c r="D1480" t="inlineStr">
        <is>
          <t>EUR</t>
        </is>
      </c>
      <c r="E1480" s="9" t="n">
        <v>444761.8</v>
      </c>
      <c r="F1480" s="9" t="n">
        <v>-5121.17</v>
      </c>
      <c r="G1480" s="9" t="n">
        <v>0</v>
      </c>
      <c r="H1480" s="9">
        <f>IF(D1480="USD",E1480*$N$1,E1480)</f>
        <v/>
      </c>
      <c r="I1480" s="9">
        <f>IF(D1480="USD",F1480*$N$1,F1480)</f>
        <v/>
      </c>
      <c r="J1480" s="9">
        <f>IF(D1480="USD",G1480*$N$1,G1480)</f>
        <v/>
      </c>
      <c r="K1480" s="9">
        <f>H1480+I1480</f>
        <v/>
      </c>
    </row>
    <row r="1481">
      <c r="A1481" s="8" t="n">
        <v>46193</v>
      </c>
      <c r="B1481" t="inlineStr">
        <is>
          <t>2026-W25</t>
        </is>
      </c>
      <c r="C1481" t="inlineStr">
        <is>
          <t>Adyen</t>
        </is>
      </c>
      <c r="D1481" t="inlineStr">
        <is>
          <t>EUR</t>
        </is>
      </c>
      <c r="E1481" s="9" t="n">
        <v>492510.79</v>
      </c>
      <c r="F1481" s="9" t="n">
        <v>0</v>
      </c>
      <c r="G1481" s="9" t="n">
        <v>0</v>
      </c>
      <c r="H1481" s="9">
        <f>IF(D1481="USD",E1481*$N$1,E1481)</f>
        <v/>
      </c>
      <c r="I1481" s="9">
        <f>IF(D1481="USD",F1481*$N$1,F1481)</f>
        <v/>
      </c>
      <c r="J1481" s="9">
        <f>IF(D1481="USD",G1481*$N$1,G1481)</f>
        <v/>
      </c>
      <c r="K1481" s="9">
        <f>H1481+I1481</f>
        <v/>
      </c>
    </row>
    <row r="1482">
      <c r="A1482" s="8" t="n">
        <v>46193</v>
      </c>
      <c r="B1482" t="inlineStr">
        <is>
          <t>2026-W25</t>
        </is>
      </c>
      <c r="C1482" t="inlineStr">
        <is>
          <t>Adyen</t>
        </is>
      </c>
      <c r="D1482" t="inlineStr">
        <is>
          <t>EUR</t>
        </is>
      </c>
      <c r="E1482" s="9" t="n">
        <v>94607.03999999999</v>
      </c>
      <c r="F1482" s="9" t="n">
        <v>0</v>
      </c>
      <c r="G1482" s="9" t="n">
        <v>0</v>
      </c>
      <c r="H1482" s="9">
        <f>IF(D1482="USD",E1482*$N$1,E1482)</f>
        <v/>
      </c>
      <c r="I1482" s="9">
        <f>IF(D1482="USD",F1482*$N$1,F1482)</f>
        <v/>
      </c>
      <c r="J1482" s="9">
        <f>IF(D1482="USD",G1482*$N$1,G1482)</f>
        <v/>
      </c>
      <c r="K1482" s="9">
        <f>H1482+I1482</f>
        <v/>
      </c>
    </row>
    <row r="1483">
      <c r="A1483" s="8" t="n">
        <v>46193</v>
      </c>
      <c r="B1483" t="inlineStr">
        <is>
          <t>2026-W25</t>
        </is>
      </c>
      <c r="C1483" t="inlineStr">
        <is>
          <t>Nuvei</t>
        </is>
      </c>
      <c r="D1483" t="inlineStr">
        <is>
          <t>EUR</t>
        </is>
      </c>
      <c r="E1483" s="9" t="n">
        <v>266233.37</v>
      </c>
      <c r="F1483" s="9" t="n">
        <v>-4864.83</v>
      </c>
      <c r="G1483" s="9" t="n">
        <v>0</v>
      </c>
      <c r="H1483" s="9">
        <f>IF(D1483="USD",E1483*$N$1,E1483)</f>
        <v/>
      </c>
      <c r="I1483" s="9">
        <f>IF(D1483="USD",F1483*$N$1,F1483)</f>
        <v/>
      </c>
      <c r="J1483" s="9">
        <f>IF(D1483="USD",G1483*$N$1,G1483)</f>
        <v/>
      </c>
      <c r="K1483" s="9">
        <f>H1483+I1483</f>
        <v/>
      </c>
    </row>
    <row r="1484">
      <c r="A1484" s="8" t="n">
        <v>46193</v>
      </c>
      <c r="B1484" t="inlineStr">
        <is>
          <t>2026-W25</t>
        </is>
      </c>
      <c r="C1484" t="inlineStr">
        <is>
          <t>Nuvei</t>
        </is>
      </c>
      <c r="D1484" t="inlineStr">
        <is>
          <t>EUR</t>
        </is>
      </c>
      <c r="E1484" s="9" t="n">
        <v>183219.14</v>
      </c>
      <c r="F1484" s="9" t="n">
        <v>-5272.85</v>
      </c>
      <c r="G1484" s="9" t="n">
        <v>0</v>
      </c>
      <c r="H1484" s="9">
        <f>IF(D1484="USD",E1484*$N$1,E1484)</f>
        <v/>
      </c>
      <c r="I1484" s="9">
        <f>IF(D1484="USD",F1484*$N$1,F1484)</f>
        <v/>
      </c>
      <c r="J1484" s="9">
        <f>IF(D1484="USD",G1484*$N$1,G1484)</f>
        <v/>
      </c>
      <c r="K1484" s="9">
        <f>H1484+I1484</f>
        <v/>
      </c>
    </row>
    <row r="1485">
      <c r="A1485" s="8" t="n">
        <v>46193</v>
      </c>
      <c r="B1485" t="inlineStr">
        <is>
          <t>2026-W25</t>
        </is>
      </c>
      <c r="C1485" t="inlineStr">
        <is>
          <t>Nuvei</t>
        </is>
      </c>
      <c r="D1485" t="inlineStr">
        <is>
          <t>EUR</t>
        </is>
      </c>
      <c r="E1485" s="9" t="n">
        <v>42717.5</v>
      </c>
      <c r="F1485" s="9" t="n">
        <v>-1119.95</v>
      </c>
      <c r="G1485" s="9" t="n">
        <v>0</v>
      </c>
      <c r="H1485" s="9">
        <f>IF(D1485="USD",E1485*$N$1,E1485)</f>
        <v/>
      </c>
      <c r="I1485" s="9">
        <f>IF(D1485="USD",F1485*$N$1,F1485)</f>
        <v/>
      </c>
      <c r="J1485" s="9">
        <f>IF(D1485="USD",G1485*$N$1,G1485)</f>
        <v/>
      </c>
      <c r="K1485" s="9">
        <f>H1485+I1485</f>
        <v/>
      </c>
    </row>
    <row r="1486">
      <c r="A1486" s="8" t="n">
        <v>46193</v>
      </c>
      <c r="B1486" t="inlineStr">
        <is>
          <t>2026-W25</t>
        </is>
      </c>
      <c r="C1486" t="inlineStr">
        <is>
          <t>Nuvei</t>
        </is>
      </c>
      <c r="D1486" t="inlineStr">
        <is>
          <t>USD</t>
        </is>
      </c>
      <c r="E1486" s="9" t="n">
        <v>8009.6</v>
      </c>
      <c r="F1486" s="9" t="n">
        <v>-247.51</v>
      </c>
      <c r="G1486" s="9" t="n">
        <v>0</v>
      </c>
      <c r="H1486" s="9">
        <f>IF(D1486="USD",E1486*$N$1,E1486)</f>
        <v/>
      </c>
      <c r="I1486" s="9">
        <f>IF(D1486="USD",F1486*$N$1,F1486)</f>
        <v/>
      </c>
      <c r="J1486" s="9">
        <f>IF(D1486="USD",G1486*$N$1,G1486)</f>
        <v/>
      </c>
      <c r="K1486" s="9">
        <f>H1486+I1486</f>
        <v/>
      </c>
    </row>
    <row r="1487">
      <c r="A1487" s="8" t="n">
        <v>46193</v>
      </c>
      <c r="B1487" t="inlineStr">
        <is>
          <t>2026-W25</t>
        </is>
      </c>
      <c r="C1487" t="inlineStr">
        <is>
          <t>Shift4</t>
        </is>
      </c>
      <c r="D1487" t="inlineStr">
        <is>
          <t>EUR</t>
        </is>
      </c>
      <c r="E1487" s="9" t="n">
        <v>359557.71</v>
      </c>
      <c r="F1487" s="9" t="n">
        <v>-3512.78</v>
      </c>
      <c r="G1487" s="9" t="n">
        <v>0</v>
      </c>
      <c r="H1487" s="9">
        <f>IF(D1487="USD",E1487*$N$1,E1487)</f>
        <v/>
      </c>
      <c r="I1487" s="9">
        <f>IF(D1487="USD",F1487*$N$1,F1487)</f>
        <v/>
      </c>
      <c r="J1487" s="9">
        <f>IF(D1487="USD",G1487*$N$1,G1487)</f>
        <v/>
      </c>
      <c r="K1487" s="9">
        <f>H1487+I1487</f>
        <v/>
      </c>
    </row>
    <row r="1488">
      <c r="A1488" s="8" t="n">
        <v>46194</v>
      </c>
      <c r="B1488" t="inlineStr">
        <is>
          <t>2026-W25</t>
        </is>
      </c>
      <c r="C1488" t="inlineStr">
        <is>
          <t>Adyen</t>
        </is>
      </c>
      <c r="D1488" t="inlineStr">
        <is>
          <t>EUR</t>
        </is>
      </c>
      <c r="E1488" s="9" t="n">
        <v>527849.61</v>
      </c>
      <c r="F1488" s="9" t="n">
        <v>0</v>
      </c>
      <c r="G1488" s="9" t="n">
        <v>0</v>
      </c>
      <c r="H1488" s="9">
        <f>IF(D1488="USD",E1488*$N$1,E1488)</f>
        <v/>
      </c>
      <c r="I1488" s="9">
        <f>IF(D1488="USD",F1488*$N$1,F1488)</f>
        <v/>
      </c>
      <c r="J1488" s="9">
        <f>IF(D1488="USD",G1488*$N$1,G1488)</f>
        <v/>
      </c>
      <c r="K1488" s="9">
        <f>H1488+I1488</f>
        <v/>
      </c>
    </row>
    <row r="1489">
      <c r="A1489" s="8" t="n">
        <v>46194</v>
      </c>
      <c r="B1489" t="inlineStr">
        <is>
          <t>2026-W25</t>
        </is>
      </c>
      <c r="C1489" t="inlineStr">
        <is>
          <t>Adyen</t>
        </is>
      </c>
      <c r="D1489" t="inlineStr">
        <is>
          <t>EUR</t>
        </is>
      </c>
      <c r="E1489" s="9" t="n">
        <v>82009.03999999999</v>
      </c>
      <c r="F1489" s="9" t="n">
        <v>0</v>
      </c>
      <c r="G1489" s="9" t="n">
        <v>0</v>
      </c>
      <c r="H1489" s="9">
        <f>IF(D1489="USD",E1489*$N$1,E1489)</f>
        <v/>
      </c>
      <c r="I1489" s="9">
        <f>IF(D1489="USD",F1489*$N$1,F1489)</f>
        <v/>
      </c>
      <c r="J1489" s="9">
        <f>IF(D1489="USD",G1489*$N$1,G1489)</f>
        <v/>
      </c>
      <c r="K1489" s="9">
        <f>H1489+I1489</f>
        <v/>
      </c>
    </row>
    <row r="1490">
      <c r="A1490" s="8" t="n">
        <v>46194</v>
      </c>
      <c r="B1490" t="inlineStr">
        <is>
          <t>2026-W25</t>
        </is>
      </c>
      <c r="C1490" t="inlineStr">
        <is>
          <t>Nuvei</t>
        </is>
      </c>
      <c r="D1490" t="inlineStr">
        <is>
          <t>EUR</t>
        </is>
      </c>
      <c r="E1490" s="9" t="n">
        <v>267283.55</v>
      </c>
      <c r="F1490" s="9" t="n">
        <v>-4562.47</v>
      </c>
      <c r="G1490" s="9" t="n">
        <v>0</v>
      </c>
      <c r="H1490" s="9">
        <f>IF(D1490="USD",E1490*$N$1,E1490)</f>
        <v/>
      </c>
      <c r="I1490" s="9">
        <f>IF(D1490="USD",F1490*$N$1,F1490)</f>
        <v/>
      </c>
      <c r="J1490" s="9">
        <f>IF(D1490="USD",G1490*$N$1,G1490)</f>
        <v/>
      </c>
      <c r="K1490" s="9">
        <f>H1490+I1490</f>
        <v/>
      </c>
    </row>
    <row r="1491">
      <c r="A1491" s="8" t="n">
        <v>46194</v>
      </c>
      <c r="B1491" t="inlineStr">
        <is>
          <t>2026-W25</t>
        </is>
      </c>
      <c r="C1491" t="inlineStr">
        <is>
          <t>Nuvei</t>
        </is>
      </c>
      <c r="D1491" t="inlineStr">
        <is>
          <t>EUR</t>
        </is>
      </c>
      <c r="E1491" s="9" t="n">
        <v>179768.78</v>
      </c>
      <c r="F1491" s="9" t="n">
        <v>-5231.99</v>
      </c>
      <c r="G1491" s="9" t="n">
        <v>0</v>
      </c>
      <c r="H1491" s="9">
        <f>IF(D1491="USD",E1491*$N$1,E1491)</f>
        <v/>
      </c>
      <c r="I1491" s="9">
        <f>IF(D1491="USD",F1491*$N$1,F1491)</f>
        <v/>
      </c>
      <c r="J1491" s="9">
        <f>IF(D1491="USD",G1491*$N$1,G1491)</f>
        <v/>
      </c>
      <c r="K1491" s="9">
        <f>H1491+I1491</f>
        <v/>
      </c>
    </row>
    <row r="1492">
      <c r="A1492" s="8" t="n">
        <v>46194</v>
      </c>
      <c r="B1492" t="inlineStr">
        <is>
          <t>2026-W25</t>
        </is>
      </c>
      <c r="C1492" t="inlineStr">
        <is>
          <t>Nuvei</t>
        </is>
      </c>
      <c r="D1492" t="inlineStr">
        <is>
          <t>EUR</t>
        </is>
      </c>
      <c r="E1492" s="9" t="n">
        <v>11077.18</v>
      </c>
      <c r="F1492" s="9" t="n">
        <v>-344.21</v>
      </c>
      <c r="G1492" s="9" t="n">
        <v>0</v>
      </c>
      <c r="H1492" s="9">
        <f>IF(D1492="USD",E1492*$N$1,E1492)</f>
        <v/>
      </c>
      <c r="I1492" s="9">
        <f>IF(D1492="USD",F1492*$N$1,F1492)</f>
        <v/>
      </c>
      <c r="J1492" s="9">
        <f>IF(D1492="USD",G1492*$N$1,G1492)</f>
        <v/>
      </c>
      <c r="K1492" s="9">
        <f>H1492+I1492</f>
        <v/>
      </c>
    </row>
    <row r="1493">
      <c r="A1493" s="8" t="n">
        <v>46194</v>
      </c>
      <c r="B1493" t="inlineStr">
        <is>
          <t>2026-W25</t>
        </is>
      </c>
      <c r="C1493" t="inlineStr">
        <is>
          <t>Nuvei</t>
        </is>
      </c>
      <c r="D1493" t="inlineStr">
        <is>
          <t>USD</t>
        </is>
      </c>
      <c r="E1493" s="9" t="n">
        <v>6641.4</v>
      </c>
      <c r="F1493" s="9" t="n">
        <v>-213.22</v>
      </c>
      <c r="G1493" s="9" t="n">
        <v>0</v>
      </c>
      <c r="H1493" s="9">
        <f>IF(D1493="USD",E1493*$N$1,E1493)</f>
        <v/>
      </c>
      <c r="I1493" s="9">
        <f>IF(D1493="USD",F1493*$N$1,F1493)</f>
        <v/>
      </c>
      <c r="J1493" s="9">
        <f>IF(D1493="USD",G1493*$N$1,G1493)</f>
        <v/>
      </c>
      <c r="K1493" s="9">
        <f>H1493+I1493</f>
        <v/>
      </c>
    </row>
    <row r="1494">
      <c r="A1494" s="8" t="n">
        <v>46194</v>
      </c>
      <c r="B1494" t="inlineStr">
        <is>
          <t>2026-W25</t>
        </is>
      </c>
      <c r="C1494" t="inlineStr">
        <is>
          <t>Shift4</t>
        </is>
      </c>
      <c r="D1494" t="inlineStr">
        <is>
          <t>EUR</t>
        </is>
      </c>
      <c r="E1494" s="9" t="n">
        <v>441783.72</v>
      </c>
      <c r="F1494" s="9" t="n">
        <v>-3978.14</v>
      </c>
      <c r="G1494" s="9" t="n">
        <v>0</v>
      </c>
      <c r="H1494" s="9">
        <f>IF(D1494="USD",E1494*$N$1,E1494)</f>
        <v/>
      </c>
      <c r="I1494" s="9">
        <f>IF(D1494="USD",F1494*$N$1,F1494)</f>
        <v/>
      </c>
      <c r="J1494" s="9">
        <f>IF(D1494="USD",G1494*$N$1,G1494)</f>
        <v/>
      </c>
      <c r="K1494" s="9">
        <f>H1494+I1494</f>
        <v/>
      </c>
    </row>
    <row r="1495">
      <c r="A1495" s="8" t="n">
        <v>46195</v>
      </c>
      <c r="B1495" t="inlineStr">
        <is>
          <t>2026-W26</t>
        </is>
      </c>
      <c r="C1495" t="inlineStr">
        <is>
          <t>Adyen</t>
        </is>
      </c>
      <c r="D1495" t="inlineStr">
        <is>
          <t>EUR</t>
        </is>
      </c>
      <c r="E1495" s="9" t="n">
        <v>0</v>
      </c>
      <c r="F1495" s="9" t="n">
        <v>0</v>
      </c>
      <c r="G1495" s="9" t="n">
        <v>-804202.91</v>
      </c>
      <c r="H1495" s="9">
        <f>IF(D1495="USD",E1495*$N$1,E1495)</f>
        <v/>
      </c>
      <c r="I1495" s="9">
        <f>IF(D1495="USD",F1495*$N$1,F1495)</f>
        <v/>
      </c>
      <c r="J1495" s="9">
        <f>IF(D1495="USD",G1495*$N$1,G1495)</f>
        <v/>
      </c>
      <c r="K1495" s="9">
        <f>H1495+I1495</f>
        <v/>
      </c>
    </row>
    <row r="1496">
      <c r="A1496" s="8" t="n">
        <v>46195</v>
      </c>
      <c r="B1496" t="inlineStr">
        <is>
          <t>2026-W26</t>
        </is>
      </c>
      <c r="C1496" t="inlineStr">
        <is>
          <t>Adyen</t>
        </is>
      </c>
      <c r="D1496" t="inlineStr">
        <is>
          <t>EUR</t>
        </is>
      </c>
      <c r="E1496" s="9" t="n">
        <v>795762.6899999999</v>
      </c>
      <c r="F1496" s="9" t="n">
        <v>-5473.050000000047</v>
      </c>
      <c r="G1496" s="9" t="n">
        <v>0</v>
      </c>
      <c r="H1496" s="9">
        <f>IF(D1496="USD",E1496*$N$1,E1496)</f>
        <v/>
      </c>
      <c r="I1496" s="9">
        <f>IF(D1496="USD",F1496*$N$1,F1496)</f>
        <v/>
      </c>
      <c r="J1496" s="9">
        <f>IF(D1496="USD",G1496*$N$1,G1496)</f>
        <v/>
      </c>
      <c r="K1496" s="9">
        <f>H1496+I1496</f>
        <v/>
      </c>
    </row>
    <row r="1497">
      <c r="A1497" s="8" t="n">
        <v>46195</v>
      </c>
      <c r="B1497" t="inlineStr">
        <is>
          <t>2026-W26</t>
        </is>
      </c>
      <c r="C1497" t="inlineStr">
        <is>
          <t>Adyen</t>
        </is>
      </c>
      <c r="D1497" t="inlineStr">
        <is>
          <t>EUR</t>
        </is>
      </c>
      <c r="E1497" s="9" t="n">
        <v>126623.47</v>
      </c>
      <c r="F1497" s="9" t="n">
        <v>0</v>
      </c>
      <c r="G1497" s="9" t="n">
        <v>0</v>
      </c>
      <c r="H1497" s="9">
        <f>IF(D1497="USD",E1497*$N$1,E1497)</f>
        <v/>
      </c>
      <c r="I1497" s="9">
        <f>IF(D1497="USD",F1497*$N$1,F1497)</f>
        <v/>
      </c>
      <c r="J1497" s="9">
        <f>IF(D1497="USD",G1497*$N$1,G1497)</f>
        <v/>
      </c>
      <c r="K1497" s="9">
        <f>H1497+I1497</f>
        <v/>
      </c>
    </row>
    <row r="1498">
      <c r="A1498" s="8" t="n">
        <v>46195</v>
      </c>
      <c r="B1498" t="inlineStr">
        <is>
          <t>2026-W26</t>
        </is>
      </c>
      <c r="C1498" t="inlineStr">
        <is>
          <t>Nuvei</t>
        </is>
      </c>
      <c r="D1498" t="inlineStr">
        <is>
          <t>EUR</t>
        </is>
      </c>
      <c r="E1498" s="9" t="n">
        <v>0</v>
      </c>
      <c r="F1498" s="9" t="n">
        <v>0</v>
      </c>
      <c r="G1498" s="9" t="n">
        <v>-381329.12</v>
      </c>
      <c r="H1498" s="9">
        <f>IF(D1498="USD",E1498*$N$1,E1498)</f>
        <v/>
      </c>
      <c r="I1498" s="9">
        <f>IF(D1498="USD",F1498*$N$1,F1498)</f>
        <v/>
      </c>
      <c r="J1498" s="9">
        <f>IF(D1498="USD",G1498*$N$1,G1498)</f>
        <v/>
      </c>
      <c r="K1498" s="9">
        <f>H1498+I1498</f>
        <v/>
      </c>
    </row>
    <row r="1499">
      <c r="A1499" s="8" t="n">
        <v>46195</v>
      </c>
      <c r="B1499" t="inlineStr">
        <is>
          <t>2026-W26</t>
        </is>
      </c>
      <c r="C1499" t="inlineStr">
        <is>
          <t>Nuvei</t>
        </is>
      </c>
      <c r="D1499" t="inlineStr">
        <is>
          <t>EUR</t>
        </is>
      </c>
      <c r="E1499" s="9" t="n">
        <v>0</v>
      </c>
      <c r="F1499" s="9" t="n">
        <v>0</v>
      </c>
      <c r="G1499" s="9" t="n">
        <v>-271762.46</v>
      </c>
      <c r="H1499" s="9">
        <f>IF(D1499="USD",E1499*$N$1,E1499)</f>
        <v/>
      </c>
      <c r="I1499" s="9">
        <f>IF(D1499="USD",F1499*$N$1,F1499)</f>
        <v/>
      </c>
      <c r="J1499" s="9">
        <f>IF(D1499="USD",G1499*$N$1,G1499)</f>
        <v/>
      </c>
      <c r="K1499" s="9">
        <f>H1499+I1499</f>
        <v/>
      </c>
    </row>
    <row r="1500">
      <c r="A1500" s="8" t="n">
        <v>46195</v>
      </c>
      <c r="B1500" t="inlineStr">
        <is>
          <t>2026-W26</t>
        </is>
      </c>
      <c r="C1500" t="inlineStr">
        <is>
          <t>Nuvei</t>
        </is>
      </c>
      <c r="D1500" t="inlineStr">
        <is>
          <t>EUR</t>
        </is>
      </c>
      <c r="E1500" s="9" t="n">
        <v>369255.48</v>
      </c>
      <c r="F1500" s="9" t="n">
        <v>-6753.79</v>
      </c>
      <c r="G1500" s="9" t="n">
        <v>0</v>
      </c>
      <c r="H1500" s="9">
        <f>IF(D1500="USD",E1500*$N$1,E1500)</f>
        <v/>
      </c>
      <c r="I1500" s="9">
        <f>IF(D1500="USD",F1500*$N$1,F1500)</f>
        <v/>
      </c>
      <c r="J1500" s="9">
        <f>IF(D1500="USD",G1500*$N$1,G1500)</f>
        <v/>
      </c>
      <c r="K1500" s="9">
        <f>H1500+I1500</f>
        <v/>
      </c>
    </row>
    <row r="1501">
      <c r="A1501" s="8" t="n">
        <v>46195</v>
      </c>
      <c r="B1501" t="inlineStr">
        <is>
          <t>2026-W26</t>
        </is>
      </c>
      <c r="C1501" t="inlineStr">
        <is>
          <t>Nuvei</t>
        </is>
      </c>
      <c r="D1501" t="inlineStr">
        <is>
          <t>EUR</t>
        </is>
      </c>
      <c r="E1501" s="9" t="n">
        <v>188123.99</v>
      </c>
      <c r="F1501" s="9" t="n">
        <v>-5280.13</v>
      </c>
      <c r="G1501" s="9" t="n">
        <v>0</v>
      </c>
      <c r="H1501" s="9">
        <f>IF(D1501="USD",E1501*$N$1,E1501)</f>
        <v/>
      </c>
      <c r="I1501" s="9">
        <f>IF(D1501="USD",F1501*$N$1,F1501)</f>
        <v/>
      </c>
      <c r="J1501" s="9">
        <f>IF(D1501="USD",G1501*$N$1,G1501)</f>
        <v/>
      </c>
      <c r="K1501" s="9">
        <f>H1501+I1501</f>
        <v/>
      </c>
    </row>
    <row r="1502">
      <c r="A1502" s="8" t="n">
        <v>46195</v>
      </c>
      <c r="B1502" t="inlineStr">
        <is>
          <t>2026-W26</t>
        </is>
      </c>
      <c r="C1502" t="inlineStr">
        <is>
          <t>Nuvei</t>
        </is>
      </c>
      <c r="D1502" t="inlineStr">
        <is>
          <t>EUR</t>
        </is>
      </c>
      <c r="E1502" s="9" t="n">
        <v>3254.21</v>
      </c>
      <c r="F1502" s="9" t="n">
        <v>-103.96</v>
      </c>
      <c r="G1502" s="9" t="n">
        <v>0</v>
      </c>
      <c r="H1502" s="9">
        <f>IF(D1502="USD",E1502*$N$1,E1502)</f>
        <v/>
      </c>
      <c r="I1502" s="9">
        <f>IF(D1502="USD",F1502*$N$1,F1502)</f>
        <v/>
      </c>
      <c r="J1502" s="9">
        <f>IF(D1502="USD",G1502*$N$1,G1502)</f>
        <v/>
      </c>
      <c r="K1502" s="9">
        <f>H1502+I1502</f>
        <v/>
      </c>
    </row>
    <row r="1503">
      <c r="A1503" s="8" t="n">
        <v>46195</v>
      </c>
      <c r="B1503" t="inlineStr">
        <is>
          <t>2026-W26</t>
        </is>
      </c>
      <c r="C1503" t="inlineStr">
        <is>
          <t>Nuvei</t>
        </is>
      </c>
      <c r="D1503" t="inlineStr">
        <is>
          <t>USD</t>
        </is>
      </c>
      <c r="E1503" s="9" t="n">
        <v>8949.700000000001</v>
      </c>
      <c r="F1503" s="9" t="n">
        <v>-276.37</v>
      </c>
      <c r="G1503" s="9" t="n">
        <v>0</v>
      </c>
      <c r="H1503" s="9">
        <f>IF(D1503="USD",E1503*$N$1,E1503)</f>
        <v/>
      </c>
      <c r="I1503" s="9">
        <f>IF(D1503="USD",F1503*$N$1,F1503)</f>
        <v/>
      </c>
      <c r="J1503" s="9">
        <f>IF(D1503="USD",G1503*$N$1,G1503)</f>
        <v/>
      </c>
      <c r="K1503" s="9">
        <f>H1503+I1503</f>
        <v/>
      </c>
    </row>
    <row r="1504">
      <c r="A1504" s="8" t="n">
        <v>46195</v>
      </c>
      <c r="B1504" t="inlineStr">
        <is>
          <t>2026-W26</t>
        </is>
      </c>
      <c r="C1504" t="inlineStr">
        <is>
          <t>Shift4</t>
        </is>
      </c>
      <c r="D1504" t="inlineStr">
        <is>
          <t>EUR</t>
        </is>
      </c>
      <c r="E1504" s="9" t="n">
        <v>0</v>
      </c>
      <c r="F1504" s="9" t="n">
        <v>0</v>
      </c>
      <c r="G1504" s="9" t="n">
        <v>-553367.53</v>
      </c>
      <c r="H1504" s="9">
        <f>IF(D1504="USD",E1504*$N$1,E1504)</f>
        <v/>
      </c>
      <c r="I1504" s="9">
        <f>IF(D1504="USD",F1504*$N$1,F1504)</f>
        <v/>
      </c>
      <c r="J1504" s="9">
        <f>IF(D1504="USD",G1504*$N$1,G1504)</f>
        <v/>
      </c>
      <c r="K1504" s="9">
        <f>H1504+I1504</f>
        <v/>
      </c>
    </row>
    <row r="1505">
      <c r="A1505" s="8" t="n">
        <v>46195</v>
      </c>
      <c r="B1505" t="inlineStr">
        <is>
          <t>2026-W26</t>
        </is>
      </c>
      <c r="C1505" t="inlineStr">
        <is>
          <t>Shift4</t>
        </is>
      </c>
      <c r="D1505" t="inlineStr">
        <is>
          <t>EUR</t>
        </is>
      </c>
      <c r="E1505" s="9" t="n">
        <v>475270.19</v>
      </c>
      <c r="F1505" s="9" t="n">
        <v>-5061.34</v>
      </c>
      <c r="G1505" s="9" t="n">
        <v>0</v>
      </c>
      <c r="H1505" s="9">
        <f>IF(D1505="USD",E1505*$N$1,E1505)</f>
        <v/>
      </c>
      <c r="I1505" s="9">
        <f>IF(D1505="USD",F1505*$N$1,F1505)</f>
        <v/>
      </c>
      <c r="J1505" s="9">
        <f>IF(D1505="USD",G1505*$N$1,G1505)</f>
        <v/>
      </c>
      <c r="K1505" s="9">
        <f>H1505+I1505</f>
        <v/>
      </c>
    </row>
    <row r="1506">
      <c r="A1506" s="8" t="n">
        <v>46196</v>
      </c>
      <c r="B1506" t="inlineStr">
        <is>
          <t>2026-W26</t>
        </is>
      </c>
      <c r="C1506" t="inlineStr">
        <is>
          <t>Adyen</t>
        </is>
      </c>
      <c r="D1506" t="inlineStr">
        <is>
          <t>EUR</t>
        </is>
      </c>
      <c r="E1506" s="9" t="n">
        <v>0</v>
      </c>
      <c r="F1506" s="9" t="n">
        <v>0</v>
      </c>
      <c r="G1506" s="9" t="n">
        <v>-1975858.55</v>
      </c>
      <c r="H1506" s="9">
        <f>IF(D1506="USD",E1506*$N$1,E1506)</f>
        <v/>
      </c>
      <c r="I1506" s="9">
        <f>IF(D1506="USD",F1506*$N$1,F1506)</f>
        <v/>
      </c>
      <c r="J1506" s="9">
        <f>IF(D1506="USD",G1506*$N$1,G1506)</f>
        <v/>
      </c>
      <c r="K1506" s="9">
        <f>H1506+I1506</f>
        <v/>
      </c>
    </row>
    <row r="1507">
      <c r="A1507" s="8" t="n">
        <v>46196</v>
      </c>
      <c r="B1507" t="inlineStr">
        <is>
          <t>2026-W26</t>
        </is>
      </c>
      <c r="C1507" t="inlineStr">
        <is>
          <t>Adyen</t>
        </is>
      </c>
      <c r="D1507" t="inlineStr">
        <is>
          <t>EUR</t>
        </is>
      </c>
      <c r="E1507" s="9" t="n">
        <v>774534.48</v>
      </c>
      <c r="F1507" s="9" t="n">
        <v>-7281.010000000009</v>
      </c>
      <c r="G1507" s="9" t="n">
        <v>0</v>
      </c>
      <c r="H1507" s="9">
        <f>IF(D1507="USD",E1507*$N$1,E1507)</f>
        <v/>
      </c>
      <c r="I1507" s="9">
        <f>IF(D1507="USD",F1507*$N$1,F1507)</f>
        <v/>
      </c>
      <c r="J1507" s="9">
        <f>IF(D1507="USD",G1507*$N$1,G1507)</f>
        <v/>
      </c>
      <c r="K1507" s="9">
        <f>H1507+I1507</f>
        <v/>
      </c>
    </row>
    <row r="1508">
      <c r="A1508" s="8" t="n">
        <v>46196</v>
      </c>
      <c r="B1508" t="inlineStr">
        <is>
          <t>2026-W26</t>
        </is>
      </c>
      <c r="C1508" t="inlineStr">
        <is>
          <t>Adyen</t>
        </is>
      </c>
      <c r="D1508" t="inlineStr">
        <is>
          <t>EUR</t>
        </is>
      </c>
      <c r="E1508" s="9" t="n">
        <v>112173.05</v>
      </c>
      <c r="F1508" s="9" t="n">
        <v>0</v>
      </c>
      <c r="G1508" s="9" t="n">
        <v>0</v>
      </c>
      <c r="H1508" s="9">
        <f>IF(D1508="USD",E1508*$N$1,E1508)</f>
        <v/>
      </c>
      <c r="I1508" s="9">
        <f>IF(D1508="USD",F1508*$N$1,F1508)</f>
        <v/>
      </c>
      <c r="J1508" s="9">
        <f>IF(D1508="USD",G1508*$N$1,G1508)</f>
        <v/>
      </c>
      <c r="K1508" s="9">
        <f>H1508+I1508</f>
        <v/>
      </c>
    </row>
    <row r="1509">
      <c r="A1509" s="8" t="n">
        <v>46196</v>
      </c>
      <c r="B1509" t="inlineStr">
        <is>
          <t>2026-W26</t>
        </is>
      </c>
      <c r="C1509" t="inlineStr">
        <is>
          <t>Nuvei</t>
        </is>
      </c>
      <c r="D1509" t="inlineStr">
        <is>
          <t>EUR</t>
        </is>
      </c>
      <c r="E1509" s="9" t="n">
        <v>0</v>
      </c>
      <c r="F1509" s="9" t="n">
        <v>0</v>
      </c>
      <c r="G1509" s="9" t="n">
        <v>-404931.65</v>
      </c>
      <c r="H1509" s="9">
        <f>IF(D1509="USD",E1509*$N$1,E1509)</f>
        <v/>
      </c>
      <c r="I1509" s="9">
        <f>IF(D1509="USD",F1509*$N$1,F1509)</f>
        <v/>
      </c>
      <c r="J1509" s="9">
        <f>IF(D1509="USD",G1509*$N$1,G1509)</f>
        <v/>
      </c>
      <c r="K1509" s="9">
        <f>H1509+I1509</f>
        <v/>
      </c>
    </row>
    <row r="1510">
      <c r="A1510" s="8" t="n">
        <v>46196</v>
      </c>
      <c r="B1510" t="inlineStr">
        <is>
          <t>2026-W26</t>
        </is>
      </c>
      <c r="C1510" t="inlineStr">
        <is>
          <t>Nuvei</t>
        </is>
      </c>
      <c r="D1510" t="inlineStr">
        <is>
          <t>EUR</t>
        </is>
      </c>
      <c r="E1510" s="9" t="n">
        <v>0</v>
      </c>
      <c r="F1510" s="9" t="n">
        <v>0</v>
      </c>
      <c r="G1510" s="9" t="n">
        <v>-264070.29</v>
      </c>
      <c r="H1510" s="9">
        <f>IF(D1510="USD",E1510*$N$1,E1510)</f>
        <v/>
      </c>
      <c r="I1510" s="9">
        <f>IF(D1510="USD",F1510*$N$1,F1510)</f>
        <v/>
      </c>
      <c r="J1510" s="9">
        <f>IF(D1510="USD",G1510*$N$1,G1510)</f>
        <v/>
      </c>
      <c r="K1510" s="9">
        <f>H1510+I1510</f>
        <v/>
      </c>
    </row>
    <row r="1511">
      <c r="A1511" s="8" t="n">
        <v>46196</v>
      </c>
      <c r="B1511" t="inlineStr">
        <is>
          <t>2026-W26</t>
        </is>
      </c>
      <c r="C1511" t="inlineStr">
        <is>
          <t>Nuvei</t>
        </is>
      </c>
      <c r="D1511" t="inlineStr">
        <is>
          <t>EUR</t>
        </is>
      </c>
      <c r="E1511" s="9" t="n">
        <v>382189.29</v>
      </c>
      <c r="F1511" s="9" t="n">
        <v>-6817.45</v>
      </c>
      <c r="G1511" s="9" t="n">
        <v>0</v>
      </c>
      <c r="H1511" s="9">
        <f>IF(D1511="USD",E1511*$N$1,E1511)</f>
        <v/>
      </c>
      <c r="I1511" s="9">
        <f>IF(D1511="USD",F1511*$N$1,F1511)</f>
        <v/>
      </c>
      <c r="J1511" s="9">
        <f>IF(D1511="USD",G1511*$N$1,G1511)</f>
        <v/>
      </c>
      <c r="K1511" s="9">
        <f>H1511+I1511</f>
        <v/>
      </c>
    </row>
    <row r="1512">
      <c r="A1512" s="8" t="n">
        <v>46196</v>
      </c>
      <c r="B1512" t="inlineStr">
        <is>
          <t>2026-W26</t>
        </is>
      </c>
      <c r="C1512" t="inlineStr">
        <is>
          <t>Nuvei</t>
        </is>
      </c>
      <c r="D1512" t="inlineStr">
        <is>
          <t>EUR</t>
        </is>
      </c>
      <c r="E1512" s="9" t="n">
        <v>236560.71</v>
      </c>
      <c r="F1512" s="9" t="n">
        <v>-6657.17</v>
      </c>
      <c r="G1512" s="9" t="n">
        <v>0</v>
      </c>
      <c r="H1512" s="9">
        <f>IF(D1512="USD",E1512*$N$1,E1512)</f>
        <v/>
      </c>
      <c r="I1512" s="9">
        <f>IF(D1512="USD",F1512*$N$1,F1512)</f>
        <v/>
      </c>
      <c r="J1512" s="9">
        <f>IF(D1512="USD",G1512*$N$1,G1512)</f>
        <v/>
      </c>
      <c r="K1512" s="9">
        <f>H1512+I1512</f>
        <v/>
      </c>
    </row>
    <row r="1513">
      <c r="A1513" s="8" t="n">
        <v>46196</v>
      </c>
      <c r="B1513" t="inlineStr">
        <is>
          <t>2026-W26</t>
        </is>
      </c>
      <c r="C1513" t="inlineStr">
        <is>
          <t>Nuvei</t>
        </is>
      </c>
      <c r="D1513" t="inlineStr">
        <is>
          <t>EUR</t>
        </is>
      </c>
      <c r="E1513" s="9" t="n">
        <v>21991.51</v>
      </c>
      <c r="F1513" s="9" t="n">
        <v>-562.48</v>
      </c>
      <c r="G1513" s="9" t="n">
        <v>0</v>
      </c>
      <c r="H1513" s="9">
        <f>IF(D1513="USD",E1513*$N$1,E1513)</f>
        <v/>
      </c>
      <c r="I1513" s="9">
        <f>IF(D1513="USD",F1513*$N$1,F1513)</f>
        <v/>
      </c>
      <c r="J1513" s="9">
        <f>IF(D1513="USD",G1513*$N$1,G1513)</f>
        <v/>
      </c>
      <c r="K1513" s="9">
        <f>H1513+I1513</f>
        <v/>
      </c>
    </row>
    <row r="1514">
      <c r="A1514" s="8" t="n">
        <v>46196</v>
      </c>
      <c r="B1514" t="inlineStr">
        <is>
          <t>2026-W26</t>
        </is>
      </c>
      <c r="C1514" t="inlineStr">
        <is>
          <t>Nuvei</t>
        </is>
      </c>
      <c r="D1514" t="inlineStr">
        <is>
          <t>USD</t>
        </is>
      </c>
      <c r="E1514" s="9" t="n">
        <v>9002.700000000001</v>
      </c>
      <c r="F1514" s="9" t="n">
        <v>-281.14</v>
      </c>
      <c r="G1514" s="9" t="n">
        <v>0</v>
      </c>
      <c r="H1514" s="9">
        <f>IF(D1514="USD",E1514*$N$1,E1514)</f>
        <v/>
      </c>
      <c r="I1514" s="9">
        <f>IF(D1514="USD",F1514*$N$1,F1514)</f>
        <v/>
      </c>
      <c r="J1514" s="9">
        <f>IF(D1514="USD",G1514*$N$1,G1514)</f>
        <v/>
      </c>
      <c r="K1514" s="9">
        <f>H1514+I1514</f>
        <v/>
      </c>
    </row>
    <row r="1515">
      <c r="A1515" s="8" t="n">
        <v>46196</v>
      </c>
      <c r="B1515" t="inlineStr">
        <is>
          <t>2026-W26</t>
        </is>
      </c>
      <c r="C1515" t="inlineStr">
        <is>
          <t>Shift4</t>
        </is>
      </c>
      <c r="D1515" t="inlineStr">
        <is>
          <t>EUR</t>
        </is>
      </c>
      <c r="E1515" s="9" t="n">
        <v>0</v>
      </c>
      <c r="F1515" s="9" t="n">
        <v>0</v>
      </c>
      <c r="G1515" s="9" t="n">
        <v>-538004.76</v>
      </c>
      <c r="H1515" s="9">
        <f>IF(D1515="USD",E1515*$N$1,E1515)</f>
        <v/>
      </c>
      <c r="I1515" s="9">
        <f>IF(D1515="USD",F1515*$N$1,F1515)</f>
        <v/>
      </c>
      <c r="J1515" s="9">
        <f>IF(D1515="USD",G1515*$N$1,G1515)</f>
        <v/>
      </c>
      <c r="K1515" s="9">
        <f>H1515+I1515</f>
        <v/>
      </c>
    </row>
    <row r="1516">
      <c r="A1516" s="8" t="n">
        <v>46196</v>
      </c>
      <c r="B1516" t="inlineStr">
        <is>
          <t>2026-W26</t>
        </is>
      </c>
      <c r="C1516" t="inlineStr">
        <is>
          <t>Shift4</t>
        </is>
      </c>
      <c r="D1516" t="inlineStr">
        <is>
          <t>EUR</t>
        </is>
      </c>
      <c r="E1516" s="9" t="n">
        <v>483495.75</v>
      </c>
      <c r="F1516" s="9" t="n">
        <v>-5357.67</v>
      </c>
      <c r="G1516" s="9" t="n">
        <v>0</v>
      </c>
      <c r="H1516" s="9">
        <f>IF(D1516="USD",E1516*$N$1,E1516)</f>
        <v/>
      </c>
      <c r="I1516" s="9">
        <f>IF(D1516="USD",F1516*$N$1,F1516)</f>
        <v/>
      </c>
      <c r="J1516" s="9">
        <f>IF(D1516="USD",G1516*$N$1,G1516)</f>
        <v/>
      </c>
      <c r="K1516" s="9">
        <f>H1516+I1516</f>
        <v/>
      </c>
    </row>
    <row r="1517">
      <c r="A1517" s="8" t="n">
        <v>46197</v>
      </c>
      <c r="B1517" t="inlineStr">
        <is>
          <t>2026-W26</t>
        </is>
      </c>
      <c r="C1517" t="inlineStr">
        <is>
          <t>Adyen</t>
        </is>
      </c>
      <c r="D1517" t="inlineStr">
        <is>
          <t>EUR</t>
        </is>
      </c>
      <c r="E1517" s="9" t="n">
        <v>0</v>
      </c>
      <c r="F1517" s="9" t="n">
        <v>0</v>
      </c>
      <c r="G1517" s="9" t="n">
        <v>-916913.1099999999</v>
      </c>
      <c r="H1517" s="9">
        <f>IF(D1517="USD",E1517*$N$1,E1517)</f>
        <v/>
      </c>
      <c r="I1517" s="9">
        <f>IF(D1517="USD",F1517*$N$1,F1517)</f>
        <v/>
      </c>
      <c r="J1517" s="9">
        <f>IF(D1517="USD",G1517*$N$1,G1517)</f>
        <v/>
      </c>
      <c r="K1517" s="9">
        <f>H1517+I1517</f>
        <v/>
      </c>
    </row>
    <row r="1518">
      <c r="A1518" s="8" t="n">
        <v>46197</v>
      </c>
      <c r="B1518" t="inlineStr">
        <is>
          <t>2026-W26</t>
        </is>
      </c>
      <c r="C1518" t="inlineStr">
        <is>
          <t>Adyen</t>
        </is>
      </c>
      <c r="D1518" t="inlineStr">
        <is>
          <t>EUR</t>
        </is>
      </c>
      <c r="E1518" s="9" t="n">
        <v>771194.46</v>
      </c>
      <c r="F1518" s="9" t="n">
        <v>-58973.15999999992</v>
      </c>
      <c r="G1518" s="9" t="n">
        <v>0</v>
      </c>
      <c r="H1518" s="9">
        <f>IF(D1518="USD",E1518*$N$1,E1518)</f>
        <v/>
      </c>
      <c r="I1518" s="9">
        <f>IF(D1518="USD",F1518*$N$1,F1518)</f>
        <v/>
      </c>
      <c r="J1518" s="9">
        <f>IF(D1518="USD",G1518*$N$1,G1518)</f>
        <v/>
      </c>
      <c r="K1518" s="9">
        <f>H1518+I1518</f>
        <v/>
      </c>
    </row>
    <row r="1519">
      <c r="A1519" s="8" t="n">
        <v>46197</v>
      </c>
      <c r="B1519" t="inlineStr">
        <is>
          <t>2026-W26</t>
        </is>
      </c>
      <c r="C1519" t="inlineStr">
        <is>
          <t>Adyen</t>
        </is>
      </c>
      <c r="D1519" t="inlineStr">
        <is>
          <t>EUR</t>
        </is>
      </c>
      <c r="E1519" s="9" t="n">
        <v>129677.89</v>
      </c>
      <c r="F1519" s="9" t="n">
        <v>0</v>
      </c>
      <c r="G1519" s="9" t="n">
        <v>0</v>
      </c>
      <c r="H1519" s="9">
        <f>IF(D1519="USD",E1519*$N$1,E1519)</f>
        <v/>
      </c>
      <c r="I1519" s="9">
        <f>IF(D1519="USD",F1519*$N$1,F1519)</f>
        <v/>
      </c>
      <c r="J1519" s="9">
        <f>IF(D1519="USD",G1519*$N$1,G1519)</f>
        <v/>
      </c>
      <c r="K1519" s="9">
        <f>H1519+I1519</f>
        <v/>
      </c>
    </row>
    <row r="1520">
      <c r="A1520" s="8" t="n">
        <v>46197</v>
      </c>
      <c r="B1520" t="inlineStr">
        <is>
          <t>2026-W26</t>
        </is>
      </c>
      <c r="C1520" t="inlineStr">
        <is>
          <t>Nuvei</t>
        </is>
      </c>
      <c r="D1520" t="inlineStr">
        <is>
          <t>EUR</t>
        </is>
      </c>
      <c r="E1520" s="9" t="n">
        <v>0</v>
      </c>
      <c r="F1520" s="9" t="n">
        <v>0</v>
      </c>
      <c r="G1520" s="9" t="n">
        <v>-365672.02</v>
      </c>
      <c r="H1520" s="9">
        <f>IF(D1520="USD",E1520*$N$1,E1520)</f>
        <v/>
      </c>
      <c r="I1520" s="9">
        <f>IF(D1520="USD",F1520*$N$1,F1520)</f>
        <v/>
      </c>
      <c r="J1520" s="9">
        <f>IF(D1520="USD",G1520*$N$1,G1520)</f>
        <v/>
      </c>
      <c r="K1520" s="9">
        <f>H1520+I1520</f>
        <v/>
      </c>
    </row>
    <row r="1521">
      <c r="A1521" s="8" t="n">
        <v>46197</v>
      </c>
      <c r="B1521" t="inlineStr">
        <is>
          <t>2026-W26</t>
        </is>
      </c>
      <c r="C1521" t="inlineStr">
        <is>
          <t>Nuvei</t>
        </is>
      </c>
      <c r="D1521" t="inlineStr">
        <is>
          <t>EUR</t>
        </is>
      </c>
      <c r="E1521" s="9" t="n">
        <v>0</v>
      </c>
      <c r="F1521" s="9" t="n">
        <v>0</v>
      </c>
      <c r="G1521" s="9" t="n">
        <v>-249617.07</v>
      </c>
      <c r="H1521" s="9">
        <f>IF(D1521="USD",E1521*$N$1,E1521)</f>
        <v/>
      </c>
      <c r="I1521" s="9">
        <f>IF(D1521="USD",F1521*$N$1,F1521)</f>
        <v/>
      </c>
      <c r="J1521" s="9">
        <f>IF(D1521="USD",G1521*$N$1,G1521)</f>
        <v/>
      </c>
      <c r="K1521" s="9">
        <f>H1521+I1521</f>
        <v/>
      </c>
    </row>
    <row r="1522">
      <c r="A1522" s="8" t="n">
        <v>46197</v>
      </c>
      <c r="B1522" t="inlineStr">
        <is>
          <t>2026-W26</t>
        </is>
      </c>
      <c r="C1522" t="inlineStr">
        <is>
          <t>Nuvei</t>
        </is>
      </c>
      <c r="D1522" t="inlineStr">
        <is>
          <t>EUR</t>
        </is>
      </c>
      <c r="E1522" s="9" t="n">
        <v>372851.11</v>
      </c>
      <c r="F1522" s="9" t="n">
        <v>-6455.17</v>
      </c>
      <c r="G1522" s="9" t="n">
        <v>0</v>
      </c>
      <c r="H1522" s="9">
        <f>IF(D1522="USD",E1522*$N$1,E1522)</f>
        <v/>
      </c>
      <c r="I1522" s="9">
        <f>IF(D1522="USD",F1522*$N$1,F1522)</f>
        <v/>
      </c>
      <c r="J1522" s="9">
        <f>IF(D1522="USD",G1522*$N$1,G1522)</f>
        <v/>
      </c>
      <c r="K1522" s="9">
        <f>H1522+I1522</f>
        <v/>
      </c>
    </row>
    <row r="1523">
      <c r="A1523" s="8" t="n">
        <v>46197</v>
      </c>
      <c r="B1523" t="inlineStr">
        <is>
          <t>2026-W26</t>
        </is>
      </c>
      <c r="C1523" t="inlineStr">
        <is>
          <t>Nuvei</t>
        </is>
      </c>
      <c r="D1523" t="inlineStr">
        <is>
          <t>EUR</t>
        </is>
      </c>
      <c r="E1523" s="9" t="n">
        <v>235322.97</v>
      </c>
      <c r="F1523" s="9" t="n">
        <v>-6618.96</v>
      </c>
      <c r="G1523" s="9" t="n">
        <v>0</v>
      </c>
      <c r="H1523" s="9">
        <f>IF(D1523="USD",E1523*$N$1,E1523)</f>
        <v/>
      </c>
      <c r="I1523" s="9">
        <f>IF(D1523="USD",F1523*$N$1,F1523)</f>
        <v/>
      </c>
      <c r="J1523" s="9">
        <f>IF(D1523="USD",G1523*$N$1,G1523)</f>
        <v/>
      </c>
      <c r="K1523" s="9">
        <f>H1523+I1523</f>
        <v/>
      </c>
    </row>
    <row r="1524">
      <c r="A1524" s="8" t="n">
        <v>46197</v>
      </c>
      <c r="B1524" t="inlineStr">
        <is>
          <t>2026-W26</t>
        </is>
      </c>
      <c r="C1524" t="inlineStr">
        <is>
          <t>Nuvei</t>
        </is>
      </c>
      <c r="D1524" t="inlineStr">
        <is>
          <t>EUR</t>
        </is>
      </c>
      <c r="E1524" s="9" t="n">
        <v>25059.59</v>
      </c>
      <c r="F1524" s="9" t="n">
        <v>-701.12</v>
      </c>
      <c r="G1524" s="9" t="n">
        <v>0</v>
      </c>
      <c r="H1524" s="9">
        <f>IF(D1524="USD",E1524*$N$1,E1524)</f>
        <v/>
      </c>
      <c r="I1524" s="9">
        <f>IF(D1524="USD",F1524*$N$1,F1524)</f>
        <v/>
      </c>
      <c r="J1524" s="9">
        <f>IF(D1524="USD",G1524*$N$1,G1524)</f>
        <v/>
      </c>
      <c r="K1524" s="9">
        <f>H1524+I1524</f>
        <v/>
      </c>
    </row>
    <row r="1525">
      <c r="A1525" s="8" t="n">
        <v>46197</v>
      </c>
      <c r="B1525" t="inlineStr">
        <is>
          <t>2026-W26</t>
        </is>
      </c>
      <c r="C1525" t="inlineStr">
        <is>
          <t>Nuvei</t>
        </is>
      </c>
      <c r="D1525" t="inlineStr">
        <is>
          <t>USD</t>
        </is>
      </c>
      <c r="E1525" s="9" t="n">
        <v>7833.6</v>
      </c>
      <c r="F1525" s="9" t="n">
        <v>-243.2</v>
      </c>
      <c r="G1525" s="9" t="n">
        <v>0</v>
      </c>
      <c r="H1525" s="9">
        <f>IF(D1525="USD",E1525*$N$1,E1525)</f>
        <v/>
      </c>
      <c r="I1525" s="9">
        <f>IF(D1525="USD",F1525*$N$1,F1525)</f>
        <v/>
      </c>
      <c r="J1525" s="9">
        <f>IF(D1525="USD",G1525*$N$1,G1525)</f>
        <v/>
      </c>
      <c r="K1525" s="9">
        <f>H1525+I1525</f>
        <v/>
      </c>
    </row>
    <row r="1526">
      <c r="A1526" s="8" t="n">
        <v>46197</v>
      </c>
      <c r="B1526" t="inlineStr">
        <is>
          <t>2026-W26</t>
        </is>
      </c>
      <c r="C1526" t="inlineStr">
        <is>
          <t>Shift4</t>
        </is>
      </c>
      <c r="D1526" t="inlineStr">
        <is>
          <t>EUR</t>
        </is>
      </c>
      <c r="E1526" s="9" t="n">
        <v>0</v>
      </c>
      <c r="F1526" s="9" t="n">
        <v>0</v>
      </c>
      <c r="G1526" s="9" t="n">
        <v>-439640.63</v>
      </c>
      <c r="H1526" s="9">
        <f>IF(D1526="USD",E1526*$N$1,E1526)</f>
        <v/>
      </c>
      <c r="I1526" s="9">
        <f>IF(D1526="USD",F1526*$N$1,F1526)</f>
        <v/>
      </c>
      <c r="J1526" s="9">
        <f>IF(D1526="USD",G1526*$N$1,G1526)</f>
        <v/>
      </c>
      <c r="K1526" s="9">
        <f>H1526+I1526</f>
        <v/>
      </c>
    </row>
    <row r="1527">
      <c r="A1527" s="8" t="n">
        <v>46197</v>
      </c>
      <c r="B1527" t="inlineStr">
        <is>
          <t>2026-W26</t>
        </is>
      </c>
      <c r="C1527" t="inlineStr">
        <is>
          <t>Shift4</t>
        </is>
      </c>
      <c r="D1527" t="inlineStr">
        <is>
          <t>EUR</t>
        </is>
      </c>
      <c r="E1527" s="9" t="n">
        <v>452546.5</v>
      </c>
      <c r="F1527" s="9" t="n">
        <v>-5250.25</v>
      </c>
      <c r="G1527" s="9" t="n">
        <v>0</v>
      </c>
      <c r="H1527" s="9">
        <f>IF(D1527="USD",E1527*$N$1,E1527)</f>
        <v/>
      </c>
      <c r="I1527" s="9">
        <f>IF(D1527="USD",F1527*$N$1,F1527)</f>
        <v/>
      </c>
      <c r="J1527" s="9">
        <f>IF(D1527="USD",G1527*$N$1,G1527)</f>
        <v/>
      </c>
      <c r="K1527" s="9">
        <f>H1527+I1527</f>
        <v/>
      </c>
    </row>
    <row r="1528">
      <c r="A1528" s="8" t="n">
        <v>46198</v>
      </c>
      <c r="B1528" t="inlineStr">
        <is>
          <t>2026-W26</t>
        </is>
      </c>
      <c r="C1528" t="inlineStr">
        <is>
          <t>Adyen</t>
        </is>
      </c>
      <c r="D1528" t="inlineStr">
        <is>
          <t>EUR</t>
        </is>
      </c>
      <c r="E1528" s="9" t="n">
        <v>0</v>
      </c>
      <c r="F1528" s="9" t="n">
        <v>0</v>
      </c>
      <c r="G1528" s="9" t="n">
        <v>-879426.52</v>
      </c>
      <c r="H1528" s="9">
        <f>IF(D1528="USD",E1528*$N$1,E1528)</f>
        <v/>
      </c>
      <c r="I1528" s="9">
        <f>IF(D1528="USD",F1528*$N$1,F1528)</f>
        <v/>
      </c>
      <c r="J1528" s="9">
        <f>IF(D1528="USD",G1528*$N$1,G1528)</f>
        <v/>
      </c>
      <c r="K1528" s="9">
        <f>H1528+I1528</f>
        <v/>
      </c>
    </row>
    <row r="1529">
      <c r="A1529" s="8" t="n">
        <v>46198</v>
      </c>
      <c r="B1529" t="inlineStr">
        <is>
          <t>2026-W26</t>
        </is>
      </c>
      <c r="C1529" t="inlineStr">
        <is>
          <t>Adyen</t>
        </is>
      </c>
      <c r="D1529" t="inlineStr">
        <is>
          <t>EUR</t>
        </is>
      </c>
      <c r="E1529" s="9" t="n">
        <v>672559.24</v>
      </c>
      <c r="F1529" s="9" t="n">
        <v>-11439.75</v>
      </c>
      <c r="G1529" s="9" t="n">
        <v>0</v>
      </c>
      <c r="H1529" s="9">
        <f>IF(D1529="USD",E1529*$N$1,E1529)</f>
        <v/>
      </c>
      <c r="I1529" s="9">
        <f>IF(D1529="USD",F1529*$N$1,F1529)</f>
        <v/>
      </c>
      <c r="J1529" s="9">
        <f>IF(D1529="USD",G1529*$N$1,G1529)</f>
        <v/>
      </c>
      <c r="K1529" s="9">
        <f>H1529+I1529</f>
        <v/>
      </c>
    </row>
    <row r="1530">
      <c r="A1530" s="8" t="n">
        <v>46198</v>
      </c>
      <c r="B1530" t="inlineStr">
        <is>
          <t>2026-W26</t>
        </is>
      </c>
      <c r="C1530" t="inlineStr">
        <is>
          <t>Adyen</t>
        </is>
      </c>
      <c r="D1530" t="inlineStr">
        <is>
          <t>EUR</t>
        </is>
      </c>
      <c r="E1530" s="9" t="n">
        <v>125801.45</v>
      </c>
      <c r="F1530" s="9" t="n">
        <v>0</v>
      </c>
      <c r="G1530" s="9" t="n">
        <v>0</v>
      </c>
      <c r="H1530" s="9">
        <f>IF(D1530="USD",E1530*$N$1,E1530)</f>
        <v/>
      </c>
      <c r="I1530" s="9">
        <f>IF(D1530="USD",F1530*$N$1,F1530)</f>
        <v/>
      </c>
      <c r="J1530" s="9">
        <f>IF(D1530="USD",G1530*$N$1,G1530)</f>
        <v/>
      </c>
      <c r="K1530" s="9">
        <f>H1530+I1530</f>
        <v/>
      </c>
    </row>
    <row r="1531">
      <c r="A1531" s="8" t="n">
        <v>46198</v>
      </c>
      <c r="B1531" t="inlineStr">
        <is>
          <t>2026-W26</t>
        </is>
      </c>
      <c r="C1531" t="inlineStr">
        <is>
          <t>Nuvei</t>
        </is>
      </c>
      <c r="D1531" t="inlineStr">
        <is>
          <t>EUR</t>
        </is>
      </c>
      <c r="E1531" s="9" t="n">
        <v>0</v>
      </c>
      <c r="F1531" s="9" t="n">
        <v>0</v>
      </c>
      <c r="G1531" s="9" t="n">
        <v>-353642.97</v>
      </c>
      <c r="H1531" s="9">
        <f>IF(D1531="USD",E1531*$N$1,E1531)</f>
        <v/>
      </c>
      <c r="I1531" s="9">
        <f>IF(D1531="USD",F1531*$N$1,F1531)</f>
        <v/>
      </c>
      <c r="J1531" s="9">
        <f>IF(D1531="USD",G1531*$N$1,G1531)</f>
        <v/>
      </c>
      <c r="K1531" s="9">
        <f>H1531+I1531</f>
        <v/>
      </c>
    </row>
    <row r="1532">
      <c r="A1532" s="8" t="n">
        <v>46198</v>
      </c>
      <c r="B1532" t="inlineStr">
        <is>
          <t>2026-W26</t>
        </is>
      </c>
      <c r="C1532" t="inlineStr">
        <is>
          <t>Nuvei</t>
        </is>
      </c>
      <c r="D1532" t="inlineStr">
        <is>
          <t>EUR</t>
        </is>
      </c>
      <c r="E1532" s="9" t="n">
        <v>0</v>
      </c>
      <c r="F1532" s="9" t="n">
        <v>0</v>
      </c>
      <c r="G1532" s="9" t="n">
        <v>-202935.84</v>
      </c>
      <c r="H1532" s="9">
        <f>IF(D1532="USD",E1532*$N$1,E1532)</f>
        <v/>
      </c>
      <c r="I1532" s="9">
        <f>IF(D1532="USD",F1532*$N$1,F1532)</f>
        <v/>
      </c>
      <c r="J1532" s="9">
        <f>IF(D1532="USD",G1532*$N$1,G1532)</f>
        <v/>
      </c>
      <c r="K1532" s="9">
        <f>H1532+I1532</f>
        <v/>
      </c>
    </row>
    <row r="1533">
      <c r="A1533" s="8" t="n">
        <v>46198</v>
      </c>
      <c r="B1533" t="inlineStr">
        <is>
          <t>2026-W26</t>
        </is>
      </c>
      <c r="C1533" t="inlineStr">
        <is>
          <t>Nuvei</t>
        </is>
      </c>
      <c r="D1533" t="inlineStr">
        <is>
          <t>EUR</t>
        </is>
      </c>
      <c r="E1533" s="9" t="n">
        <v>355326.54</v>
      </c>
      <c r="F1533" s="9" t="n">
        <v>-6270.19</v>
      </c>
      <c r="G1533" s="9" t="n">
        <v>0</v>
      </c>
      <c r="H1533" s="9">
        <f>IF(D1533="USD",E1533*$N$1,E1533)</f>
        <v/>
      </c>
      <c r="I1533" s="9">
        <f>IF(D1533="USD",F1533*$N$1,F1533)</f>
        <v/>
      </c>
      <c r="J1533" s="9">
        <f>IF(D1533="USD",G1533*$N$1,G1533)</f>
        <v/>
      </c>
      <c r="K1533" s="9">
        <f>H1533+I1533</f>
        <v/>
      </c>
    </row>
    <row r="1534">
      <c r="A1534" s="8" t="n">
        <v>46198</v>
      </c>
      <c r="B1534" t="inlineStr">
        <is>
          <t>2026-W26</t>
        </is>
      </c>
      <c r="C1534" t="inlineStr">
        <is>
          <t>Nuvei</t>
        </is>
      </c>
      <c r="D1534" t="inlineStr">
        <is>
          <t>EUR</t>
        </is>
      </c>
      <c r="E1534" s="9" t="n">
        <v>208887.27</v>
      </c>
      <c r="F1534" s="9" t="n">
        <v>-5885.67</v>
      </c>
      <c r="G1534" s="9" t="n">
        <v>0</v>
      </c>
      <c r="H1534" s="9">
        <f>IF(D1534="USD",E1534*$N$1,E1534)</f>
        <v/>
      </c>
      <c r="I1534" s="9">
        <f>IF(D1534="USD",F1534*$N$1,F1534)</f>
        <v/>
      </c>
      <c r="J1534" s="9">
        <f>IF(D1534="USD",G1534*$N$1,G1534)</f>
        <v/>
      </c>
      <c r="K1534" s="9">
        <f>H1534+I1534</f>
        <v/>
      </c>
    </row>
    <row r="1535">
      <c r="A1535" s="8" t="n">
        <v>46198</v>
      </c>
      <c r="B1535" t="inlineStr">
        <is>
          <t>2026-W26</t>
        </is>
      </c>
      <c r="C1535" t="inlineStr">
        <is>
          <t>Nuvei</t>
        </is>
      </c>
      <c r="D1535" t="inlineStr">
        <is>
          <t>EUR</t>
        </is>
      </c>
      <c r="E1535" s="9" t="n">
        <v>31773.16</v>
      </c>
      <c r="F1535" s="9" t="n">
        <v>-884.37</v>
      </c>
      <c r="G1535" s="9" t="n">
        <v>0</v>
      </c>
      <c r="H1535" s="9">
        <f>IF(D1535="USD",E1535*$N$1,E1535)</f>
        <v/>
      </c>
      <c r="I1535" s="9">
        <f>IF(D1535="USD",F1535*$N$1,F1535)</f>
        <v/>
      </c>
      <c r="J1535" s="9">
        <f>IF(D1535="USD",G1535*$N$1,G1535)</f>
        <v/>
      </c>
      <c r="K1535" s="9">
        <f>H1535+I1535</f>
        <v/>
      </c>
    </row>
    <row r="1536">
      <c r="A1536" s="8" t="n">
        <v>46198</v>
      </c>
      <c r="B1536" t="inlineStr">
        <is>
          <t>2026-W26</t>
        </is>
      </c>
      <c r="C1536" t="inlineStr">
        <is>
          <t>Nuvei</t>
        </is>
      </c>
      <c r="D1536" t="inlineStr">
        <is>
          <t>USD</t>
        </is>
      </c>
      <c r="E1536" s="9" t="n">
        <v>9536.5</v>
      </c>
      <c r="F1536" s="9" t="n">
        <v>-307.85</v>
      </c>
      <c r="G1536" s="9" t="n">
        <v>0</v>
      </c>
      <c r="H1536" s="9">
        <f>IF(D1536="USD",E1536*$N$1,E1536)</f>
        <v/>
      </c>
      <c r="I1536" s="9">
        <f>IF(D1536="USD",F1536*$N$1,F1536)</f>
        <v/>
      </c>
      <c r="J1536" s="9">
        <f>IF(D1536="USD",G1536*$N$1,G1536)</f>
        <v/>
      </c>
      <c r="K1536" s="9">
        <f>H1536+I1536</f>
        <v/>
      </c>
    </row>
    <row r="1537">
      <c r="A1537" s="8" t="n">
        <v>46198</v>
      </c>
      <c r="B1537" t="inlineStr">
        <is>
          <t>2026-W26</t>
        </is>
      </c>
      <c r="C1537" t="inlineStr">
        <is>
          <t>Shift4</t>
        </is>
      </c>
      <c r="D1537" t="inlineStr">
        <is>
          <t>EUR</t>
        </is>
      </c>
      <c r="E1537" s="9" t="n">
        <v>0</v>
      </c>
      <c r="F1537" s="9" t="n">
        <v>0</v>
      </c>
      <c r="G1537" s="9" t="n">
        <v>-1264059.36</v>
      </c>
      <c r="H1537" s="9">
        <f>IF(D1537="USD",E1537*$N$1,E1537)</f>
        <v/>
      </c>
      <c r="I1537" s="9">
        <f>IF(D1537="USD",F1537*$N$1,F1537)</f>
        <v/>
      </c>
      <c r="J1537" s="9">
        <f>IF(D1537="USD",G1537*$N$1,G1537)</f>
        <v/>
      </c>
      <c r="K1537" s="9">
        <f>H1537+I1537</f>
        <v/>
      </c>
    </row>
    <row r="1538">
      <c r="A1538" s="8" t="n">
        <v>46198</v>
      </c>
      <c r="B1538" t="inlineStr">
        <is>
          <t>2026-W26</t>
        </is>
      </c>
      <c r="C1538" t="inlineStr">
        <is>
          <t>Shift4</t>
        </is>
      </c>
      <c r="D1538" t="inlineStr">
        <is>
          <t>EUR</t>
        </is>
      </c>
      <c r="E1538" s="9" t="n">
        <v>482335.67</v>
      </c>
      <c r="F1538" s="9" t="n">
        <v>-5810.7</v>
      </c>
      <c r="G1538" s="9" t="n">
        <v>0</v>
      </c>
      <c r="H1538" s="9">
        <f>IF(D1538="USD",E1538*$N$1,E1538)</f>
        <v/>
      </c>
      <c r="I1538" s="9">
        <f>IF(D1538="USD",F1538*$N$1,F1538)</f>
        <v/>
      </c>
      <c r="J1538" s="9">
        <f>IF(D1538="USD",G1538*$N$1,G1538)</f>
        <v/>
      </c>
      <c r="K1538" s="9">
        <f>H1538+I1538</f>
        <v/>
      </c>
    </row>
    <row r="1539">
      <c r="A1539" s="8" t="n">
        <v>46199</v>
      </c>
      <c r="B1539" t="inlineStr">
        <is>
          <t>2026-W26</t>
        </is>
      </c>
      <c r="C1539" t="inlineStr">
        <is>
          <t>Adyen</t>
        </is>
      </c>
      <c r="D1539" t="inlineStr">
        <is>
          <t>EUR</t>
        </is>
      </c>
      <c r="E1539" s="9" t="n">
        <v>0</v>
      </c>
      <c r="F1539" s="9" t="n">
        <v>0</v>
      </c>
      <c r="G1539" s="9" t="n">
        <v>-841899.1900000001</v>
      </c>
      <c r="H1539" s="9">
        <f>IF(D1539="USD",E1539*$N$1,E1539)</f>
        <v/>
      </c>
      <c r="I1539" s="9">
        <f>IF(D1539="USD",F1539*$N$1,F1539)</f>
        <v/>
      </c>
      <c r="J1539" s="9">
        <f>IF(D1539="USD",G1539*$N$1,G1539)</f>
        <v/>
      </c>
      <c r="K1539" s="9">
        <f>H1539+I1539</f>
        <v/>
      </c>
    </row>
    <row r="1540">
      <c r="A1540" s="8" t="n">
        <v>46199</v>
      </c>
      <c r="B1540" t="inlineStr">
        <is>
          <t>2026-W26</t>
        </is>
      </c>
      <c r="C1540" t="inlineStr">
        <is>
          <t>Adyen</t>
        </is>
      </c>
      <c r="D1540" t="inlineStr">
        <is>
          <t>EUR</t>
        </is>
      </c>
      <c r="E1540" s="9" t="n">
        <v>662864.59</v>
      </c>
      <c r="F1540" s="9" t="n">
        <v>-15149.58999999985</v>
      </c>
      <c r="G1540" s="9" t="n">
        <v>0</v>
      </c>
      <c r="H1540" s="9">
        <f>IF(D1540="USD",E1540*$N$1,E1540)</f>
        <v/>
      </c>
      <c r="I1540" s="9">
        <f>IF(D1540="USD",F1540*$N$1,F1540)</f>
        <v/>
      </c>
      <c r="J1540" s="9">
        <f>IF(D1540="USD",G1540*$N$1,G1540)</f>
        <v/>
      </c>
      <c r="K1540" s="9">
        <f>H1540+I1540</f>
        <v/>
      </c>
    </row>
    <row r="1541">
      <c r="A1541" s="8" t="n">
        <v>46199</v>
      </c>
      <c r="B1541" t="inlineStr">
        <is>
          <t>2026-W26</t>
        </is>
      </c>
      <c r="C1541" t="inlineStr">
        <is>
          <t>Adyen</t>
        </is>
      </c>
      <c r="D1541" t="inlineStr">
        <is>
          <t>EUR</t>
        </is>
      </c>
      <c r="E1541" s="9" t="n">
        <v>111906.6</v>
      </c>
      <c r="F1541" s="9" t="n">
        <v>0</v>
      </c>
      <c r="G1541" s="9" t="n">
        <v>0</v>
      </c>
      <c r="H1541" s="9">
        <f>IF(D1541="USD",E1541*$N$1,E1541)</f>
        <v/>
      </c>
      <c r="I1541" s="9">
        <f>IF(D1541="USD",F1541*$N$1,F1541)</f>
        <v/>
      </c>
      <c r="J1541" s="9">
        <f>IF(D1541="USD",G1541*$N$1,G1541)</f>
        <v/>
      </c>
      <c r="K1541" s="9">
        <f>H1541+I1541</f>
        <v/>
      </c>
    </row>
    <row r="1542">
      <c r="A1542" s="8" t="n">
        <v>46199</v>
      </c>
      <c r="B1542" t="inlineStr">
        <is>
          <t>2026-W26</t>
        </is>
      </c>
      <c r="C1542" t="inlineStr">
        <is>
          <t>Nuvei</t>
        </is>
      </c>
      <c r="D1542" t="inlineStr">
        <is>
          <t>EUR</t>
        </is>
      </c>
      <c r="E1542" s="9" t="n">
        <v>0</v>
      </c>
      <c r="F1542" s="9" t="n">
        <v>0</v>
      </c>
      <c r="G1542" s="9" t="n">
        <v>-885550.67</v>
      </c>
      <c r="H1542" s="9">
        <f>IF(D1542="USD",E1542*$N$1,E1542)</f>
        <v/>
      </c>
      <c r="I1542" s="9">
        <f>IF(D1542="USD",F1542*$N$1,F1542)</f>
        <v/>
      </c>
      <c r="J1542" s="9">
        <f>IF(D1542="USD",G1542*$N$1,G1542)</f>
        <v/>
      </c>
      <c r="K1542" s="9">
        <f>H1542+I1542</f>
        <v/>
      </c>
    </row>
    <row r="1543">
      <c r="A1543" s="8" t="n">
        <v>46199</v>
      </c>
      <c r="B1543" t="inlineStr">
        <is>
          <t>2026-W26</t>
        </is>
      </c>
      <c r="C1543" t="inlineStr">
        <is>
          <t>Nuvei</t>
        </is>
      </c>
      <c r="D1543" t="inlineStr">
        <is>
          <t>EUR</t>
        </is>
      </c>
      <c r="E1543" s="9" t="n">
        <v>0</v>
      </c>
      <c r="F1543" s="9" t="n">
        <v>0</v>
      </c>
      <c r="G1543" s="9" t="n">
        <v>-535096.11</v>
      </c>
      <c r="H1543" s="9">
        <f>IF(D1543="USD",E1543*$N$1,E1543)</f>
        <v/>
      </c>
      <c r="I1543" s="9">
        <f>IF(D1543="USD",F1543*$N$1,F1543)</f>
        <v/>
      </c>
      <c r="J1543" s="9">
        <f>IF(D1543="USD",G1543*$N$1,G1543)</f>
        <v/>
      </c>
      <c r="K1543" s="9">
        <f>H1543+I1543</f>
        <v/>
      </c>
    </row>
    <row r="1544">
      <c r="A1544" s="8" t="n">
        <v>46199</v>
      </c>
      <c r="B1544" t="inlineStr">
        <is>
          <t>2026-W26</t>
        </is>
      </c>
      <c r="C1544" t="inlineStr">
        <is>
          <t>Nuvei</t>
        </is>
      </c>
      <c r="D1544" t="inlineStr">
        <is>
          <t>EUR</t>
        </is>
      </c>
      <c r="E1544" s="9" t="n">
        <v>291090.37</v>
      </c>
      <c r="F1544" s="9" t="n">
        <v>-5382.65</v>
      </c>
      <c r="G1544" s="9" t="n">
        <v>0</v>
      </c>
      <c r="H1544" s="9">
        <f>IF(D1544="USD",E1544*$N$1,E1544)</f>
        <v/>
      </c>
      <c r="I1544" s="9">
        <f>IF(D1544="USD",F1544*$N$1,F1544)</f>
        <v/>
      </c>
      <c r="J1544" s="9">
        <f>IF(D1544="USD",G1544*$N$1,G1544)</f>
        <v/>
      </c>
      <c r="K1544" s="9">
        <f>H1544+I1544</f>
        <v/>
      </c>
    </row>
    <row r="1545">
      <c r="A1545" s="8" t="n">
        <v>46199</v>
      </c>
      <c r="B1545" t="inlineStr">
        <is>
          <t>2026-W26</t>
        </is>
      </c>
      <c r="C1545" t="inlineStr">
        <is>
          <t>Nuvei</t>
        </is>
      </c>
      <c r="D1545" t="inlineStr">
        <is>
          <t>EUR</t>
        </is>
      </c>
      <c r="E1545" s="9" t="n">
        <v>216439.65</v>
      </c>
      <c r="F1545" s="9" t="n">
        <v>-6073.37</v>
      </c>
      <c r="G1545" s="9" t="n">
        <v>0</v>
      </c>
      <c r="H1545" s="9">
        <f>IF(D1545="USD",E1545*$N$1,E1545)</f>
        <v/>
      </c>
      <c r="I1545" s="9">
        <f>IF(D1545="USD",F1545*$N$1,F1545)</f>
        <v/>
      </c>
      <c r="J1545" s="9">
        <f>IF(D1545="USD",G1545*$N$1,G1545)</f>
        <v/>
      </c>
      <c r="K1545" s="9">
        <f>H1545+I1545</f>
        <v/>
      </c>
    </row>
    <row r="1546">
      <c r="A1546" s="8" t="n">
        <v>46199</v>
      </c>
      <c r="B1546" t="inlineStr">
        <is>
          <t>2026-W26</t>
        </is>
      </c>
      <c r="C1546" t="inlineStr">
        <is>
          <t>Nuvei</t>
        </is>
      </c>
      <c r="D1546" t="inlineStr">
        <is>
          <t>EUR</t>
        </is>
      </c>
      <c r="E1546" s="9" t="n">
        <v>35669.64</v>
      </c>
      <c r="F1546" s="9" t="n">
        <v>-965.91</v>
      </c>
      <c r="G1546" s="9" t="n">
        <v>0</v>
      </c>
      <c r="H1546" s="9">
        <f>IF(D1546="USD",E1546*$N$1,E1546)</f>
        <v/>
      </c>
      <c r="I1546" s="9">
        <f>IF(D1546="USD",F1546*$N$1,F1546)</f>
        <v/>
      </c>
      <c r="J1546" s="9">
        <f>IF(D1546="USD",G1546*$N$1,G1546)</f>
        <v/>
      </c>
      <c r="K1546" s="9">
        <f>H1546+I1546</f>
        <v/>
      </c>
    </row>
    <row r="1547">
      <c r="A1547" s="8" t="n">
        <v>46199</v>
      </c>
      <c r="B1547" t="inlineStr">
        <is>
          <t>2026-W26</t>
        </is>
      </c>
      <c r="C1547" t="inlineStr">
        <is>
          <t>Nuvei</t>
        </is>
      </c>
      <c r="D1547" t="inlineStr">
        <is>
          <t>USD</t>
        </is>
      </c>
      <c r="E1547" s="9" t="n">
        <v>7057.6</v>
      </c>
      <c r="F1547" s="9" t="n">
        <v>-225.41</v>
      </c>
      <c r="G1547" s="9" t="n">
        <v>0</v>
      </c>
      <c r="H1547" s="9">
        <f>IF(D1547="USD",E1547*$N$1,E1547)</f>
        <v/>
      </c>
      <c r="I1547" s="9">
        <f>IF(D1547="USD",F1547*$N$1,F1547)</f>
        <v/>
      </c>
      <c r="J1547" s="9">
        <f>IF(D1547="USD",G1547*$N$1,G1547)</f>
        <v/>
      </c>
      <c r="K1547" s="9">
        <f>H1547+I1547</f>
        <v/>
      </c>
    </row>
    <row r="1548">
      <c r="A1548" s="8" t="n">
        <v>46199</v>
      </c>
      <c r="B1548" t="inlineStr">
        <is>
          <t>2026-W26</t>
        </is>
      </c>
      <c r="C1548" t="inlineStr">
        <is>
          <t>Paysafe</t>
        </is>
      </c>
      <c r="D1548" t="inlineStr">
        <is>
          <t>EUR</t>
        </is>
      </c>
      <c r="E1548" s="9" t="n">
        <v>1092.16</v>
      </c>
      <c r="F1548" s="9" t="n">
        <v>0</v>
      </c>
      <c r="G1548" s="9" t="n">
        <v>0</v>
      </c>
      <c r="H1548" s="9">
        <f>IF(D1548="USD",E1548*$N$1,E1548)</f>
        <v/>
      </c>
      <c r="I1548" s="9">
        <f>IF(D1548="USD",F1548*$N$1,F1548)</f>
        <v/>
      </c>
      <c r="J1548" s="9">
        <f>IF(D1548="USD",G1548*$N$1,G1548)</f>
        <v/>
      </c>
      <c r="K1548" s="9">
        <f>H1548+I1548</f>
        <v/>
      </c>
    </row>
    <row r="1549">
      <c r="A1549" s="8" t="n">
        <v>46199</v>
      </c>
      <c r="B1549" t="inlineStr">
        <is>
          <t>2026-W26</t>
        </is>
      </c>
      <c r="C1549" t="inlineStr">
        <is>
          <t>Paysafe</t>
        </is>
      </c>
      <c r="D1549" t="inlineStr">
        <is>
          <t>EUR</t>
        </is>
      </c>
      <c r="E1549" s="9" t="n">
        <v>0</v>
      </c>
      <c r="F1549" s="9" t="n">
        <v>0</v>
      </c>
      <c r="G1549" s="9" t="n">
        <v>0</v>
      </c>
      <c r="H1549" s="9">
        <f>IF(D1549="USD",E1549*$N$1,E1549)</f>
        <v/>
      </c>
      <c r="I1549" s="9">
        <f>IF(D1549="USD",F1549*$N$1,F1549)</f>
        <v/>
      </c>
      <c r="J1549" s="9">
        <f>IF(D1549="USD",G1549*$N$1,G1549)</f>
        <v/>
      </c>
      <c r="K1549" s="9">
        <f>H1549+I1549</f>
        <v/>
      </c>
    </row>
    <row r="1550">
      <c r="A1550" s="8" t="n">
        <v>46199</v>
      </c>
      <c r="B1550" t="inlineStr">
        <is>
          <t>2026-W26</t>
        </is>
      </c>
      <c r="C1550" t="inlineStr">
        <is>
          <t>Shift4</t>
        </is>
      </c>
      <c r="D1550" t="inlineStr">
        <is>
          <t>EUR</t>
        </is>
      </c>
      <c r="E1550" s="9" t="n">
        <v>0</v>
      </c>
      <c r="F1550" s="9" t="n">
        <v>0</v>
      </c>
      <c r="G1550" s="9" t="n">
        <v>-478138.08</v>
      </c>
      <c r="H1550" s="9">
        <f>IF(D1550="USD",E1550*$N$1,E1550)</f>
        <v/>
      </c>
      <c r="I1550" s="9">
        <f>IF(D1550="USD",F1550*$N$1,F1550)</f>
        <v/>
      </c>
      <c r="J1550" s="9">
        <f>IF(D1550="USD",G1550*$N$1,G1550)</f>
        <v/>
      </c>
      <c r="K1550" s="9">
        <f>H1550+I1550</f>
        <v/>
      </c>
    </row>
    <row r="1551">
      <c r="A1551" s="8" t="n">
        <v>46199</v>
      </c>
      <c r="B1551" t="inlineStr">
        <is>
          <t>2026-W26</t>
        </is>
      </c>
      <c r="C1551" t="inlineStr">
        <is>
          <t>Shift4</t>
        </is>
      </c>
      <c r="D1551" t="inlineStr">
        <is>
          <t>EUR</t>
        </is>
      </c>
      <c r="E1551" s="9" t="n">
        <v>410346.96</v>
      </c>
      <c r="F1551" s="9" t="n">
        <v>-5260.969999999999</v>
      </c>
      <c r="G1551" s="9" t="n">
        <v>0</v>
      </c>
      <c r="H1551" s="9">
        <f>IF(D1551="USD",E1551*$N$1,E1551)</f>
        <v/>
      </c>
      <c r="I1551" s="9">
        <f>IF(D1551="USD",F1551*$N$1,F1551)</f>
        <v/>
      </c>
      <c r="J1551" s="9">
        <f>IF(D1551="USD",G1551*$N$1,G1551)</f>
        <v/>
      </c>
      <c r="K1551" s="9">
        <f>H1551+I1551</f>
        <v/>
      </c>
    </row>
    <row r="1552">
      <c r="A1552" s="8" t="n">
        <v>46200</v>
      </c>
      <c r="B1552" t="inlineStr">
        <is>
          <t>2026-W26</t>
        </is>
      </c>
      <c r="C1552" t="inlineStr">
        <is>
          <t>Adyen</t>
        </is>
      </c>
      <c r="D1552" t="inlineStr">
        <is>
          <t>EUR</t>
        </is>
      </c>
      <c r="E1552" s="9" t="n">
        <v>553567.02</v>
      </c>
      <c r="F1552" s="9" t="n">
        <v>0</v>
      </c>
      <c r="G1552" s="9" t="n">
        <v>0</v>
      </c>
      <c r="H1552" s="9">
        <f>IF(D1552="USD",E1552*$N$1,E1552)</f>
        <v/>
      </c>
      <c r="I1552" s="9">
        <f>IF(D1552="USD",F1552*$N$1,F1552)</f>
        <v/>
      </c>
      <c r="J1552" s="9">
        <f>IF(D1552="USD",G1552*$N$1,G1552)</f>
        <v/>
      </c>
      <c r="K1552" s="9">
        <f>H1552+I1552</f>
        <v/>
      </c>
    </row>
    <row r="1553">
      <c r="A1553" s="8" t="n">
        <v>46200</v>
      </c>
      <c r="B1553" t="inlineStr">
        <is>
          <t>2026-W26</t>
        </is>
      </c>
      <c r="C1553" t="inlineStr">
        <is>
          <t>Adyen</t>
        </is>
      </c>
      <c r="D1553" t="inlineStr">
        <is>
          <t>EUR</t>
        </is>
      </c>
      <c r="E1553" s="9" t="n">
        <v>95675.71000000001</v>
      </c>
      <c r="F1553" s="9" t="n">
        <v>0</v>
      </c>
      <c r="G1553" s="9" t="n">
        <v>0</v>
      </c>
      <c r="H1553" s="9">
        <f>IF(D1553="USD",E1553*$N$1,E1553)</f>
        <v/>
      </c>
      <c r="I1553" s="9">
        <f>IF(D1553="USD",F1553*$N$1,F1553)</f>
        <v/>
      </c>
      <c r="J1553" s="9">
        <f>IF(D1553="USD",G1553*$N$1,G1553)</f>
        <v/>
      </c>
      <c r="K1553" s="9">
        <f>H1553+I1553</f>
        <v/>
      </c>
    </row>
    <row r="1554">
      <c r="A1554" s="8" t="n">
        <v>46200</v>
      </c>
      <c r="B1554" t="inlineStr">
        <is>
          <t>2026-W26</t>
        </is>
      </c>
      <c r="C1554" t="inlineStr">
        <is>
          <t>Nuvei</t>
        </is>
      </c>
      <c r="D1554" t="inlineStr">
        <is>
          <t>EUR</t>
        </is>
      </c>
      <c r="E1554" s="9" t="n">
        <v>230500.51</v>
      </c>
      <c r="F1554" s="9" t="n">
        <v>-4083.44</v>
      </c>
      <c r="G1554" s="9" t="n">
        <v>0</v>
      </c>
      <c r="H1554" s="9">
        <f>IF(D1554="USD",E1554*$N$1,E1554)</f>
        <v/>
      </c>
      <c r="I1554" s="9">
        <f>IF(D1554="USD",F1554*$N$1,F1554)</f>
        <v/>
      </c>
      <c r="J1554" s="9">
        <f>IF(D1554="USD",G1554*$N$1,G1554)</f>
        <v/>
      </c>
      <c r="K1554" s="9">
        <f>H1554+I1554</f>
        <v/>
      </c>
    </row>
    <row r="1555">
      <c r="A1555" s="8" t="n">
        <v>46200</v>
      </c>
      <c r="B1555" t="inlineStr">
        <is>
          <t>2026-W26</t>
        </is>
      </c>
      <c r="C1555" t="inlineStr">
        <is>
          <t>Nuvei</t>
        </is>
      </c>
      <c r="D1555" t="inlineStr">
        <is>
          <t>EUR</t>
        </is>
      </c>
      <c r="E1555" s="9" t="n">
        <v>199488.04</v>
      </c>
      <c r="F1555" s="9" t="n">
        <v>-5690.52</v>
      </c>
      <c r="G1555" s="9" t="n">
        <v>0</v>
      </c>
      <c r="H1555" s="9">
        <f>IF(D1555="USD",E1555*$N$1,E1555)</f>
        <v/>
      </c>
      <c r="I1555" s="9">
        <f>IF(D1555="USD",F1555*$N$1,F1555)</f>
        <v/>
      </c>
      <c r="J1555" s="9">
        <f>IF(D1555="USD",G1555*$N$1,G1555)</f>
        <v/>
      </c>
      <c r="K1555" s="9">
        <f>H1555+I1555</f>
        <v/>
      </c>
    </row>
    <row r="1556">
      <c r="A1556" s="8" t="n">
        <v>46200</v>
      </c>
      <c r="B1556" t="inlineStr">
        <is>
          <t>2026-W26</t>
        </is>
      </c>
      <c r="C1556" t="inlineStr">
        <is>
          <t>Nuvei</t>
        </is>
      </c>
      <c r="D1556" t="inlineStr">
        <is>
          <t>EUR</t>
        </is>
      </c>
      <c r="E1556" s="9" t="n">
        <v>33522.65</v>
      </c>
      <c r="F1556" s="9" t="n">
        <v>-914.62</v>
      </c>
      <c r="G1556" s="9" t="n">
        <v>0</v>
      </c>
      <c r="H1556" s="9">
        <f>IF(D1556="USD",E1556*$N$1,E1556)</f>
        <v/>
      </c>
      <c r="I1556" s="9">
        <f>IF(D1556="USD",F1556*$N$1,F1556)</f>
        <v/>
      </c>
      <c r="J1556" s="9">
        <f>IF(D1556="USD",G1556*$N$1,G1556)</f>
        <v/>
      </c>
      <c r="K1556" s="9">
        <f>H1556+I1556</f>
        <v/>
      </c>
    </row>
    <row r="1557">
      <c r="A1557" s="8" t="n">
        <v>46200</v>
      </c>
      <c r="B1557" t="inlineStr">
        <is>
          <t>2026-W26</t>
        </is>
      </c>
      <c r="C1557" t="inlineStr">
        <is>
          <t>Nuvei</t>
        </is>
      </c>
      <c r="D1557" t="inlineStr">
        <is>
          <t>USD</t>
        </is>
      </c>
      <c r="E1557" s="9" t="n">
        <v>7162.1</v>
      </c>
      <c r="F1557" s="9" t="n">
        <v>-207.75</v>
      </c>
      <c r="G1557" s="9" t="n">
        <v>0</v>
      </c>
      <c r="H1557" s="9">
        <f>IF(D1557="USD",E1557*$N$1,E1557)</f>
        <v/>
      </c>
      <c r="I1557" s="9">
        <f>IF(D1557="USD",F1557*$N$1,F1557)</f>
        <v/>
      </c>
      <c r="J1557" s="9">
        <f>IF(D1557="USD",G1557*$N$1,G1557)</f>
        <v/>
      </c>
      <c r="K1557" s="9">
        <f>H1557+I1557</f>
        <v/>
      </c>
    </row>
    <row r="1558">
      <c r="A1558" s="8" t="n">
        <v>46200</v>
      </c>
      <c r="B1558" t="inlineStr">
        <is>
          <t>2026-W26</t>
        </is>
      </c>
      <c r="C1558" t="inlineStr">
        <is>
          <t>Shift4</t>
        </is>
      </c>
      <c r="D1558" t="inlineStr">
        <is>
          <t>EUR</t>
        </is>
      </c>
      <c r="E1558" s="9" t="n">
        <v>339381.22</v>
      </c>
      <c r="F1558" s="9" t="n">
        <v>-3959.24</v>
      </c>
      <c r="G1558" s="9" t="n">
        <v>0</v>
      </c>
      <c r="H1558" s="9">
        <f>IF(D1558="USD",E1558*$N$1,E1558)</f>
        <v/>
      </c>
      <c r="I1558" s="9">
        <f>IF(D1558="USD",F1558*$N$1,F1558)</f>
        <v/>
      </c>
      <c r="J1558" s="9">
        <f>IF(D1558="USD",G1558*$N$1,G1558)</f>
        <v/>
      </c>
      <c r="K1558" s="9">
        <f>H1558+I1558</f>
        <v/>
      </c>
    </row>
    <row r="1559">
      <c r="A1559" s="8" t="n">
        <v>46201</v>
      </c>
      <c r="B1559" t="inlineStr">
        <is>
          <t>2026-W26</t>
        </is>
      </c>
      <c r="C1559" t="inlineStr">
        <is>
          <t>Adyen</t>
        </is>
      </c>
      <c r="D1559" t="inlineStr">
        <is>
          <t>EUR</t>
        </is>
      </c>
      <c r="E1559" s="9" t="n">
        <v>578593.95</v>
      </c>
      <c r="F1559" s="9" t="n">
        <v>0</v>
      </c>
      <c r="G1559" s="9" t="n">
        <v>0</v>
      </c>
      <c r="H1559" s="9">
        <f>IF(D1559="USD",E1559*$N$1,E1559)</f>
        <v/>
      </c>
      <c r="I1559" s="9">
        <f>IF(D1559="USD",F1559*$N$1,F1559)</f>
        <v/>
      </c>
      <c r="J1559" s="9">
        <f>IF(D1559="USD",G1559*$N$1,G1559)</f>
        <v/>
      </c>
      <c r="K1559" s="9">
        <f>H1559+I1559</f>
        <v/>
      </c>
    </row>
    <row r="1560">
      <c r="A1560" s="8" t="n">
        <v>46201</v>
      </c>
      <c r="B1560" t="inlineStr">
        <is>
          <t>2026-W26</t>
        </is>
      </c>
      <c r="C1560" t="inlineStr">
        <is>
          <t>Adyen</t>
        </is>
      </c>
      <c r="D1560" t="inlineStr">
        <is>
          <t>EUR</t>
        </is>
      </c>
      <c r="E1560" s="9" t="n">
        <v>100149.37</v>
      </c>
      <c r="F1560" s="9" t="n">
        <v>0</v>
      </c>
      <c r="G1560" s="9" t="n">
        <v>0</v>
      </c>
      <c r="H1560" s="9">
        <f>IF(D1560="USD",E1560*$N$1,E1560)</f>
        <v/>
      </c>
      <c r="I1560" s="9">
        <f>IF(D1560="USD",F1560*$N$1,F1560)</f>
        <v/>
      </c>
      <c r="J1560" s="9">
        <f>IF(D1560="USD",G1560*$N$1,G1560)</f>
        <v/>
      </c>
      <c r="K1560" s="9">
        <f>H1560+I1560</f>
        <v/>
      </c>
    </row>
    <row r="1561">
      <c r="A1561" s="8" t="n">
        <v>46201</v>
      </c>
      <c r="B1561" t="inlineStr">
        <is>
          <t>2026-W26</t>
        </is>
      </c>
      <c r="C1561" t="inlineStr">
        <is>
          <t>Nuvei</t>
        </is>
      </c>
      <c r="D1561" t="inlineStr">
        <is>
          <t>EUR</t>
        </is>
      </c>
      <c r="E1561" s="9" t="n">
        <v>248261.4</v>
      </c>
      <c r="F1561" s="9" t="n">
        <v>-4181.77</v>
      </c>
      <c r="G1561" s="9" t="n">
        <v>0</v>
      </c>
      <c r="H1561" s="9">
        <f>IF(D1561="USD",E1561*$N$1,E1561)</f>
        <v/>
      </c>
      <c r="I1561" s="9">
        <f>IF(D1561="USD",F1561*$N$1,F1561)</f>
        <v/>
      </c>
      <c r="J1561" s="9">
        <f>IF(D1561="USD",G1561*$N$1,G1561)</f>
        <v/>
      </c>
      <c r="K1561" s="9">
        <f>H1561+I1561</f>
        <v/>
      </c>
    </row>
    <row r="1562">
      <c r="A1562" s="8" t="n">
        <v>46201</v>
      </c>
      <c r="B1562" t="inlineStr">
        <is>
          <t>2026-W26</t>
        </is>
      </c>
      <c r="C1562" t="inlineStr">
        <is>
          <t>Nuvei</t>
        </is>
      </c>
      <c r="D1562" t="inlineStr">
        <is>
          <t>EUR</t>
        </is>
      </c>
      <c r="E1562" s="9" t="n">
        <v>201270.07</v>
      </c>
      <c r="F1562" s="9" t="n">
        <v>-5735.4</v>
      </c>
      <c r="G1562" s="9" t="n">
        <v>0</v>
      </c>
      <c r="H1562" s="9">
        <f>IF(D1562="USD",E1562*$N$1,E1562)</f>
        <v/>
      </c>
      <c r="I1562" s="9">
        <f>IF(D1562="USD",F1562*$N$1,F1562)</f>
        <v/>
      </c>
      <c r="J1562" s="9">
        <f>IF(D1562="USD",G1562*$N$1,G1562)</f>
        <v/>
      </c>
      <c r="K1562" s="9">
        <f>H1562+I1562</f>
        <v/>
      </c>
    </row>
    <row r="1563">
      <c r="A1563" s="8" t="n">
        <v>46201</v>
      </c>
      <c r="B1563" t="inlineStr">
        <is>
          <t>2026-W26</t>
        </is>
      </c>
      <c r="C1563" t="inlineStr">
        <is>
          <t>Nuvei</t>
        </is>
      </c>
      <c r="D1563" t="inlineStr">
        <is>
          <t>EUR</t>
        </is>
      </c>
      <c r="E1563" s="9" t="n">
        <v>13957.59</v>
      </c>
      <c r="F1563" s="9" t="n">
        <v>-384.47</v>
      </c>
      <c r="G1563" s="9" t="n">
        <v>0</v>
      </c>
      <c r="H1563" s="9">
        <f>IF(D1563="USD",E1563*$N$1,E1563)</f>
        <v/>
      </c>
      <c r="I1563" s="9">
        <f>IF(D1563="USD",F1563*$N$1,F1563)</f>
        <v/>
      </c>
      <c r="J1563" s="9">
        <f>IF(D1563="USD",G1563*$N$1,G1563)</f>
        <v/>
      </c>
      <c r="K1563" s="9">
        <f>H1563+I1563</f>
        <v/>
      </c>
    </row>
    <row r="1564">
      <c r="A1564" s="8" t="n">
        <v>46201</v>
      </c>
      <c r="B1564" t="inlineStr">
        <is>
          <t>2026-W26</t>
        </is>
      </c>
      <c r="C1564" t="inlineStr">
        <is>
          <t>Nuvei</t>
        </is>
      </c>
      <c r="D1564" t="inlineStr">
        <is>
          <t>USD</t>
        </is>
      </c>
      <c r="E1564" s="9" t="n">
        <v>4965.1</v>
      </c>
      <c r="F1564" s="9" t="n">
        <v>-137.02</v>
      </c>
      <c r="G1564" s="9" t="n">
        <v>0</v>
      </c>
      <c r="H1564" s="9">
        <f>IF(D1564="USD",E1564*$N$1,E1564)</f>
        <v/>
      </c>
      <c r="I1564" s="9">
        <f>IF(D1564="USD",F1564*$N$1,F1564)</f>
        <v/>
      </c>
      <c r="J1564" s="9">
        <f>IF(D1564="USD",G1564*$N$1,G1564)</f>
        <v/>
      </c>
      <c r="K1564" s="9">
        <f>H1564+I1564</f>
        <v/>
      </c>
    </row>
    <row r="1565">
      <c r="A1565" s="8" t="n">
        <v>46201</v>
      </c>
      <c r="B1565" t="inlineStr">
        <is>
          <t>2026-W26</t>
        </is>
      </c>
      <c r="C1565" t="inlineStr">
        <is>
          <t>Shift4</t>
        </is>
      </c>
      <c r="D1565" t="inlineStr">
        <is>
          <t>EUR</t>
        </is>
      </c>
      <c r="E1565" s="9" t="n">
        <v>427058.91</v>
      </c>
      <c r="F1565" s="9" t="n">
        <v>-4331.86</v>
      </c>
      <c r="G1565" s="9" t="n">
        <v>0</v>
      </c>
      <c r="H1565" s="9">
        <f>IF(D1565="USD",E1565*$N$1,E1565)</f>
        <v/>
      </c>
      <c r="I1565" s="9">
        <f>IF(D1565="USD",F1565*$N$1,F1565)</f>
        <v/>
      </c>
      <c r="J1565" s="9">
        <f>IF(D1565="USD",G1565*$N$1,G1565)</f>
        <v/>
      </c>
      <c r="K1565" s="9">
        <f>H1565+I1565</f>
        <v/>
      </c>
    </row>
    <row r="1566">
      <c r="A1566" s="8" t="n">
        <v>46202</v>
      </c>
      <c r="B1566" t="inlineStr">
        <is>
          <t>2026-W27</t>
        </is>
      </c>
      <c r="C1566" t="inlineStr">
        <is>
          <t>Adyen</t>
        </is>
      </c>
      <c r="D1566" t="inlineStr">
        <is>
          <t>EUR</t>
        </is>
      </c>
      <c r="E1566" s="9" t="n">
        <v>0</v>
      </c>
      <c r="F1566" s="9" t="n">
        <v>0</v>
      </c>
      <c r="G1566" s="9" t="n">
        <v>-786920.9399999999</v>
      </c>
      <c r="H1566" s="9">
        <f>IF(D1566="USD",E1566*$N$1,E1566)</f>
        <v/>
      </c>
      <c r="I1566" s="9">
        <f>IF(D1566="USD",F1566*$N$1,F1566)</f>
        <v/>
      </c>
      <c r="J1566" s="9">
        <f>IF(D1566="USD",G1566*$N$1,G1566)</f>
        <v/>
      </c>
      <c r="K1566" s="9">
        <f>H1566+I1566</f>
        <v/>
      </c>
    </row>
    <row r="1567">
      <c r="A1567" s="8" t="n">
        <v>46202</v>
      </c>
      <c r="B1567" t="inlineStr">
        <is>
          <t>2026-W27</t>
        </is>
      </c>
      <c r="C1567" t="inlineStr">
        <is>
          <t>Adyen</t>
        </is>
      </c>
      <c r="D1567" t="inlineStr">
        <is>
          <t>EUR</t>
        </is>
      </c>
      <c r="E1567" s="9" t="n">
        <v>807881.55</v>
      </c>
      <c r="F1567" s="9" t="n">
        <v>-3915.390000000014</v>
      </c>
      <c r="G1567" s="9" t="n">
        <v>0</v>
      </c>
      <c r="H1567" s="9">
        <f>IF(D1567="USD",E1567*$N$1,E1567)</f>
        <v/>
      </c>
      <c r="I1567" s="9">
        <f>IF(D1567="USD",F1567*$N$1,F1567)</f>
        <v/>
      </c>
      <c r="J1567" s="9">
        <f>IF(D1567="USD",G1567*$N$1,G1567)</f>
        <v/>
      </c>
      <c r="K1567" s="9">
        <f>H1567+I1567</f>
        <v/>
      </c>
    </row>
    <row r="1568">
      <c r="A1568" s="8" t="n">
        <v>46202</v>
      </c>
      <c r="B1568" t="inlineStr">
        <is>
          <t>2026-W27</t>
        </is>
      </c>
      <c r="C1568" t="inlineStr">
        <is>
          <t>Adyen</t>
        </is>
      </c>
      <c r="D1568" t="inlineStr">
        <is>
          <t>EUR</t>
        </is>
      </c>
      <c r="E1568" s="9" t="n">
        <v>27841.44</v>
      </c>
      <c r="F1568" s="9" t="n">
        <v>0</v>
      </c>
      <c r="G1568" s="9" t="n">
        <v>0</v>
      </c>
      <c r="H1568" s="9">
        <f>IF(D1568="USD",E1568*$N$1,E1568)</f>
        <v/>
      </c>
      <c r="I1568" s="9">
        <f>IF(D1568="USD",F1568*$N$1,F1568)</f>
        <v/>
      </c>
      <c r="J1568" s="9">
        <f>IF(D1568="USD",G1568*$N$1,G1568)</f>
        <v/>
      </c>
      <c r="K1568" s="9">
        <f>H1568+I1568</f>
        <v/>
      </c>
    </row>
    <row r="1569">
      <c r="A1569" s="8" t="n">
        <v>46202</v>
      </c>
      <c r="B1569" t="inlineStr">
        <is>
          <t>2026-W27</t>
        </is>
      </c>
      <c r="C1569" t="inlineStr">
        <is>
          <t>Nuvei</t>
        </is>
      </c>
      <c r="D1569" t="inlineStr">
        <is>
          <t>EUR</t>
        </is>
      </c>
      <c r="E1569" s="9" t="n">
        <v>0</v>
      </c>
      <c r="F1569" s="9" t="n">
        <v>0</v>
      </c>
      <c r="G1569" s="9" t="n">
        <v>-375368.34</v>
      </c>
      <c r="H1569" s="9">
        <f>IF(D1569="USD",E1569*$N$1,E1569)</f>
        <v/>
      </c>
      <c r="I1569" s="9">
        <f>IF(D1569="USD",F1569*$N$1,F1569)</f>
        <v/>
      </c>
      <c r="J1569" s="9">
        <f>IF(D1569="USD",G1569*$N$1,G1569)</f>
        <v/>
      </c>
      <c r="K1569" s="9">
        <f>H1569+I1569</f>
        <v/>
      </c>
    </row>
    <row r="1570">
      <c r="A1570" s="8" t="n">
        <v>46202</v>
      </c>
      <c r="B1570" t="inlineStr">
        <is>
          <t>2026-W27</t>
        </is>
      </c>
      <c r="C1570" t="inlineStr">
        <is>
          <t>Nuvei</t>
        </is>
      </c>
      <c r="D1570" t="inlineStr">
        <is>
          <t>EUR</t>
        </is>
      </c>
      <c r="E1570" s="9" t="n">
        <v>0</v>
      </c>
      <c r="F1570" s="9" t="n">
        <v>0</v>
      </c>
      <c r="G1570" s="9" t="n">
        <v>-229459.54</v>
      </c>
      <c r="H1570" s="9">
        <f>IF(D1570="USD",E1570*$N$1,E1570)</f>
        <v/>
      </c>
      <c r="I1570" s="9">
        <f>IF(D1570="USD",F1570*$N$1,F1570)</f>
        <v/>
      </c>
      <c r="J1570" s="9">
        <f>IF(D1570="USD",G1570*$N$1,G1570)</f>
        <v/>
      </c>
      <c r="K1570" s="9">
        <f>H1570+I1570</f>
        <v/>
      </c>
    </row>
    <row r="1571">
      <c r="A1571" s="8" t="n">
        <v>46202</v>
      </c>
      <c r="B1571" t="inlineStr">
        <is>
          <t>2026-W27</t>
        </is>
      </c>
      <c r="C1571" t="inlineStr">
        <is>
          <t>Nuvei</t>
        </is>
      </c>
      <c r="D1571" t="inlineStr">
        <is>
          <t>EUR</t>
        </is>
      </c>
      <c r="E1571" s="9" t="n">
        <v>330869.85</v>
      </c>
      <c r="F1571" s="9" t="n">
        <v>-6290.39</v>
      </c>
      <c r="G1571" s="9" t="n">
        <v>0</v>
      </c>
      <c r="H1571" s="9">
        <f>IF(D1571="USD",E1571*$N$1,E1571)</f>
        <v/>
      </c>
      <c r="I1571" s="9">
        <f>IF(D1571="USD",F1571*$N$1,F1571)</f>
        <v/>
      </c>
      <c r="J1571" s="9">
        <f>IF(D1571="USD",G1571*$N$1,G1571)</f>
        <v/>
      </c>
      <c r="K1571" s="9">
        <f>H1571+I1571</f>
        <v/>
      </c>
    </row>
    <row r="1572">
      <c r="A1572" s="8" t="n">
        <v>46202</v>
      </c>
      <c r="B1572" t="inlineStr">
        <is>
          <t>2026-W27</t>
        </is>
      </c>
      <c r="C1572" t="inlineStr">
        <is>
          <t>Nuvei</t>
        </is>
      </c>
      <c r="D1572" t="inlineStr">
        <is>
          <t>EUR</t>
        </is>
      </c>
      <c r="E1572" s="9" t="n">
        <v>62896.03</v>
      </c>
      <c r="F1572" s="9" t="n">
        <v>-1835.65</v>
      </c>
      <c r="G1572" s="9" t="n">
        <v>0</v>
      </c>
      <c r="H1572" s="9">
        <f>IF(D1572="USD",E1572*$N$1,E1572)</f>
        <v/>
      </c>
      <c r="I1572" s="9">
        <f>IF(D1572="USD",F1572*$N$1,F1572)</f>
        <v/>
      </c>
      <c r="J1572" s="9">
        <f>IF(D1572="USD",G1572*$N$1,G1572)</f>
        <v/>
      </c>
      <c r="K1572" s="9">
        <f>H1572+I1572</f>
        <v/>
      </c>
    </row>
    <row r="1573">
      <c r="A1573" s="8" t="n">
        <v>46202</v>
      </c>
      <c r="B1573" t="inlineStr">
        <is>
          <t>2026-W27</t>
        </is>
      </c>
      <c r="C1573" t="inlineStr">
        <is>
          <t>Nuvei</t>
        </is>
      </c>
      <c r="D1573" t="inlineStr">
        <is>
          <t>EUR</t>
        </is>
      </c>
      <c r="E1573" s="9" t="n">
        <v>2846.4</v>
      </c>
      <c r="F1573" s="9" t="n">
        <v>-77.44</v>
      </c>
      <c r="G1573" s="9" t="n">
        <v>0</v>
      </c>
      <c r="H1573" s="9">
        <f>IF(D1573="USD",E1573*$N$1,E1573)</f>
        <v/>
      </c>
      <c r="I1573" s="9">
        <f>IF(D1573="USD",F1573*$N$1,F1573)</f>
        <v/>
      </c>
      <c r="J1573" s="9">
        <f>IF(D1573="USD",G1573*$N$1,G1573)</f>
        <v/>
      </c>
      <c r="K1573" s="9">
        <f>H1573+I1573</f>
        <v/>
      </c>
    </row>
    <row r="1574">
      <c r="A1574" s="8" t="n">
        <v>46202</v>
      </c>
      <c r="B1574" t="inlineStr">
        <is>
          <t>2026-W27</t>
        </is>
      </c>
      <c r="C1574" t="inlineStr">
        <is>
          <t>Nuvei</t>
        </is>
      </c>
      <c r="D1574" t="inlineStr">
        <is>
          <t>USD</t>
        </is>
      </c>
      <c r="E1574" s="9" t="n">
        <v>12243.9</v>
      </c>
      <c r="F1574" s="9" t="n">
        <v>-371.59</v>
      </c>
      <c r="G1574" s="9" t="n">
        <v>0</v>
      </c>
      <c r="H1574" s="9">
        <f>IF(D1574="USD",E1574*$N$1,E1574)</f>
        <v/>
      </c>
      <c r="I1574" s="9">
        <f>IF(D1574="USD",F1574*$N$1,F1574)</f>
        <v/>
      </c>
      <c r="J1574" s="9">
        <f>IF(D1574="USD",G1574*$N$1,G1574)</f>
        <v/>
      </c>
      <c r="K1574" s="9">
        <f>H1574+I1574</f>
        <v/>
      </c>
    </row>
    <row r="1575">
      <c r="A1575" s="8" t="n">
        <v>46202</v>
      </c>
      <c r="B1575" t="inlineStr">
        <is>
          <t>2026-W27</t>
        </is>
      </c>
      <c r="C1575" t="inlineStr">
        <is>
          <t>Paysafe</t>
        </is>
      </c>
      <c r="D1575" t="inlineStr">
        <is>
          <t>EUR</t>
        </is>
      </c>
      <c r="E1575" s="9" t="n">
        <v>0</v>
      </c>
      <c r="F1575" s="9" t="n">
        <v>0</v>
      </c>
      <c r="G1575" s="9" t="n">
        <v>0</v>
      </c>
      <c r="H1575" s="9">
        <f>IF(D1575="USD",E1575*$N$1,E1575)</f>
        <v/>
      </c>
      <c r="I1575" s="9">
        <f>IF(D1575="USD",F1575*$N$1,F1575)</f>
        <v/>
      </c>
      <c r="J1575" s="9">
        <f>IF(D1575="USD",G1575*$N$1,G1575)</f>
        <v/>
      </c>
      <c r="K1575" s="9">
        <f>H1575+I1575</f>
        <v/>
      </c>
    </row>
    <row r="1576">
      <c r="A1576" s="8" t="n">
        <v>46202</v>
      </c>
      <c r="B1576" t="inlineStr">
        <is>
          <t>2026-W27</t>
        </is>
      </c>
      <c r="C1576" t="inlineStr">
        <is>
          <t>Paysafe</t>
        </is>
      </c>
      <c r="D1576" t="inlineStr">
        <is>
          <t>EUR</t>
        </is>
      </c>
      <c r="E1576" s="9" t="n">
        <v>0</v>
      </c>
      <c r="F1576" s="9" t="n">
        <v>-15.27</v>
      </c>
      <c r="G1576" s="9" t="n">
        <v>-1023.58</v>
      </c>
      <c r="H1576" s="9">
        <f>IF(D1576="USD",E1576*$N$1,E1576)</f>
        <v/>
      </c>
      <c r="I1576" s="9">
        <f>IF(D1576="USD",F1576*$N$1,F1576)</f>
        <v/>
      </c>
      <c r="J1576" s="9">
        <f>IF(D1576="USD",G1576*$N$1,G1576)</f>
        <v/>
      </c>
      <c r="K1576" s="9">
        <f>H1576+I1576</f>
        <v/>
      </c>
    </row>
    <row r="1577">
      <c r="A1577" s="8" t="n">
        <v>46202</v>
      </c>
      <c r="B1577" t="inlineStr">
        <is>
          <t>2026-W27</t>
        </is>
      </c>
      <c r="C1577" t="inlineStr">
        <is>
          <t>Shift4</t>
        </is>
      </c>
      <c r="D1577" t="inlineStr">
        <is>
          <t>EUR</t>
        </is>
      </c>
      <c r="E1577" s="9" t="n">
        <v>0</v>
      </c>
      <c r="F1577" s="9" t="n">
        <v>0</v>
      </c>
      <c r="G1577" s="9" t="n">
        <v>-447296.25</v>
      </c>
      <c r="H1577" s="9">
        <f>IF(D1577="USD",E1577*$N$1,E1577)</f>
        <v/>
      </c>
      <c r="I1577" s="9">
        <f>IF(D1577="USD",F1577*$N$1,F1577)</f>
        <v/>
      </c>
      <c r="J1577" s="9">
        <f>IF(D1577="USD",G1577*$N$1,G1577)</f>
        <v/>
      </c>
      <c r="K1577" s="9">
        <f>H1577+I1577</f>
        <v/>
      </c>
    </row>
    <row r="1578">
      <c r="A1578" s="8" t="n">
        <v>46202</v>
      </c>
      <c r="B1578" t="inlineStr">
        <is>
          <t>2026-W27</t>
        </is>
      </c>
      <c r="C1578" t="inlineStr">
        <is>
          <t>Shift4</t>
        </is>
      </c>
      <c r="D1578" t="inlineStr">
        <is>
          <t>EUR</t>
        </is>
      </c>
      <c r="E1578" s="9" t="n">
        <v>445487.2</v>
      </c>
      <c r="F1578" s="9" t="n">
        <v>-5458.81</v>
      </c>
      <c r="G1578" s="9" t="n">
        <v>0</v>
      </c>
      <c r="H1578" s="9">
        <f>IF(D1578="USD",E1578*$N$1,E1578)</f>
        <v/>
      </c>
      <c r="I1578" s="9">
        <f>IF(D1578="USD",F1578*$N$1,F1578)</f>
        <v/>
      </c>
      <c r="J1578" s="9">
        <f>IF(D1578="USD",G1578*$N$1,G1578)</f>
        <v/>
      </c>
      <c r="K1578" s="9">
        <f>H1578+I1578</f>
        <v/>
      </c>
    </row>
    <row r="1579">
      <c r="A1579" s="8" t="n">
        <v>46203</v>
      </c>
      <c r="B1579" t="inlineStr">
        <is>
          <t>2026-W27</t>
        </is>
      </c>
      <c r="C1579" t="inlineStr">
        <is>
          <t>Adyen</t>
        </is>
      </c>
      <c r="D1579" t="inlineStr">
        <is>
          <t>EUR</t>
        </is>
      </c>
      <c r="E1579" s="9" t="n">
        <v>0</v>
      </c>
      <c r="F1579" s="9" t="n">
        <v>0</v>
      </c>
      <c r="G1579" s="9" t="n">
        <v>-2087607.65</v>
      </c>
      <c r="H1579" s="9">
        <f>IF(D1579="USD",E1579*$N$1,E1579)</f>
        <v/>
      </c>
      <c r="I1579" s="9">
        <f>IF(D1579="USD",F1579*$N$1,F1579)</f>
        <v/>
      </c>
      <c r="J1579" s="9">
        <f>IF(D1579="USD",G1579*$N$1,G1579)</f>
        <v/>
      </c>
      <c r="K1579" s="9">
        <f>H1579+I1579</f>
        <v/>
      </c>
    </row>
    <row r="1580">
      <c r="A1580" s="8" t="n">
        <v>46203</v>
      </c>
      <c r="B1580" t="inlineStr">
        <is>
          <t>2026-W27</t>
        </is>
      </c>
      <c r="C1580" t="inlineStr">
        <is>
          <t>Adyen</t>
        </is>
      </c>
      <c r="D1580" t="inlineStr">
        <is>
          <t>EUR</t>
        </is>
      </c>
      <c r="E1580" s="9" t="n">
        <v>852826.64</v>
      </c>
      <c r="F1580" s="9" t="n">
        <v>-5088.469999999972</v>
      </c>
      <c r="G1580" s="9" t="n">
        <v>0</v>
      </c>
      <c r="H1580" s="9">
        <f>IF(D1580="USD",E1580*$N$1,E1580)</f>
        <v/>
      </c>
      <c r="I1580" s="9">
        <f>IF(D1580="USD",F1580*$N$1,F1580)</f>
        <v/>
      </c>
      <c r="J1580" s="9">
        <f>IF(D1580="USD",G1580*$N$1,G1580)</f>
        <v/>
      </c>
      <c r="K1580" s="9">
        <f>H1580+I1580</f>
        <v/>
      </c>
    </row>
    <row r="1581">
      <c r="A1581" s="8" t="n">
        <v>46203</v>
      </c>
      <c r="B1581" t="inlineStr">
        <is>
          <t>2026-W27</t>
        </is>
      </c>
      <c r="C1581" t="inlineStr">
        <is>
          <t>Adyen</t>
        </is>
      </c>
      <c r="D1581" t="inlineStr">
        <is>
          <t>EUR</t>
        </is>
      </c>
      <c r="E1581" s="9" t="n">
        <v>0</v>
      </c>
      <c r="F1581" s="9" t="n">
        <v>0</v>
      </c>
      <c r="G1581" s="9" t="n">
        <v>0</v>
      </c>
      <c r="H1581" s="9">
        <f>IF(D1581="USD",E1581*$N$1,E1581)</f>
        <v/>
      </c>
      <c r="I1581" s="9">
        <f>IF(D1581="USD",F1581*$N$1,F1581)</f>
        <v/>
      </c>
      <c r="J1581" s="9">
        <f>IF(D1581="USD",G1581*$N$1,G1581)</f>
        <v/>
      </c>
      <c r="K1581" s="9">
        <f>H1581+I1581</f>
        <v/>
      </c>
    </row>
    <row r="1582">
      <c r="A1582" s="8" t="n">
        <v>46203</v>
      </c>
      <c r="B1582" t="inlineStr">
        <is>
          <t>2026-W27</t>
        </is>
      </c>
      <c r="C1582" t="inlineStr">
        <is>
          <t>Nuvei</t>
        </is>
      </c>
      <c r="D1582" t="inlineStr">
        <is>
          <t>EUR</t>
        </is>
      </c>
      <c r="E1582" s="9" t="n">
        <v>0</v>
      </c>
      <c r="F1582" s="9" t="n">
        <v>0</v>
      </c>
      <c r="G1582" s="9" t="n">
        <v>-366392.44</v>
      </c>
      <c r="H1582" s="9">
        <f>IF(D1582="USD",E1582*$N$1,E1582)</f>
        <v/>
      </c>
      <c r="I1582" s="9">
        <f>IF(D1582="USD",F1582*$N$1,F1582)</f>
        <v/>
      </c>
      <c r="J1582" s="9">
        <f>IF(D1582="USD",G1582*$N$1,G1582)</f>
        <v/>
      </c>
      <c r="K1582" s="9">
        <f>H1582+I1582</f>
        <v/>
      </c>
    </row>
    <row r="1583">
      <c r="A1583" s="8" t="n">
        <v>46203</v>
      </c>
      <c r="B1583" t="inlineStr">
        <is>
          <t>2026-W27</t>
        </is>
      </c>
      <c r="C1583" t="inlineStr">
        <is>
          <t>Nuvei</t>
        </is>
      </c>
      <c r="D1583" t="inlineStr">
        <is>
          <t>EUR</t>
        </is>
      </c>
      <c r="E1583" s="9" t="n">
        <v>0</v>
      </c>
      <c r="F1583" s="9" t="n">
        <v>0</v>
      </c>
      <c r="G1583" s="9" t="n">
        <v>-228700.51</v>
      </c>
      <c r="H1583" s="9">
        <f>IF(D1583="USD",E1583*$N$1,E1583)</f>
        <v/>
      </c>
      <c r="I1583" s="9">
        <f>IF(D1583="USD",F1583*$N$1,F1583)</f>
        <v/>
      </c>
      <c r="J1583" s="9">
        <f>IF(D1583="USD",G1583*$N$1,G1583)</f>
        <v/>
      </c>
      <c r="K1583" s="9">
        <f>H1583+I1583</f>
        <v/>
      </c>
    </row>
    <row r="1584">
      <c r="A1584" s="8" t="n">
        <v>46203</v>
      </c>
      <c r="B1584" t="inlineStr">
        <is>
          <t>2026-W27</t>
        </is>
      </c>
      <c r="C1584" t="inlineStr">
        <is>
          <t>Nuvei</t>
        </is>
      </c>
      <c r="D1584" t="inlineStr">
        <is>
          <t>EUR</t>
        </is>
      </c>
      <c r="E1584" s="9" t="n">
        <v>356484.37</v>
      </c>
      <c r="F1584" s="9" t="n">
        <v>-6498.08</v>
      </c>
      <c r="G1584" s="9" t="n">
        <v>0</v>
      </c>
      <c r="H1584" s="9">
        <f>IF(D1584="USD",E1584*$N$1,E1584)</f>
        <v/>
      </c>
      <c r="I1584" s="9">
        <f>IF(D1584="USD",F1584*$N$1,F1584)</f>
        <v/>
      </c>
      <c r="J1584" s="9">
        <f>IF(D1584="USD",G1584*$N$1,G1584)</f>
        <v/>
      </c>
      <c r="K1584" s="9">
        <f>H1584+I1584</f>
        <v/>
      </c>
    </row>
    <row r="1585">
      <c r="A1585" s="8" t="n">
        <v>46203</v>
      </c>
      <c r="B1585" t="inlineStr">
        <is>
          <t>2026-W27</t>
        </is>
      </c>
      <c r="C1585" t="inlineStr">
        <is>
          <t>Nuvei</t>
        </is>
      </c>
      <c r="D1585" t="inlineStr">
        <is>
          <t>EUR</t>
        </is>
      </c>
      <c r="E1585" s="9" t="n">
        <v>-2433.8</v>
      </c>
      <c r="F1585" s="9" t="n">
        <v>-2.92</v>
      </c>
      <c r="G1585" s="9" t="n">
        <v>0</v>
      </c>
      <c r="H1585" s="9">
        <f>IF(D1585="USD",E1585*$N$1,E1585)</f>
        <v/>
      </c>
      <c r="I1585" s="9">
        <f>IF(D1585="USD",F1585*$N$1,F1585)</f>
        <v/>
      </c>
      <c r="J1585" s="9">
        <f>IF(D1585="USD",G1585*$N$1,G1585)</f>
        <v/>
      </c>
      <c r="K1585" s="9">
        <f>H1585+I1585</f>
        <v/>
      </c>
    </row>
    <row r="1586">
      <c r="A1586" s="8" t="n">
        <v>46203</v>
      </c>
      <c r="B1586" t="inlineStr">
        <is>
          <t>2026-W27</t>
        </is>
      </c>
      <c r="C1586" t="inlineStr">
        <is>
          <t>Nuvei</t>
        </is>
      </c>
      <c r="D1586" t="inlineStr">
        <is>
          <t>EUR</t>
        </is>
      </c>
      <c r="E1586" s="9" t="n">
        <v>39660.58</v>
      </c>
      <c r="F1586" s="9" t="n">
        <v>-975.55</v>
      </c>
      <c r="G1586" s="9" t="n">
        <v>0</v>
      </c>
      <c r="H1586" s="9">
        <f>IF(D1586="USD",E1586*$N$1,E1586)</f>
        <v/>
      </c>
      <c r="I1586" s="9">
        <f>IF(D1586="USD",F1586*$N$1,F1586)</f>
        <v/>
      </c>
      <c r="J1586" s="9">
        <f>IF(D1586="USD",G1586*$N$1,G1586)</f>
        <v/>
      </c>
      <c r="K1586" s="9">
        <f>H1586+I1586</f>
        <v/>
      </c>
    </row>
    <row r="1587">
      <c r="A1587" s="8" t="n">
        <v>46203</v>
      </c>
      <c r="B1587" t="inlineStr">
        <is>
          <t>2026-W27</t>
        </is>
      </c>
      <c r="C1587" t="inlineStr">
        <is>
          <t>Nuvei</t>
        </is>
      </c>
      <c r="D1587" t="inlineStr">
        <is>
          <t>USD</t>
        </is>
      </c>
      <c r="E1587" s="9" t="n">
        <v>7710.5</v>
      </c>
      <c r="F1587" s="9" t="n">
        <v>-371.59</v>
      </c>
      <c r="G1587" s="9" t="n">
        <v>0</v>
      </c>
      <c r="H1587" s="9">
        <f>IF(D1587="USD",E1587*$N$1,E1587)</f>
        <v/>
      </c>
      <c r="I1587" s="9">
        <f>IF(D1587="USD",F1587*$N$1,F1587)</f>
        <v/>
      </c>
      <c r="J1587" s="9">
        <f>IF(D1587="USD",G1587*$N$1,G1587)</f>
        <v/>
      </c>
      <c r="K1587" s="9">
        <f>H1587+I1587</f>
        <v/>
      </c>
    </row>
    <row r="1588">
      <c r="A1588" s="8" t="n">
        <v>46203</v>
      </c>
      <c r="B1588" t="inlineStr">
        <is>
          <t>2026-W27</t>
        </is>
      </c>
      <c r="C1588" t="inlineStr">
        <is>
          <t>Paysafe</t>
        </is>
      </c>
      <c r="D1588" t="inlineStr">
        <is>
          <t>EUR</t>
        </is>
      </c>
      <c r="E1588" s="9" t="n">
        <v>1249.39</v>
      </c>
      <c r="F1588" s="9" t="n">
        <v>0</v>
      </c>
      <c r="G1588" s="9" t="n">
        <v>0</v>
      </c>
      <c r="H1588" s="9">
        <f>IF(D1588="USD",E1588*$N$1,E1588)</f>
        <v/>
      </c>
      <c r="I1588" s="9">
        <f>IF(D1588="USD",F1588*$N$1,F1588)</f>
        <v/>
      </c>
      <c r="J1588" s="9">
        <f>IF(D1588="USD",G1588*$N$1,G1588)</f>
        <v/>
      </c>
      <c r="K1588" s="9">
        <f>H1588+I1588</f>
        <v/>
      </c>
    </row>
    <row r="1589">
      <c r="A1589" s="8" t="n">
        <v>46203</v>
      </c>
      <c r="B1589" t="inlineStr">
        <is>
          <t>2026-W27</t>
        </is>
      </c>
      <c r="C1589" t="inlineStr">
        <is>
          <t>Paysafe</t>
        </is>
      </c>
      <c r="D1589" t="inlineStr">
        <is>
          <t>EUR</t>
        </is>
      </c>
      <c r="E1589" s="9" t="n">
        <v>0</v>
      </c>
      <c r="F1589" s="9" t="n">
        <v>0</v>
      </c>
      <c r="G1589" s="9" t="n">
        <v>0</v>
      </c>
      <c r="H1589" s="9">
        <f>IF(D1589="USD",E1589*$N$1,E1589)</f>
        <v/>
      </c>
      <c r="I1589" s="9">
        <f>IF(D1589="USD",F1589*$N$1,F1589)</f>
        <v/>
      </c>
      <c r="J1589" s="9">
        <f>IF(D1589="USD",G1589*$N$1,G1589)</f>
        <v/>
      </c>
      <c r="K1589" s="9">
        <f>H1589+I1589</f>
        <v/>
      </c>
    </row>
    <row r="1590">
      <c r="A1590" s="8" t="n">
        <v>46203</v>
      </c>
      <c r="B1590" t="inlineStr">
        <is>
          <t>2026-W27</t>
        </is>
      </c>
      <c r="C1590" t="inlineStr">
        <is>
          <t>Shift4</t>
        </is>
      </c>
      <c r="D1590" t="inlineStr">
        <is>
          <t>EUR</t>
        </is>
      </c>
      <c r="E1590" s="9" t="n">
        <v>0</v>
      </c>
      <c r="F1590" s="9" t="n">
        <v>0</v>
      </c>
      <c r="G1590" s="9" t="n">
        <v>-476524.97</v>
      </c>
      <c r="H1590" s="9">
        <f>IF(D1590="USD",E1590*$N$1,E1590)</f>
        <v/>
      </c>
      <c r="I1590" s="9">
        <f>IF(D1590="USD",F1590*$N$1,F1590)</f>
        <v/>
      </c>
      <c r="J1590" s="9">
        <f>IF(D1590="USD",G1590*$N$1,G1590)</f>
        <v/>
      </c>
      <c r="K1590" s="9">
        <f>H1590+I1590</f>
        <v/>
      </c>
    </row>
    <row r="1591">
      <c r="A1591" s="8" t="n">
        <v>46203</v>
      </c>
      <c r="B1591" t="inlineStr">
        <is>
          <t>2026-W27</t>
        </is>
      </c>
      <c r="C1591" t="inlineStr">
        <is>
          <t>Shift4</t>
        </is>
      </c>
      <c r="D1591" t="inlineStr">
        <is>
          <t>EUR</t>
        </is>
      </c>
      <c r="E1591" s="9" t="n">
        <v>483762.14</v>
      </c>
      <c r="F1591" s="9" t="n">
        <v>-5653.29</v>
      </c>
      <c r="G1591" s="9" t="n">
        <v>0</v>
      </c>
      <c r="H1591" s="9">
        <f>IF(D1591="USD",E1591*$N$1,E1591)</f>
        <v/>
      </c>
      <c r="I1591" s="9">
        <f>IF(D1591="USD",F1591*$N$1,F1591)</f>
        <v/>
      </c>
      <c r="J1591" s="9">
        <f>IF(D1591="USD",G1591*$N$1,G1591)</f>
        <v/>
      </c>
      <c r="K1591" s="9">
        <f>H1591+I1591</f>
        <v/>
      </c>
    </row>
    <row r="1592">
      <c r="A1592" s="8" t="n">
        <v>46204</v>
      </c>
      <c r="B1592" t="inlineStr">
        <is>
          <t>2026-W27</t>
        </is>
      </c>
      <c r="C1592" t="inlineStr">
        <is>
          <t>Adyen</t>
        </is>
      </c>
      <c r="D1592" t="inlineStr">
        <is>
          <t>EUR</t>
        </is>
      </c>
      <c r="E1592" s="9" t="n">
        <v>0</v>
      </c>
      <c r="F1592" s="9" t="n">
        <v>0</v>
      </c>
      <c r="G1592" s="9" t="n">
        <v>-831807.6</v>
      </c>
      <c r="H1592" s="9">
        <f>IF(D1592="USD",E1592*$N$1,E1592)</f>
        <v/>
      </c>
      <c r="I1592" s="9">
        <f>IF(D1592="USD",F1592*$N$1,F1592)</f>
        <v/>
      </c>
      <c r="J1592" s="9">
        <f>IF(D1592="USD",G1592*$N$1,G1592)</f>
        <v/>
      </c>
      <c r="K1592" s="9">
        <f>H1592+I1592</f>
        <v/>
      </c>
    </row>
    <row r="1593">
      <c r="A1593" s="8" t="n">
        <v>46204</v>
      </c>
      <c r="B1593" t="inlineStr">
        <is>
          <t>2026-W27</t>
        </is>
      </c>
      <c r="C1593" t="inlineStr">
        <is>
          <t>Adyen</t>
        </is>
      </c>
      <c r="D1593" t="inlineStr">
        <is>
          <t>EUR</t>
        </is>
      </c>
      <c r="E1593" s="9" t="n">
        <v>906243.51</v>
      </c>
      <c r="F1593" s="9" t="n">
        <v>-3775.719999999972</v>
      </c>
      <c r="G1593" s="9" t="n">
        <v>0</v>
      </c>
      <c r="H1593" s="9">
        <f>IF(D1593="USD",E1593*$N$1,E1593)</f>
        <v/>
      </c>
      <c r="I1593" s="9">
        <f>IF(D1593="USD",F1593*$N$1,F1593)</f>
        <v/>
      </c>
      <c r="J1593" s="9">
        <f>IF(D1593="USD",G1593*$N$1,G1593)</f>
        <v/>
      </c>
      <c r="K1593" s="9">
        <f>H1593+I1593</f>
        <v/>
      </c>
    </row>
    <row r="1594">
      <c r="A1594" s="8" t="n">
        <v>46204</v>
      </c>
      <c r="B1594" t="inlineStr">
        <is>
          <t>2026-W27</t>
        </is>
      </c>
      <c r="C1594" t="inlineStr">
        <is>
          <t>Adyen</t>
        </is>
      </c>
      <c r="D1594" t="inlineStr">
        <is>
          <t>EUR</t>
        </is>
      </c>
      <c r="E1594" s="9" t="n">
        <v>0</v>
      </c>
      <c r="F1594" s="9" t="n">
        <v>0</v>
      </c>
      <c r="G1594" s="9" t="n">
        <v>0</v>
      </c>
      <c r="H1594" s="9">
        <f>IF(D1594="USD",E1594*$N$1,E1594)</f>
        <v/>
      </c>
      <c r="I1594" s="9">
        <f>IF(D1594="USD",F1594*$N$1,F1594)</f>
        <v/>
      </c>
      <c r="J1594" s="9">
        <f>IF(D1594="USD",G1594*$N$1,G1594)</f>
        <v/>
      </c>
      <c r="K1594" s="9">
        <f>H1594+I1594</f>
        <v/>
      </c>
    </row>
    <row r="1595">
      <c r="A1595" s="8" t="n">
        <v>46204</v>
      </c>
      <c r="B1595" t="inlineStr">
        <is>
          <t>2026-W27</t>
        </is>
      </c>
      <c r="C1595" t="inlineStr">
        <is>
          <t>Nuvei</t>
        </is>
      </c>
      <c r="D1595" t="inlineStr">
        <is>
          <t>EUR</t>
        </is>
      </c>
      <c r="E1595" s="9" t="n">
        <v>0</v>
      </c>
      <c r="F1595" s="9" t="n">
        <v>0</v>
      </c>
      <c r="G1595" s="9" t="n">
        <v>-348893.24</v>
      </c>
      <c r="H1595" s="9">
        <f>IF(D1595="USD",E1595*$N$1,E1595)</f>
        <v/>
      </c>
      <c r="I1595" s="9">
        <f>IF(D1595="USD",F1595*$N$1,F1595)</f>
        <v/>
      </c>
      <c r="J1595" s="9">
        <f>IF(D1595="USD",G1595*$N$1,G1595)</f>
        <v/>
      </c>
      <c r="K1595" s="9">
        <f>H1595+I1595</f>
        <v/>
      </c>
    </row>
    <row r="1596">
      <c r="A1596" s="8" t="n">
        <v>46204</v>
      </c>
      <c r="B1596" t="inlineStr">
        <is>
          <t>2026-W27</t>
        </is>
      </c>
      <c r="C1596" t="inlineStr">
        <is>
          <t>Nuvei</t>
        </is>
      </c>
      <c r="D1596" t="inlineStr">
        <is>
          <t>EUR</t>
        </is>
      </c>
      <c r="E1596" s="9" t="n">
        <v>0</v>
      </c>
      <c r="F1596" s="9" t="n">
        <v>0</v>
      </c>
      <c r="G1596" s="9" t="n">
        <v>-202998.1</v>
      </c>
      <c r="H1596" s="9">
        <f>IF(D1596="USD",E1596*$N$1,E1596)</f>
        <v/>
      </c>
      <c r="I1596" s="9">
        <f>IF(D1596="USD",F1596*$N$1,F1596)</f>
        <v/>
      </c>
      <c r="J1596" s="9">
        <f>IF(D1596="USD",G1596*$N$1,G1596)</f>
        <v/>
      </c>
      <c r="K1596" s="9">
        <f>H1596+I1596</f>
        <v/>
      </c>
    </row>
    <row r="1597">
      <c r="A1597" s="8" t="n">
        <v>46204</v>
      </c>
      <c r="B1597" t="inlineStr">
        <is>
          <t>2026-W27</t>
        </is>
      </c>
      <c r="C1597" t="inlineStr">
        <is>
          <t>Nuvei</t>
        </is>
      </c>
      <c r="D1597" t="inlineStr">
        <is>
          <t>EUR</t>
        </is>
      </c>
      <c r="E1597" s="9" t="n">
        <v>363659.33</v>
      </c>
      <c r="F1597" s="9" t="n">
        <v>-6596.24</v>
      </c>
      <c r="G1597" s="9" t="n">
        <v>0</v>
      </c>
      <c r="H1597" s="9">
        <f>IF(D1597="USD",E1597*$N$1,E1597)</f>
        <v/>
      </c>
      <c r="I1597" s="9">
        <f>IF(D1597="USD",F1597*$N$1,F1597)</f>
        <v/>
      </c>
      <c r="J1597" s="9">
        <f>IF(D1597="USD",G1597*$N$1,G1597)</f>
        <v/>
      </c>
      <c r="K1597" s="9">
        <f>H1597+I1597</f>
        <v/>
      </c>
    </row>
    <row r="1598">
      <c r="A1598" s="8" t="n">
        <v>46204</v>
      </c>
      <c r="B1598" t="inlineStr">
        <is>
          <t>2026-W27</t>
        </is>
      </c>
      <c r="C1598" t="inlineStr">
        <is>
          <t>Nuvei</t>
        </is>
      </c>
      <c r="D1598" t="inlineStr">
        <is>
          <t>EUR</t>
        </is>
      </c>
      <c r="E1598" s="9" t="n">
        <v>-1811.63</v>
      </c>
      <c r="F1598" s="9" t="n">
        <v>-15.3</v>
      </c>
      <c r="G1598" s="9" t="n">
        <v>0</v>
      </c>
      <c r="H1598" s="9">
        <f>IF(D1598="USD",E1598*$N$1,E1598)</f>
        <v/>
      </c>
      <c r="I1598" s="9">
        <f>IF(D1598="USD",F1598*$N$1,F1598)</f>
        <v/>
      </c>
      <c r="J1598" s="9">
        <f>IF(D1598="USD",G1598*$N$1,G1598)</f>
        <v/>
      </c>
      <c r="K1598" s="9">
        <f>H1598+I1598</f>
        <v/>
      </c>
    </row>
    <row r="1599">
      <c r="A1599" s="8" t="n">
        <v>46204</v>
      </c>
      <c r="B1599" t="inlineStr">
        <is>
          <t>2026-W27</t>
        </is>
      </c>
      <c r="C1599" t="inlineStr">
        <is>
          <t>Nuvei</t>
        </is>
      </c>
      <c r="D1599" t="inlineStr">
        <is>
          <t>EUR</t>
        </is>
      </c>
      <c r="E1599" s="9" t="n">
        <v>0</v>
      </c>
      <c r="F1599" s="9" t="n">
        <v>0</v>
      </c>
      <c r="G1599" s="9" t="n">
        <v>0</v>
      </c>
      <c r="H1599" s="9">
        <f>IF(D1599="USD",E1599*$N$1,E1599)</f>
        <v/>
      </c>
      <c r="I1599" s="9">
        <f>IF(D1599="USD",F1599*$N$1,F1599)</f>
        <v/>
      </c>
      <c r="J1599" s="9">
        <f>IF(D1599="USD",G1599*$N$1,G1599)</f>
        <v/>
      </c>
      <c r="K1599" s="9">
        <f>H1599+I1599</f>
        <v/>
      </c>
    </row>
    <row r="1600">
      <c r="A1600" s="8" t="n">
        <v>46204</v>
      </c>
      <c r="B1600" t="inlineStr">
        <is>
          <t>2026-W27</t>
        </is>
      </c>
      <c r="C1600" t="inlineStr">
        <is>
          <t>Nuvei</t>
        </is>
      </c>
      <c r="D1600" t="inlineStr">
        <is>
          <t>USD</t>
        </is>
      </c>
      <c r="E1600" s="9" t="n">
        <v>17428</v>
      </c>
      <c r="F1600" s="9" t="n">
        <v>-534.62</v>
      </c>
      <c r="G1600" s="9" t="n">
        <v>0</v>
      </c>
      <c r="H1600" s="9">
        <f>IF(D1600="USD",E1600*$N$1,E1600)</f>
        <v/>
      </c>
      <c r="I1600" s="9">
        <f>IF(D1600="USD",F1600*$N$1,F1600)</f>
        <v/>
      </c>
      <c r="J1600" s="9">
        <f>IF(D1600="USD",G1600*$N$1,G1600)</f>
        <v/>
      </c>
      <c r="K1600" s="9">
        <f>H1600+I1600</f>
        <v/>
      </c>
    </row>
    <row r="1601">
      <c r="A1601" s="8" t="n">
        <v>46204</v>
      </c>
      <c r="B1601" t="inlineStr">
        <is>
          <t>2026-W27</t>
        </is>
      </c>
      <c r="C1601" t="inlineStr">
        <is>
          <t>Paysafe</t>
        </is>
      </c>
      <c r="D1601" t="inlineStr">
        <is>
          <t>EUR</t>
        </is>
      </c>
      <c r="E1601" s="9" t="n">
        <v>96284.77999999987</v>
      </c>
      <c r="F1601" s="9" t="n">
        <v>0</v>
      </c>
      <c r="G1601" s="9" t="n">
        <v>0</v>
      </c>
      <c r="H1601" s="9">
        <f>IF(D1601="USD",E1601*$N$1,E1601)</f>
        <v/>
      </c>
      <c r="I1601" s="9">
        <f>IF(D1601="USD",F1601*$N$1,F1601)</f>
        <v/>
      </c>
      <c r="J1601" s="9">
        <f>IF(D1601="USD",G1601*$N$1,G1601)</f>
        <v/>
      </c>
      <c r="K1601" s="9">
        <f>H1601+I1601</f>
        <v/>
      </c>
    </row>
    <row r="1602">
      <c r="A1602" s="8" t="n">
        <v>46204</v>
      </c>
      <c r="B1602" t="inlineStr">
        <is>
          <t>2026-W27</t>
        </is>
      </c>
      <c r="C1602" t="inlineStr">
        <is>
          <t>Paysafe</t>
        </is>
      </c>
      <c r="D1602" t="inlineStr">
        <is>
          <t>EUR</t>
        </is>
      </c>
      <c r="E1602" s="9" t="n">
        <v>0</v>
      </c>
      <c r="F1602" s="9" t="n">
        <v>0</v>
      </c>
      <c r="G1602" s="9" t="n">
        <v>0</v>
      </c>
      <c r="H1602" s="9">
        <f>IF(D1602="USD",E1602*$N$1,E1602)</f>
        <v/>
      </c>
      <c r="I1602" s="9">
        <f>IF(D1602="USD",F1602*$N$1,F1602)</f>
        <v/>
      </c>
      <c r="J1602" s="9">
        <f>IF(D1602="USD",G1602*$N$1,G1602)</f>
        <v/>
      </c>
      <c r="K1602" s="9">
        <f>H1602+I1602</f>
        <v/>
      </c>
    </row>
    <row r="1603">
      <c r="A1603" s="8" t="n">
        <v>46204</v>
      </c>
      <c r="B1603" t="inlineStr">
        <is>
          <t>2026-W27</t>
        </is>
      </c>
      <c r="C1603" t="inlineStr">
        <is>
          <t>Shift4</t>
        </is>
      </c>
      <c r="D1603" t="inlineStr">
        <is>
          <t>EUR</t>
        </is>
      </c>
      <c r="E1603" s="9" t="n">
        <v>0</v>
      </c>
      <c r="F1603" s="9" t="n">
        <v>0</v>
      </c>
      <c r="G1603" s="9" t="n">
        <v>-405085.99</v>
      </c>
      <c r="H1603" s="9">
        <f>IF(D1603="USD",E1603*$N$1,E1603)</f>
        <v/>
      </c>
      <c r="I1603" s="9">
        <f>IF(D1603="USD",F1603*$N$1,F1603)</f>
        <v/>
      </c>
      <c r="J1603" s="9">
        <f>IF(D1603="USD",G1603*$N$1,G1603)</f>
        <v/>
      </c>
      <c r="K1603" s="9">
        <f>H1603+I1603</f>
        <v/>
      </c>
    </row>
    <row r="1604">
      <c r="A1604" s="8" t="n">
        <v>46204</v>
      </c>
      <c r="B1604" t="inlineStr">
        <is>
          <t>2026-W27</t>
        </is>
      </c>
      <c r="C1604" t="inlineStr">
        <is>
          <t>Shift4</t>
        </is>
      </c>
      <c r="D1604" t="inlineStr">
        <is>
          <t>EUR</t>
        </is>
      </c>
      <c r="E1604" s="9" t="n">
        <v>505055.42</v>
      </c>
      <c r="F1604" s="9" t="n">
        <v>-6353.27</v>
      </c>
      <c r="G1604" s="9" t="n">
        <v>0</v>
      </c>
      <c r="H1604" s="9">
        <f>IF(D1604="USD",E1604*$N$1,E1604)</f>
        <v/>
      </c>
      <c r="I1604" s="9">
        <f>IF(D1604="USD",F1604*$N$1,F1604)</f>
        <v/>
      </c>
      <c r="J1604" s="9">
        <f>IF(D1604="USD",G1604*$N$1,G1604)</f>
        <v/>
      </c>
      <c r="K1604" s="9">
        <f>H1604+I1604</f>
        <v/>
      </c>
    </row>
    <row r="1605">
      <c r="A1605" s="8" t="n">
        <v>46205</v>
      </c>
      <c r="B1605" t="inlineStr">
        <is>
          <t>2026-W27</t>
        </is>
      </c>
      <c r="C1605" t="inlineStr">
        <is>
          <t>Adyen</t>
        </is>
      </c>
      <c r="D1605" t="inlineStr">
        <is>
          <t>EUR</t>
        </is>
      </c>
      <c r="E1605" s="9" t="n">
        <v>0</v>
      </c>
      <c r="F1605" s="9" t="n">
        <v>0</v>
      </c>
      <c r="G1605" s="9" t="n">
        <v>-847738.17</v>
      </c>
      <c r="H1605" s="9">
        <f>IF(D1605="USD",E1605*$N$1,E1605)</f>
        <v/>
      </c>
      <c r="I1605" s="9">
        <f>IF(D1605="USD",F1605*$N$1,F1605)</f>
        <v/>
      </c>
      <c r="J1605" s="9">
        <f>IF(D1605="USD",G1605*$N$1,G1605)</f>
        <v/>
      </c>
      <c r="K1605" s="9">
        <f>H1605+I1605</f>
        <v/>
      </c>
    </row>
    <row r="1606">
      <c r="A1606" s="8" t="n">
        <v>46205</v>
      </c>
      <c r="B1606" t="inlineStr">
        <is>
          <t>2026-W27</t>
        </is>
      </c>
      <c r="C1606" t="inlineStr">
        <is>
          <t>Adyen</t>
        </is>
      </c>
      <c r="D1606" t="inlineStr">
        <is>
          <t>EUR</t>
        </is>
      </c>
      <c r="E1606" s="9" t="n">
        <v>786526.01</v>
      </c>
      <c r="F1606" s="9" t="n">
        <v>-4525.179999999935</v>
      </c>
      <c r="G1606" s="9" t="n">
        <v>0</v>
      </c>
      <c r="H1606" s="9">
        <f>IF(D1606="USD",E1606*$N$1,E1606)</f>
        <v/>
      </c>
      <c r="I1606" s="9">
        <f>IF(D1606="USD",F1606*$N$1,F1606)</f>
        <v/>
      </c>
      <c r="J1606" s="9">
        <f>IF(D1606="USD",G1606*$N$1,G1606)</f>
        <v/>
      </c>
      <c r="K1606" s="9">
        <f>H1606+I1606</f>
        <v/>
      </c>
    </row>
    <row r="1607">
      <c r="A1607" s="8" t="n">
        <v>46205</v>
      </c>
      <c r="B1607" t="inlineStr">
        <is>
          <t>2026-W27</t>
        </is>
      </c>
      <c r="C1607" t="inlineStr">
        <is>
          <t>Adyen</t>
        </is>
      </c>
      <c r="D1607" t="inlineStr">
        <is>
          <t>EUR</t>
        </is>
      </c>
      <c r="E1607" s="9" t="n">
        <v>63385.23</v>
      </c>
      <c r="F1607" s="9" t="n">
        <v>0</v>
      </c>
      <c r="G1607" s="9" t="n">
        <v>0</v>
      </c>
      <c r="H1607" s="9">
        <f>IF(D1607="USD",E1607*$N$1,E1607)</f>
        <v/>
      </c>
      <c r="I1607" s="9">
        <f>IF(D1607="USD",F1607*$N$1,F1607)</f>
        <v/>
      </c>
      <c r="J1607" s="9">
        <f>IF(D1607="USD",G1607*$N$1,G1607)</f>
        <v/>
      </c>
      <c r="K1607" s="9">
        <f>H1607+I1607</f>
        <v/>
      </c>
    </row>
    <row r="1608">
      <c r="A1608" s="8" t="n">
        <v>46205</v>
      </c>
      <c r="B1608" t="inlineStr">
        <is>
          <t>2026-W27</t>
        </is>
      </c>
      <c r="C1608" t="inlineStr">
        <is>
          <t>Nuvei</t>
        </is>
      </c>
      <c r="D1608" t="inlineStr">
        <is>
          <t>EUR</t>
        </is>
      </c>
      <c r="E1608" s="9" t="n">
        <v>0</v>
      </c>
      <c r="F1608" s="9" t="n">
        <v>0</v>
      </c>
      <c r="G1608" s="9" t="n">
        <v>-285704.23</v>
      </c>
      <c r="H1608" s="9">
        <f>IF(D1608="USD",E1608*$N$1,E1608)</f>
        <v/>
      </c>
      <c r="I1608" s="9">
        <f>IF(D1608="USD",F1608*$N$1,F1608)</f>
        <v/>
      </c>
      <c r="J1608" s="9">
        <f>IF(D1608="USD",G1608*$N$1,G1608)</f>
        <v/>
      </c>
      <c r="K1608" s="9">
        <f>H1608+I1608</f>
        <v/>
      </c>
    </row>
    <row r="1609">
      <c r="A1609" s="8" t="n">
        <v>46205</v>
      </c>
      <c r="B1609" t="inlineStr">
        <is>
          <t>2026-W27</t>
        </is>
      </c>
      <c r="C1609" t="inlineStr">
        <is>
          <t>Nuvei</t>
        </is>
      </c>
      <c r="D1609" t="inlineStr">
        <is>
          <t>EUR</t>
        </is>
      </c>
      <c r="E1609" s="9" t="n">
        <v>0</v>
      </c>
      <c r="F1609" s="9" t="n">
        <v>0</v>
      </c>
      <c r="G1609" s="9" t="n">
        <v>-210362.79</v>
      </c>
      <c r="H1609" s="9">
        <f>IF(D1609="USD",E1609*$N$1,E1609)</f>
        <v/>
      </c>
      <c r="I1609" s="9">
        <f>IF(D1609="USD",F1609*$N$1,F1609)</f>
        <v/>
      </c>
      <c r="J1609" s="9">
        <f>IF(D1609="USD",G1609*$N$1,G1609)</f>
        <v/>
      </c>
      <c r="K1609" s="9">
        <f>H1609+I1609</f>
        <v/>
      </c>
    </row>
    <row r="1610">
      <c r="A1610" s="8" t="n">
        <v>46205</v>
      </c>
      <c r="B1610" t="inlineStr">
        <is>
          <t>2026-W27</t>
        </is>
      </c>
      <c r="C1610" t="inlineStr">
        <is>
          <t>Nuvei</t>
        </is>
      </c>
      <c r="D1610" t="inlineStr">
        <is>
          <t>EUR</t>
        </is>
      </c>
      <c r="E1610" s="9" t="n">
        <v>0</v>
      </c>
      <c r="F1610" s="9" t="n">
        <v>0</v>
      </c>
      <c r="G1610" s="9" t="n">
        <v>-631198.96</v>
      </c>
      <c r="H1610" s="9">
        <f>IF(D1610="USD",E1610*$N$1,E1610)</f>
        <v/>
      </c>
      <c r="I1610" s="9">
        <f>IF(D1610="USD",F1610*$N$1,F1610)</f>
        <v/>
      </c>
      <c r="J1610" s="9">
        <f>IF(D1610="USD",G1610*$N$1,G1610)</f>
        <v/>
      </c>
      <c r="K1610" s="9">
        <f>H1610+I1610</f>
        <v/>
      </c>
    </row>
    <row r="1611">
      <c r="A1611" s="8" t="n">
        <v>46205</v>
      </c>
      <c r="B1611" t="inlineStr">
        <is>
          <t>2026-W27</t>
        </is>
      </c>
      <c r="C1611" t="inlineStr">
        <is>
          <t>Nuvei</t>
        </is>
      </c>
      <c r="D1611" t="inlineStr">
        <is>
          <t>EUR</t>
        </is>
      </c>
      <c r="E1611" s="9" t="n">
        <v>289114.11</v>
      </c>
      <c r="F1611" s="9" t="n">
        <v>-5464.8</v>
      </c>
      <c r="G1611" s="9" t="n">
        <v>0</v>
      </c>
      <c r="H1611" s="9">
        <f>IF(D1611="USD",E1611*$N$1,E1611)</f>
        <v/>
      </c>
      <c r="I1611" s="9">
        <f>IF(D1611="USD",F1611*$N$1,F1611)</f>
        <v/>
      </c>
      <c r="J1611" s="9">
        <f>IF(D1611="USD",G1611*$N$1,G1611)</f>
        <v/>
      </c>
      <c r="K1611" s="9">
        <f>H1611+I1611</f>
        <v/>
      </c>
    </row>
    <row r="1612">
      <c r="A1612" s="8" t="n">
        <v>46205</v>
      </c>
      <c r="B1612" t="inlineStr">
        <is>
          <t>2026-W27</t>
        </is>
      </c>
      <c r="C1612" t="inlineStr">
        <is>
          <t>Nuvei</t>
        </is>
      </c>
      <c r="D1612" t="inlineStr">
        <is>
          <t>EUR</t>
        </is>
      </c>
      <c r="E1612" s="9" t="n">
        <v>96770.7</v>
      </c>
      <c r="F1612" s="9" t="n">
        <v>-2805.01</v>
      </c>
      <c r="G1612" s="9" t="n">
        <v>0</v>
      </c>
      <c r="H1612" s="9">
        <f>IF(D1612="USD",E1612*$N$1,E1612)</f>
        <v/>
      </c>
      <c r="I1612" s="9">
        <f>IF(D1612="USD",F1612*$N$1,F1612)</f>
        <v/>
      </c>
      <c r="J1612" s="9">
        <f>IF(D1612="USD",G1612*$N$1,G1612)</f>
        <v/>
      </c>
      <c r="K1612" s="9">
        <f>H1612+I1612</f>
        <v/>
      </c>
    </row>
    <row r="1613">
      <c r="A1613" s="8" t="n">
        <v>46205</v>
      </c>
      <c r="B1613" t="inlineStr">
        <is>
          <t>2026-W27</t>
        </is>
      </c>
      <c r="C1613" t="inlineStr">
        <is>
          <t>Nuvei</t>
        </is>
      </c>
      <c r="D1613" t="inlineStr">
        <is>
          <t>EUR</t>
        </is>
      </c>
      <c r="E1613" s="9" t="n">
        <v>0</v>
      </c>
      <c r="F1613" s="9" t="n">
        <v>0</v>
      </c>
      <c r="G1613" s="9" t="n">
        <v>0</v>
      </c>
      <c r="H1613" s="9">
        <f>IF(D1613="USD",E1613*$N$1,E1613)</f>
        <v/>
      </c>
      <c r="I1613" s="9">
        <f>IF(D1613="USD",F1613*$N$1,F1613)</f>
        <v/>
      </c>
      <c r="J1613" s="9">
        <f>IF(D1613="USD",G1613*$N$1,G1613)</f>
        <v/>
      </c>
      <c r="K1613" s="9">
        <f>H1613+I1613</f>
        <v/>
      </c>
    </row>
    <row r="1614">
      <c r="A1614" s="8" t="n">
        <v>46205</v>
      </c>
      <c r="B1614" t="inlineStr">
        <is>
          <t>2026-W27</t>
        </is>
      </c>
      <c r="C1614" t="inlineStr">
        <is>
          <t>Nuvei</t>
        </is>
      </c>
      <c r="D1614" t="inlineStr">
        <is>
          <t>USD</t>
        </is>
      </c>
      <c r="E1614" s="9" t="n">
        <v>62423.21</v>
      </c>
      <c r="F1614" s="9" t="n">
        <v>-210.12</v>
      </c>
      <c r="G1614" s="9" t="n">
        <v>0</v>
      </c>
      <c r="H1614" s="9">
        <f>IF(D1614="USD",E1614*$N$1,E1614)</f>
        <v/>
      </c>
      <c r="I1614" s="9">
        <f>IF(D1614="USD",F1614*$N$1,F1614)</f>
        <v/>
      </c>
      <c r="J1614" s="9">
        <f>IF(D1614="USD",G1614*$N$1,G1614)</f>
        <v/>
      </c>
      <c r="K1614" s="9">
        <f>H1614+I1614</f>
        <v/>
      </c>
    </row>
    <row r="1615">
      <c r="A1615" s="8" t="n">
        <v>46205</v>
      </c>
      <c r="B1615" t="inlineStr">
        <is>
          <t>2026-W27</t>
        </is>
      </c>
      <c r="C1615" t="inlineStr">
        <is>
          <t>Paysafe</t>
        </is>
      </c>
      <c r="D1615" t="inlineStr">
        <is>
          <t>EUR</t>
        </is>
      </c>
      <c r="E1615" s="9" t="n">
        <v>162611.9000000002</v>
      </c>
      <c r="F1615" s="9" t="n">
        <v>0</v>
      </c>
      <c r="G1615" s="9" t="n">
        <v>0</v>
      </c>
      <c r="H1615" s="9">
        <f>IF(D1615="USD",E1615*$N$1,E1615)</f>
        <v/>
      </c>
      <c r="I1615" s="9">
        <f>IF(D1615="USD",F1615*$N$1,F1615)</f>
        <v/>
      </c>
      <c r="J1615" s="9">
        <f>IF(D1615="USD",G1615*$N$1,G1615)</f>
        <v/>
      </c>
      <c r="K1615" s="9">
        <f>H1615+I1615</f>
        <v/>
      </c>
    </row>
    <row r="1616">
      <c r="A1616" s="8" t="n">
        <v>46205</v>
      </c>
      <c r="B1616" t="inlineStr">
        <is>
          <t>2026-W27</t>
        </is>
      </c>
      <c r="C1616" t="inlineStr">
        <is>
          <t>Paysafe</t>
        </is>
      </c>
      <c r="D1616" t="inlineStr">
        <is>
          <t>EUR</t>
        </is>
      </c>
      <c r="E1616" s="9" t="n">
        <v>0</v>
      </c>
      <c r="F1616" s="9" t="n">
        <v>-20.94</v>
      </c>
      <c r="G1616" s="9" t="n">
        <v>-1048.01</v>
      </c>
      <c r="H1616" s="9">
        <f>IF(D1616="USD",E1616*$N$1,E1616)</f>
        <v/>
      </c>
      <c r="I1616" s="9">
        <f>IF(D1616="USD",F1616*$N$1,F1616)</f>
        <v/>
      </c>
      <c r="J1616" s="9">
        <f>IF(D1616="USD",G1616*$N$1,G1616)</f>
        <v/>
      </c>
      <c r="K1616" s="9">
        <f>H1616+I1616</f>
        <v/>
      </c>
    </row>
    <row r="1617">
      <c r="A1617" s="8" t="n">
        <v>46205</v>
      </c>
      <c r="B1617" t="inlineStr">
        <is>
          <t>2026-W27</t>
        </is>
      </c>
      <c r="C1617" t="inlineStr">
        <is>
          <t>Shift4</t>
        </is>
      </c>
      <c r="D1617" t="inlineStr">
        <is>
          <t>EUR</t>
        </is>
      </c>
      <c r="E1617" s="9" t="n">
        <v>0</v>
      </c>
      <c r="F1617" s="9" t="n">
        <v>0</v>
      </c>
      <c r="G1617" s="9" t="n">
        <v>-1198177.42</v>
      </c>
      <c r="H1617" s="9">
        <f>IF(D1617="USD",E1617*$N$1,E1617)</f>
        <v/>
      </c>
      <c r="I1617" s="9">
        <f>IF(D1617="USD",F1617*$N$1,F1617)</f>
        <v/>
      </c>
      <c r="J1617" s="9">
        <f>IF(D1617="USD",G1617*$N$1,G1617)</f>
        <v/>
      </c>
      <c r="K1617" s="9">
        <f>H1617+I1617</f>
        <v/>
      </c>
    </row>
    <row r="1618">
      <c r="A1618" s="8" t="n">
        <v>46205</v>
      </c>
      <c r="B1618" t="inlineStr">
        <is>
          <t>2026-W27</t>
        </is>
      </c>
      <c r="C1618" t="inlineStr">
        <is>
          <t>Shift4</t>
        </is>
      </c>
      <c r="D1618" t="inlineStr">
        <is>
          <t>EUR</t>
        </is>
      </c>
      <c r="E1618" s="9" t="n">
        <v>373754.47</v>
      </c>
      <c r="F1618" s="9" t="n">
        <v>-4167.48</v>
      </c>
      <c r="G1618" s="9" t="n">
        <v>0</v>
      </c>
      <c r="H1618" s="9">
        <f>IF(D1618="USD",E1618*$N$1,E1618)</f>
        <v/>
      </c>
      <c r="I1618" s="9">
        <f>IF(D1618="USD",F1618*$N$1,F1618)</f>
        <v/>
      </c>
      <c r="J1618" s="9">
        <f>IF(D1618="USD",G1618*$N$1,G1618)</f>
        <v/>
      </c>
      <c r="K1618" s="9">
        <f>H1618+I1618</f>
        <v/>
      </c>
    </row>
    <row r="1619">
      <c r="A1619" s="8" t="n">
        <v>46206</v>
      </c>
      <c r="B1619" t="inlineStr">
        <is>
          <t>2026-W27</t>
        </is>
      </c>
      <c r="C1619" t="inlineStr">
        <is>
          <t>Adyen</t>
        </is>
      </c>
      <c r="D1619" t="inlineStr">
        <is>
          <t>EUR</t>
        </is>
      </c>
      <c r="E1619" s="9" t="n">
        <v>0</v>
      </c>
      <c r="F1619" s="9" t="n">
        <v>0</v>
      </c>
      <c r="G1619" s="9" t="n">
        <v>-902467.79</v>
      </c>
      <c r="H1619" s="9">
        <f>IF(D1619="USD",E1619*$N$1,E1619)</f>
        <v/>
      </c>
      <c r="I1619" s="9">
        <f>IF(D1619="USD",F1619*$N$1,F1619)</f>
        <v/>
      </c>
      <c r="J1619" s="9">
        <f>IF(D1619="USD",G1619*$N$1,G1619)</f>
        <v/>
      </c>
      <c r="K1619" s="9">
        <f>H1619+I1619</f>
        <v/>
      </c>
    </row>
    <row r="1620">
      <c r="A1620" s="8" t="n">
        <v>46206</v>
      </c>
      <c r="B1620" t="inlineStr">
        <is>
          <t>2026-W27</t>
        </is>
      </c>
      <c r="C1620" t="inlineStr">
        <is>
          <t>Adyen</t>
        </is>
      </c>
      <c r="D1620" t="inlineStr">
        <is>
          <t>EUR</t>
        </is>
      </c>
      <c r="E1620" s="9" t="n">
        <v>753918.7</v>
      </c>
      <c r="F1620" s="9" t="n">
        <v>-19165.60999999987</v>
      </c>
      <c r="G1620" s="9" t="n">
        <v>0</v>
      </c>
      <c r="H1620" s="9">
        <f>IF(D1620="USD",E1620*$N$1,E1620)</f>
        <v/>
      </c>
      <c r="I1620" s="9">
        <f>IF(D1620="USD",F1620*$N$1,F1620)</f>
        <v/>
      </c>
      <c r="J1620" s="9">
        <f>IF(D1620="USD",G1620*$N$1,G1620)</f>
        <v/>
      </c>
      <c r="K1620" s="9">
        <f>H1620+I1620</f>
        <v/>
      </c>
    </row>
    <row r="1621">
      <c r="A1621" s="8" t="n">
        <v>46206</v>
      </c>
      <c r="B1621" t="inlineStr">
        <is>
          <t>2026-W27</t>
        </is>
      </c>
      <c r="C1621" t="inlineStr">
        <is>
          <t>Adyen</t>
        </is>
      </c>
      <c r="D1621" t="inlineStr">
        <is>
          <t>EUR</t>
        </is>
      </c>
      <c r="E1621" s="9" t="n">
        <v>150324.41</v>
      </c>
      <c r="F1621" s="9" t="n">
        <v>0</v>
      </c>
      <c r="G1621" s="9" t="n">
        <v>0</v>
      </c>
      <c r="H1621" s="9">
        <f>IF(D1621="USD",E1621*$N$1,E1621)</f>
        <v/>
      </c>
      <c r="I1621" s="9">
        <f>IF(D1621="USD",F1621*$N$1,F1621)</f>
        <v/>
      </c>
      <c r="J1621" s="9">
        <f>IF(D1621="USD",G1621*$N$1,G1621)</f>
        <v/>
      </c>
      <c r="K1621" s="9">
        <f>H1621+I1621</f>
        <v/>
      </c>
    </row>
    <row r="1622">
      <c r="A1622" s="8" t="n">
        <v>46206</v>
      </c>
      <c r="B1622" t="inlineStr">
        <is>
          <t>2026-W27</t>
        </is>
      </c>
      <c r="C1622" t="inlineStr">
        <is>
          <t>Nuvei</t>
        </is>
      </c>
      <c r="D1622" t="inlineStr">
        <is>
          <t>EUR</t>
        </is>
      </c>
      <c r="E1622" s="9" t="n">
        <v>0</v>
      </c>
      <c r="F1622" s="9" t="n">
        <v>0</v>
      </c>
      <c r="G1622" s="9" t="n">
        <v>-795072.66</v>
      </c>
      <c r="H1622" s="9">
        <f>IF(D1622="USD",E1622*$N$1,E1622)</f>
        <v/>
      </c>
      <c r="I1622" s="9">
        <f>IF(D1622="USD",F1622*$N$1,F1622)</f>
        <v/>
      </c>
      <c r="J1622" s="9">
        <f>IF(D1622="USD",G1622*$N$1,G1622)</f>
        <v/>
      </c>
      <c r="K1622" s="9">
        <f>H1622+I1622</f>
        <v/>
      </c>
    </row>
    <row r="1623">
      <c r="A1623" s="8" t="n">
        <v>46206</v>
      </c>
      <c r="B1623" t="inlineStr">
        <is>
          <t>2026-W27</t>
        </is>
      </c>
      <c r="C1623" t="inlineStr">
        <is>
          <t>Nuvei</t>
        </is>
      </c>
      <c r="D1623" t="inlineStr">
        <is>
          <t>EUR</t>
        </is>
      </c>
      <c r="E1623" s="9" t="n">
        <v>0</v>
      </c>
      <c r="F1623" s="9" t="n">
        <v>0</v>
      </c>
      <c r="G1623" s="9" t="n">
        <v>-450389.07</v>
      </c>
      <c r="H1623" s="9">
        <f>IF(D1623="USD",E1623*$N$1,E1623)</f>
        <v/>
      </c>
      <c r="I1623" s="9">
        <f>IF(D1623="USD",F1623*$N$1,F1623)</f>
        <v/>
      </c>
      <c r="J1623" s="9">
        <f>IF(D1623="USD",G1623*$N$1,G1623)</f>
        <v/>
      </c>
      <c r="K1623" s="9">
        <f>H1623+I1623</f>
        <v/>
      </c>
    </row>
    <row r="1624">
      <c r="A1624" s="8" t="n">
        <v>46206</v>
      </c>
      <c r="B1624" t="inlineStr">
        <is>
          <t>2026-W27</t>
        </is>
      </c>
      <c r="C1624" t="inlineStr">
        <is>
          <t>Nuvei</t>
        </is>
      </c>
      <c r="D1624" t="inlineStr">
        <is>
          <t>EUR</t>
        </is>
      </c>
      <c r="E1624" s="9" t="n">
        <v>0</v>
      </c>
      <c r="F1624" s="9" t="n">
        <v>0</v>
      </c>
      <c r="G1624" s="9" t="n">
        <v>-48950.11</v>
      </c>
      <c r="H1624" s="9">
        <f>IF(D1624="USD",E1624*$N$1,E1624)</f>
        <v/>
      </c>
      <c r="I1624" s="9">
        <f>IF(D1624="USD",F1624*$N$1,F1624)</f>
        <v/>
      </c>
      <c r="J1624" s="9">
        <f>IF(D1624="USD",G1624*$N$1,G1624)</f>
        <v/>
      </c>
      <c r="K1624" s="9">
        <f>H1624+I1624</f>
        <v/>
      </c>
    </row>
    <row r="1625">
      <c r="A1625" s="8" t="n">
        <v>46206</v>
      </c>
      <c r="B1625" t="inlineStr">
        <is>
          <t>2026-W27</t>
        </is>
      </c>
      <c r="C1625" t="inlineStr">
        <is>
          <t>Nuvei</t>
        </is>
      </c>
      <c r="D1625" t="inlineStr">
        <is>
          <t>EUR</t>
        </is>
      </c>
      <c r="E1625" s="9" t="n">
        <v>267096.73</v>
      </c>
      <c r="F1625" s="9" t="n">
        <v>-5098.37</v>
      </c>
      <c r="G1625" s="9" t="n">
        <v>0</v>
      </c>
      <c r="H1625" s="9">
        <f>IF(D1625="USD",E1625*$N$1,E1625)</f>
        <v/>
      </c>
      <c r="I1625" s="9">
        <f>IF(D1625="USD",F1625*$N$1,F1625)</f>
        <v/>
      </c>
      <c r="J1625" s="9">
        <f>IF(D1625="USD",G1625*$N$1,G1625)</f>
        <v/>
      </c>
      <c r="K1625" s="9">
        <f>H1625+I1625</f>
        <v/>
      </c>
    </row>
    <row r="1626">
      <c r="A1626" s="8" t="n">
        <v>46206</v>
      </c>
      <c r="B1626" t="inlineStr">
        <is>
          <t>2026-W27</t>
        </is>
      </c>
      <c r="C1626" t="inlineStr">
        <is>
          <t>Nuvei</t>
        </is>
      </c>
      <c r="D1626" t="inlineStr">
        <is>
          <t>EUR</t>
        </is>
      </c>
      <c r="E1626" s="9" t="n">
        <v>244263.21</v>
      </c>
      <c r="F1626" s="9" t="n">
        <v>-6930.33</v>
      </c>
      <c r="G1626" s="9" t="n">
        <v>0</v>
      </c>
      <c r="H1626" s="9">
        <f>IF(D1626="USD",E1626*$N$1,E1626)</f>
        <v/>
      </c>
      <c r="I1626" s="9">
        <f>IF(D1626="USD",F1626*$N$1,F1626)</f>
        <v/>
      </c>
      <c r="J1626" s="9">
        <f>IF(D1626="USD",G1626*$N$1,G1626)</f>
        <v/>
      </c>
      <c r="K1626" s="9">
        <f>H1626+I1626</f>
        <v/>
      </c>
    </row>
    <row r="1627">
      <c r="A1627" s="8" t="n">
        <v>46206</v>
      </c>
      <c r="B1627" t="inlineStr">
        <is>
          <t>2026-W27</t>
        </is>
      </c>
      <c r="C1627" t="inlineStr">
        <is>
          <t>Nuvei</t>
        </is>
      </c>
      <c r="D1627" t="inlineStr">
        <is>
          <t>EUR</t>
        </is>
      </c>
      <c r="E1627" s="9" t="n">
        <v>693.04</v>
      </c>
      <c r="F1627" s="9" t="n">
        <v>-16.12</v>
      </c>
      <c r="G1627" s="9" t="n">
        <v>0</v>
      </c>
      <c r="H1627" s="9">
        <f>IF(D1627="USD",E1627*$N$1,E1627)</f>
        <v/>
      </c>
      <c r="I1627" s="9">
        <f>IF(D1627="USD",F1627*$N$1,F1627)</f>
        <v/>
      </c>
      <c r="J1627" s="9">
        <f>IF(D1627="USD",G1627*$N$1,G1627)</f>
        <v/>
      </c>
      <c r="K1627" s="9">
        <f>H1627+I1627</f>
        <v/>
      </c>
    </row>
    <row r="1628">
      <c r="A1628" s="8" t="n">
        <v>46206</v>
      </c>
      <c r="B1628" t="inlineStr">
        <is>
          <t>2026-W27</t>
        </is>
      </c>
      <c r="C1628" t="inlineStr">
        <is>
          <t>Nuvei</t>
        </is>
      </c>
      <c r="D1628" t="inlineStr">
        <is>
          <t>USD</t>
        </is>
      </c>
      <c r="E1628" s="9" t="n">
        <v>13713.7</v>
      </c>
      <c r="F1628" s="9" t="n">
        <v>-403.93</v>
      </c>
      <c r="G1628" s="9" t="n">
        <v>0</v>
      </c>
      <c r="H1628" s="9">
        <f>IF(D1628="USD",E1628*$N$1,E1628)</f>
        <v/>
      </c>
      <c r="I1628" s="9">
        <f>IF(D1628="USD",F1628*$N$1,F1628)</f>
        <v/>
      </c>
      <c r="J1628" s="9">
        <f>IF(D1628="USD",G1628*$N$1,G1628)</f>
        <v/>
      </c>
      <c r="K1628" s="9">
        <f>H1628+I1628</f>
        <v/>
      </c>
    </row>
    <row r="1629">
      <c r="A1629" s="8" t="n">
        <v>46206</v>
      </c>
      <c r="B1629" t="inlineStr">
        <is>
          <t>2026-W27</t>
        </is>
      </c>
      <c r="C1629" t="inlineStr">
        <is>
          <t>Paysafe</t>
        </is>
      </c>
      <c r="D1629" t="inlineStr">
        <is>
          <t>EUR</t>
        </is>
      </c>
      <c r="E1629" s="9" t="n">
        <v>149702.38</v>
      </c>
      <c r="F1629" s="9" t="n">
        <v>0</v>
      </c>
      <c r="G1629" s="9" t="n">
        <v>0</v>
      </c>
      <c r="H1629" s="9">
        <f>IF(D1629="USD",E1629*$N$1,E1629)</f>
        <v/>
      </c>
      <c r="I1629" s="9">
        <f>IF(D1629="USD",F1629*$N$1,F1629)</f>
        <v/>
      </c>
      <c r="J1629" s="9">
        <f>IF(D1629="USD",G1629*$N$1,G1629)</f>
        <v/>
      </c>
      <c r="K1629" s="9">
        <f>H1629+I1629</f>
        <v/>
      </c>
    </row>
    <row r="1630">
      <c r="A1630" s="8" t="n">
        <v>46206</v>
      </c>
      <c r="B1630" t="inlineStr">
        <is>
          <t>2026-W27</t>
        </is>
      </c>
      <c r="C1630" t="inlineStr">
        <is>
          <t>Paysafe</t>
        </is>
      </c>
      <c r="D1630" t="inlineStr">
        <is>
          <t>EUR</t>
        </is>
      </c>
      <c r="E1630" s="9" t="n">
        <v>0</v>
      </c>
      <c r="F1630" s="9" t="n">
        <v>-1579.37</v>
      </c>
      <c r="G1630" s="9" t="n">
        <v>-88978.19</v>
      </c>
      <c r="H1630" s="9">
        <f>IF(D1630="USD",E1630*$N$1,E1630)</f>
        <v/>
      </c>
      <c r="I1630" s="9">
        <f>IF(D1630="USD",F1630*$N$1,F1630)</f>
        <v/>
      </c>
      <c r="J1630" s="9">
        <f>IF(D1630="USD",G1630*$N$1,G1630)</f>
        <v/>
      </c>
      <c r="K1630" s="9">
        <f>H1630+I1630</f>
        <v/>
      </c>
    </row>
    <row r="1631">
      <c r="A1631" s="8" t="n">
        <v>46206</v>
      </c>
      <c r="B1631" t="inlineStr">
        <is>
          <t>2026-W27</t>
        </is>
      </c>
      <c r="C1631" t="inlineStr">
        <is>
          <t>Shift4</t>
        </is>
      </c>
      <c r="D1631" t="inlineStr">
        <is>
          <t>EUR</t>
        </is>
      </c>
      <c r="E1631" s="9" t="n">
        <v>0</v>
      </c>
      <c r="F1631" s="9" t="n">
        <v>0</v>
      </c>
      <c r="G1631" s="9" t="n">
        <v>-478108.85</v>
      </c>
      <c r="H1631" s="9">
        <f>IF(D1631="USD",E1631*$N$1,E1631)</f>
        <v/>
      </c>
      <c r="I1631" s="9">
        <f>IF(D1631="USD",F1631*$N$1,F1631)</f>
        <v/>
      </c>
      <c r="J1631" s="9">
        <f>IF(D1631="USD",G1631*$N$1,G1631)</f>
        <v/>
      </c>
      <c r="K1631" s="9">
        <f>H1631+I1631</f>
        <v/>
      </c>
    </row>
    <row r="1632">
      <c r="A1632" s="8" t="n">
        <v>46206</v>
      </c>
      <c r="B1632" t="inlineStr">
        <is>
          <t>2026-W27</t>
        </is>
      </c>
      <c r="C1632" t="inlineStr">
        <is>
          <t>Shift4</t>
        </is>
      </c>
      <c r="D1632" t="inlineStr">
        <is>
          <t>EUR</t>
        </is>
      </c>
      <c r="E1632" s="9" t="n">
        <v>333158.9</v>
      </c>
      <c r="F1632" s="9" t="n">
        <v>-4071.01</v>
      </c>
      <c r="G1632" s="9" t="n">
        <v>0</v>
      </c>
      <c r="H1632" s="9">
        <f>IF(D1632="USD",E1632*$N$1,E1632)</f>
        <v/>
      </c>
      <c r="I1632" s="9">
        <f>IF(D1632="USD",F1632*$N$1,F1632)</f>
        <v/>
      </c>
      <c r="J1632" s="9">
        <f>IF(D1632="USD",G1632*$N$1,G1632)</f>
        <v/>
      </c>
      <c r="K1632" s="9">
        <f>H1632+I1632</f>
        <v/>
      </c>
    </row>
    <row r="1633">
      <c r="A1633" s="8" t="n">
        <v>46207</v>
      </c>
      <c r="B1633" t="inlineStr">
        <is>
          <t>2026-W27</t>
        </is>
      </c>
      <c r="C1633" t="inlineStr">
        <is>
          <t>Adyen</t>
        </is>
      </c>
      <c r="D1633" t="inlineStr">
        <is>
          <t>EUR</t>
        </is>
      </c>
      <c r="E1633" s="9" t="n">
        <v>621629.1899999999</v>
      </c>
      <c r="F1633" s="9" t="n">
        <v>0</v>
      </c>
      <c r="G1633" s="9" t="n">
        <v>0</v>
      </c>
      <c r="H1633" s="9">
        <f>IF(D1633="USD",E1633*$N$1,E1633)</f>
        <v/>
      </c>
      <c r="I1633" s="9">
        <f>IF(D1633="USD",F1633*$N$1,F1633)</f>
        <v/>
      </c>
      <c r="J1633" s="9">
        <f>IF(D1633="USD",G1633*$N$1,G1633)</f>
        <v/>
      </c>
      <c r="K1633" s="9">
        <f>H1633+I1633</f>
        <v/>
      </c>
    </row>
    <row r="1634">
      <c r="A1634" s="8" t="n">
        <v>46207</v>
      </c>
      <c r="B1634" t="inlineStr">
        <is>
          <t>2026-W27</t>
        </is>
      </c>
      <c r="C1634" t="inlineStr">
        <is>
          <t>Adyen</t>
        </is>
      </c>
      <c r="D1634" t="inlineStr">
        <is>
          <t>EUR</t>
        </is>
      </c>
      <c r="E1634" s="9" t="n">
        <v>138964.37</v>
      </c>
      <c r="F1634" s="9" t="n">
        <v>0</v>
      </c>
      <c r="G1634" s="9" t="n">
        <v>0</v>
      </c>
      <c r="H1634" s="9">
        <f>IF(D1634="USD",E1634*$N$1,E1634)</f>
        <v/>
      </c>
      <c r="I1634" s="9">
        <f>IF(D1634="USD",F1634*$N$1,F1634)</f>
        <v/>
      </c>
      <c r="J1634" s="9">
        <f>IF(D1634="USD",G1634*$N$1,G1634)</f>
        <v/>
      </c>
      <c r="K1634" s="9">
        <f>H1634+I1634</f>
        <v/>
      </c>
    </row>
    <row r="1635">
      <c r="A1635" s="8" t="n">
        <v>46207</v>
      </c>
      <c r="B1635" t="inlineStr">
        <is>
          <t>2026-W27</t>
        </is>
      </c>
      <c r="C1635" t="inlineStr">
        <is>
          <t>Nuvei</t>
        </is>
      </c>
      <c r="D1635" t="inlineStr">
        <is>
          <t>EUR</t>
        </is>
      </c>
      <c r="E1635" s="9" t="n">
        <v>188146.55</v>
      </c>
      <c r="F1635" s="9" t="n">
        <v>-3604.09</v>
      </c>
      <c r="G1635" s="9" t="n">
        <v>0</v>
      </c>
      <c r="H1635" s="9">
        <f>IF(D1635="USD",E1635*$N$1,E1635)</f>
        <v/>
      </c>
      <c r="I1635" s="9">
        <f>IF(D1635="USD",F1635*$N$1,F1635)</f>
        <v/>
      </c>
      <c r="J1635" s="9">
        <f>IF(D1635="USD",G1635*$N$1,G1635)</f>
        <v/>
      </c>
      <c r="K1635" s="9">
        <f>H1635+I1635</f>
        <v/>
      </c>
    </row>
    <row r="1636">
      <c r="A1636" s="8" t="n">
        <v>46207</v>
      </c>
      <c r="B1636" t="inlineStr">
        <is>
          <t>2026-W27</t>
        </is>
      </c>
      <c r="C1636" t="inlineStr">
        <is>
          <t>Nuvei</t>
        </is>
      </c>
      <c r="D1636" t="inlineStr">
        <is>
          <t>EUR</t>
        </is>
      </c>
      <c r="E1636" s="9" t="n">
        <v>220801.33</v>
      </c>
      <c r="F1636" s="9" t="n">
        <v>-6339.47</v>
      </c>
      <c r="G1636" s="9" t="n">
        <v>0</v>
      </c>
      <c r="H1636" s="9">
        <f>IF(D1636="USD",E1636*$N$1,E1636)</f>
        <v/>
      </c>
      <c r="I1636" s="9">
        <f>IF(D1636="USD",F1636*$N$1,F1636)</f>
        <v/>
      </c>
      <c r="J1636" s="9">
        <f>IF(D1636="USD",G1636*$N$1,G1636)</f>
        <v/>
      </c>
      <c r="K1636" s="9">
        <f>H1636+I1636</f>
        <v/>
      </c>
    </row>
    <row r="1637">
      <c r="A1637" s="8" t="n">
        <v>46207</v>
      </c>
      <c r="B1637" t="inlineStr">
        <is>
          <t>2026-W27</t>
        </is>
      </c>
      <c r="C1637" t="inlineStr">
        <is>
          <t>Nuvei</t>
        </is>
      </c>
      <c r="D1637" t="inlineStr">
        <is>
          <t>USD</t>
        </is>
      </c>
      <c r="E1637" s="9" t="n">
        <v>12893.5</v>
      </c>
      <c r="F1637" s="9" t="n">
        <v>-358.14</v>
      </c>
      <c r="G1637" s="9" t="n">
        <v>0</v>
      </c>
      <c r="H1637" s="9">
        <f>IF(D1637="USD",E1637*$N$1,E1637)</f>
        <v/>
      </c>
      <c r="I1637" s="9">
        <f>IF(D1637="USD",F1637*$N$1,F1637)</f>
        <v/>
      </c>
      <c r="J1637" s="9">
        <f>IF(D1637="USD",G1637*$N$1,G1637)</f>
        <v/>
      </c>
      <c r="K1637" s="9">
        <f>H1637+I1637</f>
        <v/>
      </c>
    </row>
    <row r="1638">
      <c r="A1638" s="8" t="n">
        <v>46207</v>
      </c>
      <c r="B1638" t="inlineStr">
        <is>
          <t>2026-W27</t>
        </is>
      </c>
      <c r="C1638" t="inlineStr">
        <is>
          <t>Paysafe</t>
        </is>
      </c>
      <c r="D1638" t="inlineStr">
        <is>
          <t>EUR</t>
        </is>
      </c>
      <c r="E1638" s="9" t="n">
        <v>125391.4199999998</v>
      </c>
      <c r="F1638" s="9" t="n">
        <v>0</v>
      </c>
      <c r="G1638" s="9" t="n">
        <v>0</v>
      </c>
      <c r="H1638" s="9">
        <f>IF(D1638="USD",E1638*$N$1,E1638)</f>
        <v/>
      </c>
      <c r="I1638" s="9">
        <f>IF(D1638="USD",F1638*$N$1,F1638)</f>
        <v/>
      </c>
      <c r="J1638" s="9">
        <f>IF(D1638="USD",G1638*$N$1,G1638)</f>
        <v/>
      </c>
      <c r="K1638" s="9">
        <f>H1638+I1638</f>
        <v/>
      </c>
    </row>
    <row r="1639">
      <c r="A1639" s="8" t="n">
        <v>46207</v>
      </c>
      <c r="B1639" t="inlineStr">
        <is>
          <t>2026-W27</t>
        </is>
      </c>
      <c r="C1639" t="inlineStr">
        <is>
          <t>Paysafe</t>
        </is>
      </c>
      <c r="D1639" t="inlineStr">
        <is>
          <t>EUR</t>
        </is>
      </c>
      <c r="E1639" s="9" t="n">
        <v>0</v>
      </c>
      <c r="F1639" s="9" t="n">
        <v>0</v>
      </c>
      <c r="G1639" s="9" t="n">
        <v>0</v>
      </c>
      <c r="H1639" s="9">
        <f>IF(D1639="USD",E1639*$N$1,E1639)</f>
        <v/>
      </c>
      <c r="I1639" s="9">
        <f>IF(D1639="USD",F1639*$N$1,F1639)</f>
        <v/>
      </c>
      <c r="J1639" s="9">
        <f>IF(D1639="USD",G1639*$N$1,G1639)</f>
        <v/>
      </c>
      <c r="K1639" s="9">
        <f>H1639+I1639</f>
        <v/>
      </c>
    </row>
    <row r="1640">
      <c r="A1640" s="8" t="n">
        <v>46207</v>
      </c>
      <c r="B1640" t="inlineStr">
        <is>
          <t>2026-W27</t>
        </is>
      </c>
      <c r="C1640" t="inlineStr">
        <is>
          <t>Shift4</t>
        </is>
      </c>
      <c r="D1640" t="inlineStr">
        <is>
          <t>EUR</t>
        </is>
      </c>
      <c r="E1640" s="9" t="n">
        <v>270696.79</v>
      </c>
      <c r="F1640" s="9" t="n">
        <v>-2926.14</v>
      </c>
      <c r="G1640" s="9" t="n">
        <v>0</v>
      </c>
      <c r="H1640" s="9">
        <f>IF(D1640="USD",E1640*$N$1,E1640)</f>
        <v/>
      </c>
      <c r="I1640" s="9">
        <f>IF(D1640="USD",F1640*$N$1,F1640)</f>
        <v/>
      </c>
      <c r="J1640" s="9">
        <f>IF(D1640="USD",G1640*$N$1,G1640)</f>
        <v/>
      </c>
      <c r="K1640" s="9">
        <f>H1640+I1640</f>
        <v/>
      </c>
    </row>
    <row r="1641">
      <c r="A1641" s="8" t="n">
        <v>46208</v>
      </c>
      <c r="B1641" t="inlineStr">
        <is>
          <t>2026-W27</t>
        </is>
      </c>
      <c r="C1641" t="inlineStr">
        <is>
          <t>Adyen</t>
        </is>
      </c>
      <c r="D1641" t="inlineStr">
        <is>
          <t>EUR</t>
        </is>
      </c>
      <c r="E1641" s="9" t="n">
        <v>649756.84</v>
      </c>
      <c r="F1641" s="9" t="n">
        <v>0</v>
      </c>
      <c r="G1641" s="9" t="n">
        <v>0</v>
      </c>
      <c r="H1641" s="9">
        <f>IF(D1641="USD",E1641*$N$1,E1641)</f>
        <v/>
      </c>
      <c r="I1641" s="9">
        <f>IF(D1641="USD",F1641*$N$1,F1641)</f>
        <v/>
      </c>
      <c r="J1641" s="9">
        <f>IF(D1641="USD",G1641*$N$1,G1641)</f>
        <v/>
      </c>
      <c r="K1641" s="9">
        <f>H1641+I1641</f>
        <v/>
      </c>
    </row>
    <row r="1642">
      <c r="A1642" s="8" t="n">
        <v>46208</v>
      </c>
      <c r="B1642" t="inlineStr">
        <is>
          <t>2026-W27</t>
        </is>
      </c>
      <c r="C1642" t="inlineStr">
        <is>
          <t>Adyen</t>
        </is>
      </c>
      <c r="D1642" t="inlineStr">
        <is>
          <t>EUR</t>
        </is>
      </c>
      <c r="E1642" s="9" t="n">
        <v>118489.18</v>
      </c>
      <c r="F1642" s="9" t="n">
        <v>0</v>
      </c>
      <c r="G1642" s="9" t="n">
        <v>0</v>
      </c>
      <c r="H1642" s="9">
        <f>IF(D1642="USD",E1642*$N$1,E1642)</f>
        <v/>
      </c>
      <c r="I1642" s="9">
        <f>IF(D1642="USD",F1642*$N$1,F1642)</f>
        <v/>
      </c>
      <c r="J1642" s="9">
        <f>IF(D1642="USD",G1642*$N$1,G1642)</f>
        <v/>
      </c>
      <c r="K1642" s="9">
        <f>H1642+I1642</f>
        <v/>
      </c>
    </row>
    <row r="1643">
      <c r="A1643" s="8" t="n">
        <v>46208</v>
      </c>
      <c r="B1643" t="inlineStr">
        <is>
          <t>2026-W27</t>
        </is>
      </c>
      <c r="C1643" t="inlineStr">
        <is>
          <t>Nuvei</t>
        </is>
      </c>
      <c r="D1643" t="inlineStr">
        <is>
          <t>EUR</t>
        </is>
      </c>
      <c r="E1643" s="9" t="n">
        <v>201022.76</v>
      </c>
      <c r="F1643" s="9" t="n">
        <v>-3702</v>
      </c>
      <c r="G1643" s="9" t="n">
        <v>0</v>
      </c>
      <c r="H1643" s="9">
        <f>IF(D1643="USD",E1643*$N$1,E1643)</f>
        <v/>
      </c>
      <c r="I1643" s="9">
        <f>IF(D1643="USD",F1643*$N$1,F1643)</f>
        <v/>
      </c>
      <c r="J1643" s="9">
        <f>IF(D1643="USD",G1643*$N$1,G1643)</f>
        <v/>
      </c>
      <c r="K1643" s="9">
        <f>H1643+I1643</f>
        <v/>
      </c>
    </row>
    <row r="1644">
      <c r="A1644" s="8" t="n">
        <v>46208</v>
      </c>
      <c r="B1644" t="inlineStr">
        <is>
          <t>2026-W27</t>
        </is>
      </c>
      <c r="C1644" t="inlineStr">
        <is>
          <t>Nuvei</t>
        </is>
      </c>
      <c r="D1644" t="inlineStr">
        <is>
          <t>EUR</t>
        </is>
      </c>
      <c r="E1644" s="9" t="n">
        <v>213479.84</v>
      </c>
      <c r="F1644" s="9" t="n">
        <v>-6201.07</v>
      </c>
      <c r="G1644" s="9" t="n">
        <v>0</v>
      </c>
      <c r="H1644" s="9">
        <f>IF(D1644="USD",E1644*$N$1,E1644)</f>
        <v/>
      </c>
      <c r="I1644" s="9">
        <f>IF(D1644="USD",F1644*$N$1,F1644)</f>
        <v/>
      </c>
      <c r="J1644" s="9">
        <f>IF(D1644="USD",G1644*$N$1,G1644)</f>
        <v/>
      </c>
      <c r="K1644" s="9">
        <f>H1644+I1644</f>
        <v/>
      </c>
    </row>
    <row r="1645">
      <c r="A1645" s="8" t="n">
        <v>46208</v>
      </c>
      <c r="B1645" t="inlineStr">
        <is>
          <t>2026-W27</t>
        </is>
      </c>
      <c r="C1645" t="inlineStr">
        <is>
          <t>Nuvei</t>
        </is>
      </c>
      <c r="D1645" t="inlineStr">
        <is>
          <t>USD</t>
        </is>
      </c>
      <c r="E1645" s="9" t="n">
        <v>9370.4</v>
      </c>
      <c r="F1645" s="9" t="n">
        <v>-243.95</v>
      </c>
      <c r="G1645" s="9" t="n">
        <v>0</v>
      </c>
      <c r="H1645" s="9">
        <f>IF(D1645="USD",E1645*$N$1,E1645)</f>
        <v/>
      </c>
      <c r="I1645" s="9">
        <f>IF(D1645="USD",F1645*$N$1,F1645)</f>
        <v/>
      </c>
      <c r="J1645" s="9">
        <f>IF(D1645="USD",G1645*$N$1,G1645)</f>
        <v/>
      </c>
      <c r="K1645" s="9">
        <f>H1645+I1645</f>
        <v/>
      </c>
    </row>
    <row r="1646">
      <c r="A1646" s="8" t="n">
        <v>46208</v>
      </c>
      <c r="B1646" t="inlineStr">
        <is>
          <t>2026-W27</t>
        </is>
      </c>
      <c r="C1646" t="inlineStr">
        <is>
          <t>Paysafe</t>
        </is>
      </c>
      <c r="D1646" t="inlineStr">
        <is>
          <t>EUR</t>
        </is>
      </c>
      <c r="E1646" s="9" t="n">
        <v>145271.71</v>
      </c>
      <c r="F1646" s="9" t="n">
        <v>0</v>
      </c>
      <c r="G1646" s="9" t="n">
        <v>0</v>
      </c>
      <c r="H1646" s="9">
        <f>IF(D1646="USD",E1646*$N$1,E1646)</f>
        <v/>
      </c>
      <c r="I1646" s="9">
        <f>IF(D1646="USD",F1646*$N$1,F1646)</f>
        <v/>
      </c>
      <c r="J1646" s="9">
        <f>IF(D1646="USD",G1646*$N$1,G1646)</f>
        <v/>
      </c>
      <c r="K1646" s="9">
        <f>H1646+I1646</f>
        <v/>
      </c>
    </row>
    <row r="1647">
      <c r="A1647" s="8" t="n">
        <v>46208</v>
      </c>
      <c r="B1647" t="inlineStr">
        <is>
          <t>2026-W27</t>
        </is>
      </c>
      <c r="C1647" t="inlineStr">
        <is>
          <t>Paysafe</t>
        </is>
      </c>
      <c r="D1647" t="inlineStr">
        <is>
          <t>EUR</t>
        </is>
      </c>
      <c r="E1647" s="9" t="n">
        <v>0</v>
      </c>
      <c r="F1647" s="9" t="n">
        <v>0</v>
      </c>
      <c r="G1647" s="9" t="n">
        <v>0</v>
      </c>
      <c r="H1647" s="9">
        <f>IF(D1647="USD",E1647*$N$1,E1647)</f>
        <v/>
      </c>
      <c r="I1647" s="9">
        <f>IF(D1647="USD",F1647*$N$1,F1647)</f>
        <v/>
      </c>
      <c r="J1647" s="9">
        <f>IF(D1647="USD",G1647*$N$1,G1647)</f>
        <v/>
      </c>
      <c r="K1647" s="9">
        <f>H1647+I1647</f>
        <v/>
      </c>
    </row>
    <row r="1648">
      <c r="A1648" s="8" t="n">
        <v>46208</v>
      </c>
      <c r="B1648" t="inlineStr">
        <is>
          <t>2026-W27</t>
        </is>
      </c>
      <c r="C1648" t="inlineStr">
        <is>
          <t>Shift4</t>
        </is>
      </c>
      <c r="D1648" t="inlineStr">
        <is>
          <t>EUR</t>
        </is>
      </c>
      <c r="E1648" s="9" t="n">
        <v>333569.35</v>
      </c>
      <c r="F1648" s="9" t="n">
        <v>-3479.29</v>
      </c>
      <c r="G1648" s="9" t="n">
        <v>0</v>
      </c>
      <c r="H1648" s="9">
        <f>IF(D1648="USD",E1648*$N$1,E1648)</f>
        <v/>
      </c>
      <c r="I1648" s="9">
        <f>IF(D1648="USD",F1648*$N$1,F1648)</f>
        <v/>
      </c>
      <c r="J1648" s="9">
        <f>IF(D1648="USD",G1648*$N$1,G1648)</f>
        <v/>
      </c>
      <c r="K1648" s="9">
        <f>H1648+I1648</f>
        <v/>
      </c>
    </row>
    <row r="1649">
      <c r="A1649" s="8" t="n">
        <v>46209</v>
      </c>
      <c r="B1649" t="inlineStr">
        <is>
          <t>2026-W28</t>
        </is>
      </c>
      <c r="C1649" t="inlineStr">
        <is>
          <t>Adyen</t>
        </is>
      </c>
      <c r="D1649" t="inlineStr">
        <is>
          <t>EUR</t>
        </is>
      </c>
      <c r="E1649" s="9" t="n">
        <v>0</v>
      </c>
      <c r="F1649" s="9" t="n">
        <v>0</v>
      </c>
      <c r="G1649" s="9" t="n">
        <v>-845386.0600000001</v>
      </c>
      <c r="H1649" s="9">
        <f>IF(D1649="USD",E1649*$N$1,E1649)</f>
        <v/>
      </c>
      <c r="I1649" s="9">
        <f>IF(D1649="USD",F1649*$N$1,F1649)</f>
        <v/>
      </c>
      <c r="J1649" s="9">
        <f>IF(D1649="USD",G1649*$N$1,G1649)</f>
        <v/>
      </c>
      <c r="K1649" s="9">
        <f>H1649+I1649</f>
        <v/>
      </c>
    </row>
    <row r="1650">
      <c r="A1650" s="8" t="n">
        <v>46209</v>
      </c>
      <c r="B1650" t="inlineStr">
        <is>
          <t>2026-W28</t>
        </is>
      </c>
      <c r="C1650" t="inlineStr">
        <is>
          <t>Adyen</t>
        </is>
      </c>
      <c r="D1650" t="inlineStr">
        <is>
          <t>EUR</t>
        </is>
      </c>
      <c r="E1650" s="9" t="n">
        <v>976335.8100000001</v>
      </c>
      <c r="F1650" s="9" t="n">
        <v>-11402.39000000013</v>
      </c>
      <c r="G1650" s="9" t="n">
        <v>0</v>
      </c>
      <c r="H1650" s="9">
        <f>IF(D1650="USD",E1650*$N$1,E1650)</f>
        <v/>
      </c>
      <c r="I1650" s="9">
        <f>IF(D1650="USD",F1650*$N$1,F1650)</f>
        <v/>
      </c>
      <c r="J1650" s="9">
        <f>IF(D1650="USD",G1650*$N$1,G1650)</f>
        <v/>
      </c>
      <c r="K1650" s="9">
        <f>H1650+I1650</f>
        <v/>
      </c>
    </row>
    <row r="1651">
      <c r="A1651" s="8" t="n">
        <v>46209</v>
      </c>
      <c r="B1651" t="inlineStr">
        <is>
          <t>2026-W28</t>
        </is>
      </c>
      <c r="C1651" t="inlineStr">
        <is>
          <t>Adyen</t>
        </is>
      </c>
      <c r="D1651" t="inlineStr">
        <is>
          <t>EUR</t>
        </is>
      </c>
      <c r="E1651" s="9" t="n">
        <v>182674.1</v>
      </c>
      <c r="F1651" s="9" t="n">
        <v>0</v>
      </c>
      <c r="G1651" s="9" t="n">
        <v>0</v>
      </c>
      <c r="H1651" s="9">
        <f>IF(D1651="USD",E1651*$N$1,E1651)</f>
        <v/>
      </c>
      <c r="I1651" s="9">
        <f>IF(D1651="USD",F1651*$N$1,F1651)</f>
        <v/>
      </c>
      <c r="J1651" s="9">
        <f>IF(D1651="USD",G1651*$N$1,G1651)</f>
        <v/>
      </c>
      <c r="K1651" s="9">
        <f>H1651+I1651</f>
        <v/>
      </c>
    </row>
    <row r="1652">
      <c r="A1652" s="8" t="n">
        <v>46209</v>
      </c>
      <c r="B1652" t="inlineStr">
        <is>
          <t>2026-W28</t>
        </is>
      </c>
      <c r="C1652" t="inlineStr">
        <is>
          <t>Nuvei</t>
        </is>
      </c>
      <c r="D1652" t="inlineStr">
        <is>
          <t>EUR</t>
        </is>
      </c>
      <c r="E1652" s="9" t="n">
        <v>0</v>
      </c>
      <c r="F1652" s="9" t="n">
        <v>0</v>
      </c>
      <c r="G1652" s="9" t="n">
        <v>-349855.22</v>
      </c>
      <c r="H1652" s="9">
        <f>IF(D1652="USD",E1652*$N$1,E1652)</f>
        <v/>
      </c>
      <c r="I1652" s="9">
        <f>IF(D1652="USD",F1652*$N$1,F1652)</f>
        <v/>
      </c>
      <c r="J1652" s="9">
        <f>IF(D1652="USD",G1652*$N$1,G1652)</f>
        <v/>
      </c>
      <c r="K1652" s="9">
        <f>H1652+I1652</f>
        <v/>
      </c>
    </row>
    <row r="1653">
      <c r="A1653" s="8" t="n">
        <v>46209</v>
      </c>
      <c r="B1653" t="inlineStr">
        <is>
          <t>2026-W28</t>
        </is>
      </c>
      <c r="C1653" t="inlineStr">
        <is>
          <t>Nuvei</t>
        </is>
      </c>
      <c r="D1653" t="inlineStr">
        <is>
          <t>EUR</t>
        </is>
      </c>
      <c r="E1653" s="9" t="n">
        <v>0</v>
      </c>
      <c r="F1653" s="9" t="n">
        <v>0</v>
      </c>
      <c r="G1653" s="9" t="n">
        <v>-38681.53</v>
      </c>
      <c r="H1653" s="9">
        <f>IF(D1653="USD",E1653*$N$1,E1653)</f>
        <v/>
      </c>
      <c r="I1653" s="9">
        <f>IF(D1653="USD",F1653*$N$1,F1653)</f>
        <v/>
      </c>
      <c r="J1653" s="9">
        <f>IF(D1653="USD",G1653*$N$1,G1653)</f>
        <v/>
      </c>
      <c r="K1653" s="9">
        <f>H1653+I1653</f>
        <v/>
      </c>
    </row>
    <row r="1654">
      <c r="A1654" s="8" t="n">
        <v>46209</v>
      </c>
      <c r="B1654" t="inlineStr">
        <is>
          <t>2026-W28</t>
        </is>
      </c>
      <c r="C1654" t="inlineStr">
        <is>
          <t>Nuvei</t>
        </is>
      </c>
      <c r="D1654" t="inlineStr">
        <is>
          <t>EUR</t>
        </is>
      </c>
      <c r="E1654" s="9" t="n">
        <v>287070.65</v>
      </c>
      <c r="F1654" s="9" t="n">
        <v>-5712.39</v>
      </c>
      <c r="G1654" s="9" t="n">
        <v>0</v>
      </c>
      <c r="H1654" s="9">
        <f>IF(D1654="USD",E1654*$N$1,E1654)</f>
        <v/>
      </c>
      <c r="I1654" s="9">
        <f>IF(D1654="USD",F1654*$N$1,F1654)</f>
        <v/>
      </c>
      <c r="J1654" s="9">
        <f>IF(D1654="USD",G1654*$N$1,G1654)</f>
        <v/>
      </c>
      <c r="K1654" s="9">
        <f>H1654+I1654</f>
        <v/>
      </c>
    </row>
    <row r="1655">
      <c r="A1655" s="8" t="n">
        <v>46209</v>
      </c>
      <c r="B1655" t="inlineStr">
        <is>
          <t>2026-W28</t>
        </is>
      </c>
      <c r="C1655" t="inlineStr">
        <is>
          <t>Nuvei</t>
        </is>
      </c>
      <c r="D1655" t="inlineStr">
        <is>
          <t>EUR</t>
        </is>
      </c>
      <c r="E1655" s="9" t="n">
        <v>268827.88</v>
      </c>
      <c r="F1655" s="9" t="n">
        <v>-7534.54</v>
      </c>
      <c r="G1655" s="9" t="n">
        <v>0</v>
      </c>
      <c r="H1655" s="9">
        <f>IF(D1655="USD",E1655*$N$1,E1655)</f>
        <v/>
      </c>
      <c r="I1655" s="9">
        <f>IF(D1655="USD",F1655*$N$1,F1655)</f>
        <v/>
      </c>
      <c r="J1655" s="9">
        <f>IF(D1655="USD",G1655*$N$1,G1655)</f>
        <v/>
      </c>
      <c r="K1655" s="9">
        <f>H1655+I1655</f>
        <v/>
      </c>
    </row>
    <row r="1656">
      <c r="A1656" s="8" t="n">
        <v>46209</v>
      </c>
      <c r="B1656" t="inlineStr">
        <is>
          <t>2026-W28</t>
        </is>
      </c>
      <c r="C1656" t="inlineStr">
        <is>
          <t>Nuvei</t>
        </is>
      </c>
      <c r="D1656" t="inlineStr">
        <is>
          <t>USD</t>
        </is>
      </c>
      <c r="E1656" s="9" t="n">
        <v>12505.5</v>
      </c>
      <c r="F1656" s="9" t="n">
        <v>-341.79</v>
      </c>
      <c r="G1656" s="9" t="n">
        <v>0</v>
      </c>
      <c r="H1656" s="9">
        <f>IF(D1656="USD",E1656*$N$1,E1656)</f>
        <v/>
      </c>
      <c r="I1656" s="9">
        <f>IF(D1656="USD",F1656*$N$1,F1656)</f>
        <v/>
      </c>
      <c r="J1656" s="9">
        <f>IF(D1656="USD",G1656*$N$1,G1656)</f>
        <v/>
      </c>
      <c r="K1656" s="9">
        <f>H1656+I1656</f>
        <v/>
      </c>
    </row>
    <row r="1657">
      <c r="A1657" s="8" t="n">
        <v>46209</v>
      </c>
      <c r="B1657" t="inlineStr">
        <is>
          <t>2026-W28</t>
        </is>
      </c>
      <c r="C1657" t="inlineStr">
        <is>
          <t>Paysafe</t>
        </is>
      </c>
      <c r="D1657" t="inlineStr">
        <is>
          <t>EUR</t>
        </is>
      </c>
      <c r="E1657" s="9" t="n">
        <v>177639.11</v>
      </c>
      <c r="F1657" s="9" t="n">
        <v>0</v>
      </c>
      <c r="G1657" s="9" t="n">
        <v>0</v>
      </c>
      <c r="H1657" s="9">
        <f>IF(D1657="USD",E1657*$N$1,E1657)</f>
        <v/>
      </c>
      <c r="I1657" s="9">
        <f>IF(D1657="USD",F1657*$N$1,F1657)</f>
        <v/>
      </c>
      <c r="J1657" s="9">
        <f>IF(D1657="USD",G1657*$N$1,G1657)</f>
        <v/>
      </c>
      <c r="K1657" s="9">
        <f>H1657+I1657</f>
        <v/>
      </c>
    </row>
    <row r="1658">
      <c r="A1658" s="8" t="n">
        <v>46209</v>
      </c>
      <c r="B1658" t="inlineStr">
        <is>
          <t>2026-W28</t>
        </is>
      </c>
      <c r="C1658" t="inlineStr">
        <is>
          <t>Paysafe</t>
        </is>
      </c>
      <c r="D1658" t="inlineStr">
        <is>
          <t>EUR</t>
        </is>
      </c>
      <c r="E1658" s="9" t="n">
        <v>0</v>
      </c>
      <c r="F1658" s="9" t="n">
        <v>-7132.190000000001</v>
      </c>
      <c r="G1658" s="9" t="n">
        <v>-405418.09</v>
      </c>
      <c r="H1658" s="9">
        <f>IF(D1658="USD",E1658*$N$1,E1658)</f>
        <v/>
      </c>
      <c r="I1658" s="9">
        <f>IF(D1658="USD",F1658*$N$1,F1658)</f>
        <v/>
      </c>
      <c r="J1658" s="9">
        <f>IF(D1658="USD",G1658*$N$1,G1658)</f>
        <v/>
      </c>
      <c r="K1658" s="9">
        <f>H1658+I1658</f>
        <v/>
      </c>
    </row>
    <row r="1659">
      <c r="A1659" s="8" t="n">
        <v>46209</v>
      </c>
      <c r="B1659" t="inlineStr">
        <is>
          <t>2026-W28</t>
        </is>
      </c>
      <c r="C1659" t="inlineStr">
        <is>
          <t>Shift4</t>
        </is>
      </c>
      <c r="D1659" t="inlineStr">
        <is>
          <t>EUR</t>
        </is>
      </c>
      <c r="E1659" s="9" t="n">
        <v>0</v>
      </c>
      <c r="F1659" s="9" t="n">
        <v>0</v>
      </c>
      <c r="G1659" s="9" t="n">
        <v>-498702.15</v>
      </c>
      <c r="H1659" s="9">
        <f>IF(D1659="USD",E1659*$N$1,E1659)</f>
        <v/>
      </c>
      <c r="I1659" s="9">
        <f>IF(D1659="USD",F1659*$N$1,F1659)</f>
        <v/>
      </c>
      <c r="J1659" s="9">
        <f>IF(D1659="USD",G1659*$N$1,G1659)</f>
        <v/>
      </c>
      <c r="K1659" s="9">
        <f>H1659+I1659</f>
        <v/>
      </c>
    </row>
    <row r="1660">
      <c r="A1660" s="8" t="n">
        <v>46209</v>
      </c>
      <c r="B1660" t="inlineStr">
        <is>
          <t>2026-W28</t>
        </is>
      </c>
      <c r="C1660" t="inlineStr">
        <is>
          <t>Shift4</t>
        </is>
      </c>
      <c r="D1660" t="inlineStr">
        <is>
          <t>EUR</t>
        </is>
      </c>
      <c r="E1660" s="9" t="n">
        <v>398738.16</v>
      </c>
      <c r="F1660" s="9" t="n">
        <v>-4661.16</v>
      </c>
      <c r="G1660" s="9" t="n">
        <v>0</v>
      </c>
      <c r="H1660" s="9">
        <f>IF(D1660="USD",E1660*$N$1,E1660)</f>
        <v/>
      </c>
      <c r="I1660" s="9">
        <f>IF(D1660="USD",F1660*$N$1,F1660)</f>
        <v/>
      </c>
      <c r="J1660" s="9">
        <f>IF(D1660="USD",G1660*$N$1,G1660)</f>
        <v/>
      </c>
      <c r="K1660" s="9">
        <f>H1660+I1660</f>
        <v/>
      </c>
    </row>
    <row r="1661">
      <c r="A1661" s="8" t="n">
        <v>46210</v>
      </c>
      <c r="B1661" t="inlineStr">
        <is>
          <t>2026-W28</t>
        </is>
      </c>
      <c r="C1661" t="inlineStr">
        <is>
          <t>Adyen</t>
        </is>
      </c>
      <c r="D1661" t="inlineStr">
        <is>
          <t>EUR</t>
        </is>
      </c>
      <c r="E1661" s="9" t="n">
        <v>0</v>
      </c>
      <c r="F1661" s="9" t="n">
        <v>0</v>
      </c>
      <c r="G1661" s="9" t="n">
        <v>-2413917.08</v>
      </c>
      <c r="H1661" s="9">
        <f>IF(D1661="USD",E1661*$N$1,E1661)</f>
        <v/>
      </c>
      <c r="I1661" s="9">
        <f>IF(D1661="USD",F1661*$N$1,F1661)</f>
        <v/>
      </c>
      <c r="J1661" s="9">
        <f>IF(D1661="USD",G1661*$N$1,G1661)</f>
        <v/>
      </c>
      <c r="K1661" s="9">
        <f>H1661+I1661</f>
        <v/>
      </c>
    </row>
    <row r="1662">
      <c r="A1662" s="8" t="n">
        <v>46210</v>
      </c>
      <c r="B1662" t="inlineStr">
        <is>
          <t>2026-W28</t>
        </is>
      </c>
      <c r="C1662" t="inlineStr">
        <is>
          <t>Adyen</t>
        </is>
      </c>
      <c r="D1662" t="inlineStr">
        <is>
          <t>EUR</t>
        </is>
      </c>
      <c r="E1662" s="9" t="n">
        <v>963422.77</v>
      </c>
      <c r="F1662" s="9" t="n">
        <v>0</v>
      </c>
      <c r="G1662" s="9" t="n">
        <v>0</v>
      </c>
      <c r="H1662" s="9">
        <f>IF(D1662="USD",E1662*$N$1,E1662)</f>
        <v/>
      </c>
      <c r="I1662" s="9">
        <f>IF(D1662="USD",F1662*$N$1,F1662)</f>
        <v/>
      </c>
      <c r="J1662" s="9">
        <f>IF(D1662="USD",G1662*$N$1,G1662)</f>
        <v/>
      </c>
      <c r="K1662" s="9">
        <f>H1662+I1662</f>
        <v/>
      </c>
    </row>
    <row r="1663">
      <c r="A1663" s="8" t="n">
        <v>46210</v>
      </c>
      <c r="B1663" t="inlineStr">
        <is>
          <t>2026-W28</t>
        </is>
      </c>
      <c r="C1663" t="inlineStr">
        <is>
          <t>Adyen</t>
        </is>
      </c>
      <c r="D1663" t="inlineStr">
        <is>
          <t>EUR</t>
        </is>
      </c>
      <c r="E1663" s="9" t="n">
        <v>164212.82</v>
      </c>
      <c r="F1663" s="9" t="n">
        <v>0</v>
      </c>
      <c r="G1663" s="9" t="n">
        <v>0</v>
      </c>
      <c r="H1663" s="9">
        <f>IF(D1663="USD",E1663*$N$1,E1663)</f>
        <v/>
      </c>
      <c r="I1663" s="9">
        <f>IF(D1663="USD",F1663*$N$1,F1663)</f>
        <v/>
      </c>
      <c r="J1663" s="9">
        <f>IF(D1663="USD",G1663*$N$1,G1663)</f>
        <v/>
      </c>
      <c r="K1663" s="9">
        <f>H1663+I1663</f>
        <v/>
      </c>
    </row>
    <row r="1664">
      <c r="A1664" s="8" t="n">
        <v>46210</v>
      </c>
      <c r="B1664" t="inlineStr">
        <is>
          <t>2026-W28</t>
        </is>
      </c>
      <c r="C1664" t="inlineStr">
        <is>
          <t>Nuvei</t>
        </is>
      </c>
      <c r="D1664" t="inlineStr">
        <is>
          <t>EUR</t>
        </is>
      </c>
      <c r="E1664" s="9" t="n">
        <v>0</v>
      </c>
      <c r="F1664" s="9" t="n">
        <v>0</v>
      </c>
      <c r="G1664" s="9" t="n">
        <v>-357059.6</v>
      </c>
      <c r="H1664" s="9">
        <f>IF(D1664="USD",E1664*$N$1,E1664)</f>
        <v/>
      </c>
      <c r="I1664" s="9">
        <f>IF(D1664="USD",F1664*$N$1,F1664)</f>
        <v/>
      </c>
      <c r="J1664" s="9">
        <f>IF(D1664="USD",G1664*$N$1,G1664)</f>
        <v/>
      </c>
      <c r="K1664" s="9">
        <f>H1664+I1664</f>
        <v/>
      </c>
    </row>
    <row r="1665">
      <c r="A1665" s="8" t="n">
        <v>46210</v>
      </c>
      <c r="B1665" t="inlineStr">
        <is>
          <t>2026-W28</t>
        </is>
      </c>
      <c r="C1665" t="inlineStr">
        <is>
          <t>Nuvei</t>
        </is>
      </c>
      <c r="D1665" t="inlineStr">
        <is>
          <t>EUR</t>
        </is>
      </c>
      <c r="E1665" s="9" t="n">
        <v>288918.61</v>
      </c>
      <c r="F1665" s="9" t="n">
        <v>-5593.99</v>
      </c>
      <c r="G1665" s="9" t="n">
        <v>0</v>
      </c>
      <c r="H1665" s="9">
        <f>IF(D1665="USD",E1665*$N$1,E1665)</f>
        <v/>
      </c>
      <c r="I1665" s="9">
        <f>IF(D1665="USD",F1665*$N$1,F1665)</f>
        <v/>
      </c>
      <c r="J1665" s="9">
        <f>IF(D1665="USD",G1665*$N$1,G1665)</f>
        <v/>
      </c>
      <c r="K1665" s="9">
        <f>H1665+I1665</f>
        <v/>
      </c>
    </row>
    <row r="1666">
      <c r="A1666" s="8" t="n">
        <v>46210</v>
      </c>
      <c r="B1666" t="inlineStr">
        <is>
          <t>2026-W28</t>
        </is>
      </c>
      <c r="C1666" t="inlineStr">
        <is>
          <t>Nuvei</t>
        </is>
      </c>
      <c r="D1666" t="inlineStr">
        <is>
          <t>EUR</t>
        </is>
      </c>
      <c r="E1666" s="9" t="n">
        <v>298656</v>
      </c>
      <c r="F1666" s="9" t="n">
        <v>-8498.799999999999</v>
      </c>
      <c r="G1666" s="9" t="n">
        <v>0</v>
      </c>
      <c r="H1666" s="9">
        <f>IF(D1666="USD",E1666*$N$1,E1666)</f>
        <v/>
      </c>
      <c r="I1666" s="9">
        <f>IF(D1666="USD",F1666*$N$1,F1666)</f>
        <v/>
      </c>
      <c r="J1666" s="9">
        <f>IF(D1666="USD",G1666*$N$1,G1666)</f>
        <v/>
      </c>
      <c r="K1666" s="9">
        <f>H1666+I1666</f>
        <v/>
      </c>
    </row>
    <row r="1667">
      <c r="A1667" s="8" t="n">
        <v>46210</v>
      </c>
      <c r="B1667" t="inlineStr">
        <is>
          <t>2026-W28</t>
        </is>
      </c>
      <c r="C1667" t="inlineStr">
        <is>
          <t>Nuvei</t>
        </is>
      </c>
      <c r="D1667" t="inlineStr">
        <is>
          <t>USD</t>
        </is>
      </c>
      <c r="E1667" s="9" t="n">
        <v>0</v>
      </c>
      <c r="F1667" s="9" t="n">
        <v>0</v>
      </c>
      <c r="G1667" s="9" t="n">
        <v>-16893.38</v>
      </c>
      <c r="H1667" s="9">
        <f>IF(D1667="USD",E1667*$N$1,E1667)</f>
        <v/>
      </c>
      <c r="I1667" s="9">
        <f>IF(D1667="USD",F1667*$N$1,F1667)</f>
        <v/>
      </c>
      <c r="J1667" s="9">
        <f>IF(D1667="USD",G1667*$N$1,G1667)</f>
        <v/>
      </c>
      <c r="K1667" s="9">
        <f>H1667+I1667</f>
        <v/>
      </c>
    </row>
    <row r="1668">
      <c r="A1668" s="8" t="n">
        <v>46210</v>
      </c>
      <c r="B1668" t="inlineStr">
        <is>
          <t>2026-W28</t>
        </is>
      </c>
      <c r="C1668" t="inlineStr">
        <is>
          <t>Nuvei</t>
        </is>
      </c>
      <c r="D1668" t="inlineStr">
        <is>
          <t>USD</t>
        </is>
      </c>
      <c r="E1668" s="9" t="n">
        <v>10409.5</v>
      </c>
      <c r="F1668" s="9" t="n">
        <v>-300.86</v>
      </c>
      <c r="G1668" s="9" t="n">
        <v>0</v>
      </c>
      <c r="H1668" s="9">
        <f>IF(D1668="USD",E1668*$N$1,E1668)</f>
        <v/>
      </c>
      <c r="I1668" s="9">
        <f>IF(D1668="USD",F1668*$N$1,F1668)</f>
        <v/>
      </c>
      <c r="J1668" s="9">
        <f>IF(D1668="USD",G1668*$N$1,G1668)</f>
        <v/>
      </c>
      <c r="K1668" s="9">
        <f>H1668+I1668</f>
        <v/>
      </c>
    </row>
    <row r="1669">
      <c r="A1669" s="8" t="n">
        <v>46210</v>
      </c>
      <c r="B1669" t="inlineStr">
        <is>
          <t>2026-W28</t>
        </is>
      </c>
      <c r="C1669" t="inlineStr">
        <is>
          <t>Paysafe</t>
        </is>
      </c>
      <c r="D1669" t="inlineStr">
        <is>
          <t>EUR</t>
        </is>
      </c>
      <c r="E1669" s="9" t="n">
        <v>176573.66</v>
      </c>
      <c r="F1669" s="9" t="n">
        <v>0</v>
      </c>
      <c r="G1669" s="9" t="n">
        <v>0</v>
      </c>
      <c r="H1669" s="9">
        <f>IF(D1669="USD",E1669*$N$1,E1669)</f>
        <v/>
      </c>
      <c r="I1669" s="9">
        <f>IF(D1669="USD",F1669*$N$1,F1669)</f>
        <v/>
      </c>
      <c r="J1669" s="9">
        <f>IF(D1669="USD",G1669*$N$1,G1669)</f>
        <v/>
      </c>
      <c r="K1669" s="9">
        <f>H1669+I1669</f>
        <v/>
      </c>
    </row>
    <row r="1670">
      <c r="A1670" s="8" t="n">
        <v>46210</v>
      </c>
      <c r="B1670" t="inlineStr">
        <is>
          <t>2026-W28</t>
        </is>
      </c>
      <c r="C1670" t="inlineStr">
        <is>
          <t>Paysafe</t>
        </is>
      </c>
      <c r="D1670" t="inlineStr">
        <is>
          <t>EUR</t>
        </is>
      </c>
      <c r="E1670" s="9" t="n">
        <v>0</v>
      </c>
      <c r="F1670" s="9" t="n">
        <v>-2365.5</v>
      </c>
      <c r="G1670" s="9" t="n">
        <v>-135362.29</v>
      </c>
      <c r="H1670" s="9">
        <f>IF(D1670="USD",E1670*$N$1,E1670)</f>
        <v/>
      </c>
      <c r="I1670" s="9">
        <f>IF(D1670="USD",F1670*$N$1,F1670)</f>
        <v/>
      </c>
      <c r="J1670" s="9">
        <f>IF(D1670="USD",G1670*$N$1,G1670)</f>
        <v/>
      </c>
      <c r="K1670" s="9">
        <f>H1670+I1670</f>
        <v/>
      </c>
    </row>
    <row r="1671">
      <c r="A1671" s="8" t="n">
        <v>46210</v>
      </c>
      <c r="B1671" t="inlineStr">
        <is>
          <t>2026-W28</t>
        </is>
      </c>
      <c r="C1671" t="inlineStr">
        <is>
          <t>Shift4</t>
        </is>
      </c>
      <c r="D1671" t="inlineStr">
        <is>
          <t>EUR</t>
        </is>
      </c>
      <c r="E1671" s="9" t="n">
        <v>0</v>
      </c>
      <c r="F1671" s="9" t="n">
        <v>0</v>
      </c>
      <c r="G1671" s="9" t="n">
        <v>-369586.99</v>
      </c>
      <c r="H1671" s="9">
        <f>IF(D1671="USD",E1671*$N$1,E1671)</f>
        <v/>
      </c>
      <c r="I1671" s="9">
        <f>IF(D1671="USD",F1671*$N$1,F1671)</f>
        <v/>
      </c>
      <c r="J1671" s="9">
        <f>IF(D1671="USD",G1671*$N$1,G1671)</f>
        <v/>
      </c>
      <c r="K1671" s="9">
        <f>H1671+I1671</f>
        <v/>
      </c>
    </row>
    <row r="1672">
      <c r="A1672" s="8" t="n">
        <v>46210</v>
      </c>
      <c r="B1672" t="inlineStr">
        <is>
          <t>2026-W28</t>
        </is>
      </c>
      <c r="C1672" t="inlineStr">
        <is>
          <t>Shift4</t>
        </is>
      </c>
      <c r="D1672" t="inlineStr">
        <is>
          <t>EUR</t>
        </is>
      </c>
      <c r="E1672" s="9" t="n">
        <v>408852.17</v>
      </c>
      <c r="F1672" s="9" t="n">
        <v>-5043.15</v>
      </c>
      <c r="G1672" s="9" t="n">
        <v>0</v>
      </c>
      <c r="H1672" s="9">
        <f>IF(D1672="USD",E1672*$N$1,E1672)</f>
        <v/>
      </c>
      <c r="I1672" s="9">
        <f>IF(D1672="USD",F1672*$N$1,F1672)</f>
        <v/>
      </c>
      <c r="J1672" s="9">
        <f>IF(D1672="USD",G1672*$N$1,G1672)</f>
        <v/>
      </c>
      <c r="K1672" s="9">
        <f>H1672+I1672</f>
        <v/>
      </c>
    </row>
    <row r="1673">
      <c r="A1673" s="8" t="n">
        <v>46211</v>
      </c>
      <c r="B1673" t="inlineStr">
        <is>
          <t>2026-W28</t>
        </is>
      </c>
      <c r="C1673" t="inlineStr">
        <is>
          <t>Adyen</t>
        </is>
      </c>
      <c r="D1673" t="inlineStr">
        <is>
          <t>EUR</t>
        </is>
      </c>
      <c r="E1673" s="9" t="n">
        <v>0</v>
      </c>
      <c r="F1673" s="9" t="n">
        <v>0</v>
      </c>
      <c r="G1673" s="9" t="n">
        <v>-1147607.52</v>
      </c>
      <c r="H1673" s="9">
        <f>IF(D1673="USD",E1673*$N$1,E1673)</f>
        <v/>
      </c>
      <c r="I1673" s="9">
        <f>IF(D1673="USD",F1673*$N$1,F1673)</f>
        <v/>
      </c>
      <c r="J1673" s="9">
        <f>IF(D1673="USD",G1673*$N$1,G1673)</f>
        <v/>
      </c>
      <c r="K1673" s="9">
        <f>H1673+I1673</f>
        <v/>
      </c>
    </row>
    <row r="1674">
      <c r="A1674" s="8" t="n">
        <v>46211</v>
      </c>
      <c r="B1674" t="inlineStr">
        <is>
          <t>2026-W28</t>
        </is>
      </c>
      <c r="C1674" t="inlineStr">
        <is>
          <t>Adyen</t>
        </is>
      </c>
      <c r="D1674" t="inlineStr">
        <is>
          <t>EUR</t>
        </is>
      </c>
      <c r="E1674" s="9" t="n">
        <v>935638.36</v>
      </c>
      <c r="F1674" s="9" t="n">
        <v>0</v>
      </c>
      <c r="G1674" s="9" t="n">
        <v>0</v>
      </c>
      <c r="H1674" s="9">
        <f>IF(D1674="USD",E1674*$N$1,E1674)</f>
        <v/>
      </c>
      <c r="I1674" s="9">
        <f>IF(D1674="USD",F1674*$N$1,F1674)</f>
        <v/>
      </c>
      <c r="J1674" s="9">
        <f>IF(D1674="USD",G1674*$N$1,G1674)</f>
        <v/>
      </c>
      <c r="K1674" s="9">
        <f>H1674+I1674</f>
        <v/>
      </c>
    </row>
    <row r="1675">
      <c r="A1675" s="8" t="n">
        <v>46211</v>
      </c>
      <c r="B1675" t="inlineStr">
        <is>
          <t>2026-W28</t>
        </is>
      </c>
      <c r="C1675" t="inlineStr">
        <is>
          <t>Adyen</t>
        </is>
      </c>
      <c r="D1675" t="inlineStr">
        <is>
          <t>EUR</t>
        </is>
      </c>
      <c r="E1675" s="9" t="n">
        <v>178863.49</v>
      </c>
      <c r="F1675" s="9" t="n">
        <v>0</v>
      </c>
      <c r="G1675" s="9" t="n">
        <v>0</v>
      </c>
      <c r="H1675" s="9">
        <f>IF(D1675="USD",E1675*$N$1,E1675)</f>
        <v/>
      </c>
      <c r="I1675" s="9">
        <f>IF(D1675="USD",F1675*$N$1,F1675)</f>
        <v/>
      </c>
      <c r="J1675" s="9">
        <f>IF(D1675="USD",G1675*$N$1,G1675)</f>
        <v/>
      </c>
      <c r="K1675" s="9">
        <f>H1675+I1675</f>
        <v/>
      </c>
    </row>
    <row r="1676">
      <c r="A1676" s="8" t="n">
        <v>46211</v>
      </c>
      <c r="B1676" t="inlineStr">
        <is>
          <t>2026-W28</t>
        </is>
      </c>
      <c r="C1676" t="inlineStr">
        <is>
          <t>Nuvei</t>
        </is>
      </c>
      <c r="D1676" t="inlineStr">
        <is>
          <t>EUR</t>
        </is>
      </c>
      <c r="E1676" s="9" t="n">
        <v>0</v>
      </c>
      <c r="F1676" s="9" t="n">
        <v>0</v>
      </c>
      <c r="G1676" s="9" t="n">
        <v>-283492.68</v>
      </c>
      <c r="H1676" s="9">
        <f>IF(D1676="USD",E1676*$N$1,E1676)</f>
        <v/>
      </c>
      <c r="I1676" s="9">
        <f>IF(D1676="USD",F1676*$N$1,F1676)</f>
        <v/>
      </c>
      <c r="J1676" s="9">
        <f>IF(D1676="USD",G1676*$N$1,G1676)</f>
        <v/>
      </c>
      <c r="K1676" s="9">
        <f>H1676+I1676</f>
        <v/>
      </c>
    </row>
    <row r="1677">
      <c r="A1677" s="8" t="n">
        <v>46211</v>
      </c>
      <c r="B1677" t="inlineStr">
        <is>
          <t>2026-W28</t>
        </is>
      </c>
      <c r="C1677" t="inlineStr">
        <is>
          <t>Nuvei</t>
        </is>
      </c>
      <c r="D1677" t="inlineStr">
        <is>
          <t>EUR</t>
        </is>
      </c>
      <c r="E1677" s="9" t="n">
        <v>0</v>
      </c>
      <c r="F1677" s="9" t="n">
        <v>0</v>
      </c>
      <c r="G1677" s="9" t="n">
        <v>-89399.89</v>
      </c>
      <c r="H1677" s="9">
        <f>IF(D1677="USD",E1677*$N$1,E1677)</f>
        <v/>
      </c>
      <c r="I1677" s="9">
        <f>IF(D1677="USD",F1677*$N$1,F1677)</f>
        <v/>
      </c>
      <c r="J1677" s="9">
        <f>IF(D1677="USD",G1677*$N$1,G1677)</f>
        <v/>
      </c>
      <c r="K1677" s="9">
        <f>H1677+I1677</f>
        <v/>
      </c>
    </row>
    <row r="1678">
      <c r="A1678" s="8" t="n">
        <v>46211</v>
      </c>
      <c r="B1678" t="inlineStr">
        <is>
          <t>2026-W28</t>
        </is>
      </c>
      <c r="C1678" t="inlineStr">
        <is>
          <t>Nuvei</t>
        </is>
      </c>
      <c r="D1678" t="inlineStr">
        <is>
          <t>EUR</t>
        </is>
      </c>
      <c r="E1678" s="9" t="n">
        <v>330395.81</v>
      </c>
      <c r="F1678" s="9" t="n">
        <v>-6124.67</v>
      </c>
      <c r="G1678" s="9" t="n">
        <v>0</v>
      </c>
      <c r="H1678" s="9">
        <f>IF(D1678="USD",E1678*$N$1,E1678)</f>
        <v/>
      </c>
      <c r="I1678" s="9">
        <f>IF(D1678="USD",F1678*$N$1,F1678)</f>
        <v/>
      </c>
      <c r="J1678" s="9">
        <f>IF(D1678="USD",G1678*$N$1,G1678)</f>
        <v/>
      </c>
      <c r="K1678" s="9">
        <f>H1678+I1678</f>
        <v/>
      </c>
    </row>
    <row r="1679">
      <c r="A1679" s="8" t="n">
        <v>46211</v>
      </c>
      <c r="B1679" t="inlineStr">
        <is>
          <t>2026-W28</t>
        </is>
      </c>
      <c r="C1679" t="inlineStr">
        <is>
          <t>Nuvei</t>
        </is>
      </c>
      <c r="D1679" t="inlineStr">
        <is>
          <t>EUR</t>
        </is>
      </c>
      <c r="E1679" s="9" t="n">
        <v>282530.23</v>
      </c>
      <c r="F1679" s="9" t="n">
        <v>-8096.03</v>
      </c>
      <c r="G1679" s="9" t="n">
        <v>0</v>
      </c>
      <c r="H1679" s="9">
        <f>IF(D1679="USD",E1679*$N$1,E1679)</f>
        <v/>
      </c>
      <c r="I1679" s="9">
        <f>IF(D1679="USD",F1679*$N$1,F1679)</f>
        <v/>
      </c>
      <c r="J1679" s="9">
        <f>IF(D1679="USD",G1679*$N$1,G1679)</f>
        <v/>
      </c>
      <c r="K1679" s="9">
        <f>H1679+I1679</f>
        <v/>
      </c>
    </row>
    <row r="1680">
      <c r="A1680" s="8" t="n">
        <v>46211</v>
      </c>
      <c r="B1680" t="inlineStr">
        <is>
          <t>2026-W28</t>
        </is>
      </c>
      <c r="C1680" t="inlineStr">
        <is>
          <t>Nuvei</t>
        </is>
      </c>
      <c r="D1680" t="inlineStr">
        <is>
          <t>USD</t>
        </is>
      </c>
      <c r="E1680" s="9" t="n">
        <v>0</v>
      </c>
      <c r="F1680" s="9" t="n">
        <v>0</v>
      </c>
      <c r="G1680" s="9" t="n">
        <v>-62213.09</v>
      </c>
      <c r="H1680" s="9">
        <f>IF(D1680="USD",E1680*$N$1,E1680)</f>
        <v/>
      </c>
      <c r="I1680" s="9">
        <f>IF(D1680="USD",F1680*$N$1,F1680)</f>
        <v/>
      </c>
      <c r="J1680" s="9">
        <f>IF(D1680="USD",G1680*$N$1,G1680)</f>
        <v/>
      </c>
      <c r="K1680" s="9">
        <f>H1680+I1680</f>
        <v/>
      </c>
    </row>
    <row r="1681">
      <c r="A1681" s="8" t="n">
        <v>46211</v>
      </c>
      <c r="B1681" t="inlineStr">
        <is>
          <t>2026-W28</t>
        </is>
      </c>
      <c r="C1681" t="inlineStr">
        <is>
          <t>Nuvei</t>
        </is>
      </c>
      <c r="D1681" t="inlineStr">
        <is>
          <t>USD</t>
        </is>
      </c>
      <c r="E1681" s="9" t="n">
        <v>12184</v>
      </c>
      <c r="F1681" s="9" t="n">
        <v>-356.8</v>
      </c>
      <c r="G1681" s="9" t="n">
        <v>0</v>
      </c>
      <c r="H1681" s="9">
        <f>IF(D1681="USD",E1681*$N$1,E1681)</f>
        <v/>
      </c>
      <c r="I1681" s="9">
        <f>IF(D1681="USD",F1681*$N$1,F1681)</f>
        <v/>
      </c>
      <c r="J1681" s="9">
        <f>IF(D1681="USD",G1681*$N$1,G1681)</f>
        <v/>
      </c>
      <c r="K1681" s="9">
        <f>H1681+I1681</f>
        <v/>
      </c>
    </row>
    <row r="1682">
      <c r="A1682" s="8" t="n">
        <v>46211</v>
      </c>
      <c r="B1682" t="inlineStr">
        <is>
          <t>2026-W28</t>
        </is>
      </c>
      <c r="C1682" t="inlineStr">
        <is>
          <t>Paysafe</t>
        </is>
      </c>
      <c r="D1682" t="inlineStr">
        <is>
          <t>EUR</t>
        </is>
      </c>
      <c r="E1682" s="9" t="n">
        <v>174256.68</v>
      </c>
      <c r="F1682" s="9" t="n">
        <v>0</v>
      </c>
      <c r="G1682" s="9" t="n">
        <v>0</v>
      </c>
      <c r="H1682" s="9">
        <f>IF(D1682="USD",E1682*$N$1,E1682)</f>
        <v/>
      </c>
      <c r="I1682" s="9">
        <f>IF(D1682="USD",F1682*$N$1,F1682)</f>
        <v/>
      </c>
      <c r="J1682" s="9">
        <f>IF(D1682="USD",G1682*$N$1,G1682)</f>
        <v/>
      </c>
      <c r="K1682" s="9">
        <f>H1682+I1682</f>
        <v/>
      </c>
    </row>
    <row r="1683">
      <c r="A1683" s="8" t="n">
        <v>46211</v>
      </c>
      <c r="B1683" t="inlineStr">
        <is>
          <t>2026-W28</t>
        </is>
      </c>
      <c r="C1683" t="inlineStr">
        <is>
          <t>Paysafe</t>
        </is>
      </c>
      <c r="D1683" t="inlineStr">
        <is>
          <t>EUR</t>
        </is>
      </c>
      <c r="E1683" s="9" t="n">
        <v>0</v>
      </c>
      <c r="F1683" s="9" t="n">
        <v>-3164.89</v>
      </c>
      <c r="G1683" s="9" t="n">
        <v>-163652.98</v>
      </c>
      <c r="H1683" s="9">
        <f>IF(D1683="USD",E1683*$N$1,E1683)</f>
        <v/>
      </c>
      <c r="I1683" s="9">
        <f>IF(D1683="USD",F1683*$N$1,F1683)</f>
        <v/>
      </c>
      <c r="J1683" s="9">
        <f>IF(D1683="USD",G1683*$N$1,G1683)</f>
        <v/>
      </c>
      <c r="K1683" s="9">
        <f>H1683+I1683</f>
        <v/>
      </c>
    </row>
    <row r="1684">
      <c r="A1684" s="8" t="n">
        <v>46211</v>
      </c>
      <c r="B1684" t="inlineStr">
        <is>
          <t>2026-W28</t>
        </is>
      </c>
      <c r="C1684" t="inlineStr">
        <is>
          <t>Shift4</t>
        </is>
      </c>
      <c r="D1684" t="inlineStr">
        <is>
          <t>EUR</t>
        </is>
      </c>
      <c r="E1684" s="9" t="n">
        <v>0</v>
      </c>
      <c r="F1684" s="9" t="n">
        <v>0</v>
      </c>
      <c r="G1684" s="9" t="n">
        <v>-329087.89</v>
      </c>
      <c r="H1684" s="9">
        <f>IF(D1684="USD",E1684*$N$1,E1684)</f>
        <v/>
      </c>
      <c r="I1684" s="9">
        <f>IF(D1684="USD",F1684*$N$1,F1684)</f>
        <v/>
      </c>
      <c r="J1684" s="9">
        <f>IF(D1684="USD",G1684*$N$1,G1684)</f>
        <v/>
      </c>
      <c r="K1684" s="9">
        <f>H1684+I1684</f>
        <v/>
      </c>
    </row>
    <row r="1685">
      <c r="A1685" s="8" t="n">
        <v>46211</v>
      </c>
      <c r="B1685" t="inlineStr">
        <is>
          <t>2026-W28</t>
        </is>
      </c>
      <c r="C1685" t="inlineStr">
        <is>
          <t>Shift4</t>
        </is>
      </c>
      <c r="D1685" t="inlineStr">
        <is>
          <t>EUR</t>
        </is>
      </c>
      <c r="E1685" s="9" t="n">
        <v>410762.74</v>
      </c>
      <c r="F1685" s="9" t="n">
        <v>-4692.820000000001</v>
      </c>
      <c r="G1685" s="9" t="n">
        <v>0</v>
      </c>
      <c r="H1685" s="9">
        <f>IF(D1685="USD",E1685*$N$1,E1685)</f>
        <v/>
      </c>
      <c r="I1685" s="9">
        <f>IF(D1685="USD",F1685*$N$1,F1685)</f>
        <v/>
      </c>
      <c r="J1685" s="9">
        <f>IF(D1685="USD",G1685*$N$1,G1685)</f>
        <v/>
      </c>
      <c r="K1685" s="9">
        <f>H1685+I1685</f>
        <v/>
      </c>
    </row>
    <row r="1686">
      <c r="A1686" s="8" t="n">
        <v>46212</v>
      </c>
      <c r="B1686" t="inlineStr">
        <is>
          <t>2026-W28</t>
        </is>
      </c>
      <c r="C1686" t="inlineStr">
        <is>
          <t>Adyen</t>
        </is>
      </c>
      <c r="D1686" t="inlineStr">
        <is>
          <t>EUR</t>
        </is>
      </c>
      <c r="E1686" s="9" t="n">
        <v>763248.2</v>
      </c>
      <c r="F1686" s="9" t="n">
        <v>0</v>
      </c>
      <c r="G1686" s="9" t="n">
        <v>0</v>
      </c>
      <c r="H1686" s="9">
        <f>IF(D1686="USD",E1686*$N$1,E1686)</f>
        <v/>
      </c>
      <c r="I1686" s="9">
        <f>IF(D1686="USD",F1686*$N$1,F1686)</f>
        <v/>
      </c>
      <c r="J1686" s="9">
        <f>IF(D1686="USD",G1686*$N$1,G1686)</f>
        <v/>
      </c>
      <c r="K1686" s="9">
        <f>H1686+I1686</f>
        <v/>
      </c>
    </row>
    <row r="1687">
      <c r="A1687" s="8" t="n">
        <v>46212</v>
      </c>
      <c r="B1687" t="inlineStr">
        <is>
          <t>2026-W28</t>
        </is>
      </c>
      <c r="C1687" t="inlineStr">
        <is>
          <t>Adyen</t>
        </is>
      </c>
      <c r="D1687" t="inlineStr">
        <is>
          <t>EUR</t>
        </is>
      </c>
      <c r="E1687" s="9" t="n">
        <v>126407.47</v>
      </c>
      <c r="F1687" s="9" t="n">
        <v>0</v>
      </c>
      <c r="G1687" s="9" t="n">
        <v>0</v>
      </c>
      <c r="H1687" s="9">
        <f>IF(D1687="USD",E1687*$N$1,E1687)</f>
        <v/>
      </c>
      <c r="I1687" s="9">
        <f>IF(D1687="USD",F1687*$N$1,F1687)</f>
        <v/>
      </c>
      <c r="J1687" s="9">
        <f>IF(D1687="USD",G1687*$N$1,G1687)</f>
        <v/>
      </c>
      <c r="K1687" s="9">
        <f>H1687+I1687</f>
        <v/>
      </c>
    </row>
    <row r="1688">
      <c r="A1688" s="8" t="n">
        <v>46212</v>
      </c>
      <c r="B1688" t="inlineStr">
        <is>
          <t>2026-W28</t>
        </is>
      </c>
      <c r="C1688" t="inlineStr">
        <is>
          <t>Nuvei</t>
        </is>
      </c>
      <c r="D1688" t="inlineStr">
        <is>
          <t>EUR</t>
        </is>
      </c>
      <c r="E1688" s="9" t="n">
        <v>0</v>
      </c>
      <c r="F1688" s="9" t="n">
        <v>0</v>
      </c>
      <c r="G1688" s="9" t="n">
        <v>-261882.07</v>
      </c>
      <c r="H1688" s="9">
        <f>IF(D1688="USD",E1688*$N$1,E1688)</f>
        <v/>
      </c>
      <c r="I1688" s="9">
        <f>IF(D1688="USD",F1688*$N$1,F1688)</f>
        <v/>
      </c>
      <c r="J1688" s="9">
        <f>IF(D1688="USD",G1688*$N$1,G1688)</f>
        <v/>
      </c>
      <c r="K1688" s="9">
        <f>H1688+I1688</f>
        <v/>
      </c>
    </row>
    <row r="1689">
      <c r="A1689" s="8" t="n">
        <v>46212</v>
      </c>
      <c r="B1689" t="inlineStr">
        <is>
          <t>2026-W28</t>
        </is>
      </c>
      <c r="C1689" t="inlineStr">
        <is>
          <t>Nuvei</t>
        </is>
      </c>
      <c r="D1689" t="inlineStr">
        <is>
          <t>EUR</t>
        </is>
      </c>
      <c r="E1689" s="9" t="n">
        <v>0</v>
      </c>
      <c r="F1689" s="9" t="n">
        <v>0</v>
      </c>
      <c r="G1689" s="9" t="n">
        <v>-237329.39</v>
      </c>
      <c r="H1689" s="9">
        <f>IF(D1689="USD",E1689*$N$1,E1689)</f>
        <v/>
      </c>
      <c r="I1689" s="9">
        <f>IF(D1689="USD",F1689*$N$1,F1689)</f>
        <v/>
      </c>
      <c r="J1689" s="9">
        <f>IF(D1689="USD",G1689*$N$1,G1689)</f>
        <v/>
      </c>
      <c r="K1689" s="9">
        <f>H1689+I1689</f>
        <v/>
      </c>
    </row>
    <row r="1690">
      <c r="A1690" s="8" t="n">
        <v>46212</v>
      </c>
      <c r="B1690" t="inlineStr">
        <is>
          <t>2026-W28</t>
        </is>
      </c>
      <c r="C1690" t="inlineStr">
        <is>
          <t>Nuvei</t>
        </is>
      </c>
      <c r="D1690" t="inlineStr">
        <is>
          <t>EUR</t>
        </is>
      </c>
      <c r="E1690" s="9" t="n">
        <v>288362.73</v>
      </c>
      <c r="F1690" s="9" t="n">
        <v>-5741.86</v>
      </c>
      <c r="G1690" s="9" t="n">
        <v>0</v>
      </c>
      <c r="H1690" s="9">
        <f>IF(D1690="USD",E1690*$N$1,E1690)</f>
        <v/>
      </c>
      <c r="I1690" s="9">
        <f>IF(D1690="USD",F1690*$N$1,F1690)</f>
        <v/>
      </c>
      <c r="J1690" s="9">
        <f>IF(D1690="USD",G1690*$N$1,G1690)</f>
        <v/>
      </c>
      <c r="K1690" s="9">
        <f>H1690+I1690</f>
        <v/>
      </c>
    </row>
    <row r="1691">
      <c r="A1691" s="8" t="n">
        <v>46212</v>
      </c>
      <c r="B1691" t="inlineStr">
        <is>
          <t>2026-W28</t>
        </is>
      </c>
      <c r="C1691" t="inlineStr">
        <is>
          <t>Nuvei</t>
        </is>
      </c>
      <c r="D1691" t="inlineStr">
        <is>
          <t>EUR</t>
        </is>
      </c>
      <c r="E1691" s="9" t="n">
        <v>188868.91</v>
      </c>
      <c r="F1691" s="9" t="n">
        <v>-5328.08</v>
      </c>
      <c r="G1691" s="9" t="n">
        <v>0</v>
      </c>
      <c r="H1691" s="9">
        <f>IF(D1691="USD",E1691*$N$1,E1691)</f>
        <v/>
      </c>
      <c r="I1691" s="9">
        <f>IF(D1691="USD",F1691*$N$1,F1691)</f>
        <v/>
      </c>
      <c r="J1691" s="9">
        <f>IF(D1691="USD",G1691*$N$1,G1691)</f>
        <v/>
      </c>
      <c r="K1691" s="9">
        <f>H1691+I1691</f>
        <v/>
      </c>
    </row>
    <row r="1692">
      <c r="A1692" s="8" t="n">
        <v>46212</v>
      </c>
      <c r="B1692" t="inlineStr">
        <is>
          <t>2026-W28</t>
        </is>
      </c>
      <c r="C1692" t="inlineStr">
        <is>
          <t>Nuvei</t>
        </is>
      </c>
      <c r="D1692" t="inlineStr">
        <is>
          <t>USD</t>
        </is>
      </c>
      <c r="E1692" s="9" t="n">
        <v>0</v>
      </c>
      <c r="F1692" s="9" t="n">
        <v>0</v>
      </c>
      <c r="G1692" s="9" t="n">
        <v>-13309.77</v>
      </c>
      <c r="H1692" s="9">
        <f>IF(D1692="USD",E1692*$N$1,E1692)</f>
        <v/>
      </c>
      <c r="I1692" s="9">
        <f>IF(D1692="USD",F1692*$N$1,F1692)</f>
        <v/>
      </c>
      <c r="J1692" s="9">
        <f>IF(D1692="USD",G1692*$N$1,G1692)</f>
        <v/>
      </c>
      <c r="K1692" s="9">
        <f>H1692+I1692</f>
        <v/>
      </c>
    </row>
    <row r="1693">
      <c r="A1693" s="8" t="n">
        <v>46212</v>
      </c>
      <c r="B1693" t="inlineStr">
        <is>
          <t>2026-W28</t>
        </is>
      </c>
      <c r="C1693" t="inlineStr">
        <is>
          <t>Nuvei</t>
        </is>
      </c>
      <c r="D1693" t="inlineStr">
        <is>
          <t>USD</t>
        </is>
      </c>
      <c r="E1693" s="9" t="n">
        <v>14529.1</v>
      </c>
      <c r="F1693" s="9" t="n">
        <v>-436.81</v>
      </c>
      <c r="G1693" s="9" t="n">
        <v>0</v>
      </c>
      <c r="H1693" s="9">
        <f>IF(D1693="USD",E1693*$N$1,E1693)</f>
        <v/>
      </c>
      <c r="I1693" s="9">
        <f>IF(D1693="USD",F1693*$N$1,F1693)</f>
        <v/>
      </c>
      <c r="J1693" s="9">
        <f>IF(D1693="USD",G1693*$N$1,G1693)</f>
        <v/>
      </c>
      <c r="K1693" s="9">
        <f>H1693+I1693</f>
        <v/>
      </c>
    </row>
    <row r="1694">
      <c r="A1694" s="8" t="n">
        <v>46212</v>
      </c>
      <c r="B1694" t="inlineStr">
        <is>
          <t>2026-W28</t>
        </is>
      </c>
      <c r="C1694" t="inlineStr">
        <is>
          <t>Paysafe</t>
        </is>
      </c>
      <c r="D1694" t="inlineStr">
        <is>
          <t>EUR</t>
        </is>
      </c>
      <c r="E1694" s="9" t="n">
        <v>162941.51</v>
      </c>
      <c r="F1694" s="9" t="n">
        <v>0</v>
      </c>
      <c r="G1694" s="9" t="n">
        <v>0</v>
      </c>
      <c r="H1694" s="9">
        <f>IF(D1694="USD",E1694*$N$1,E1694)</f>
        <v/>
      </c>
      <c r="I1694" s="9">
        <f>IF(D1694="USD",F1694*$N$1,F1694)</f>
        <v/>
      </c>
      <c r="J1694" s="9">
        <f>IF(D1694="USD",G1694*$N$1,G1694)</f>
        <v/>
      </c>
      <c r="K1694" s="9">
        <f>H1694+I1694</f>
        <v/>
      </c>
    </row>
    <row r="1695">
      <c r="A1695" s="8" t="n">
        <v>46212</v>
      </c>
      <c r="B1695" t="inlineStr">
        <is>
          <t>2026-W28</t>
        </is>
      </c>
      <c r="C1695" t="inlineStr">
        <is>
          <t>Paysafe</t>
        </is>
      </c>
      <c r="D1695" t="inlineStr">
        <is>
          <t>EUR</t>
        </is>
      </c>
      <c r="E1695" s="9" t="n">
        <v>0</v>
      </c>
      <c r="F1695" s="9" t="n">
        <v>-2872.93</v>
      </c>
      <c r="G1695" s="9" t="n">
        <v>-164600.52</v>
      </c>
      <c r="H1695" s="9">
        <f>IF(D1695="USD",E1695*$N$1,E1695)</f>
        <v/>
      </c>
      <c r="I1695" s="9">
        <f>IF(D1695="USD",F1695*$N$1,F1695)</f>
        <v/>
      </c>
      <c r="J1695" s="9">
        <f>IF(D1695="USD",G1695*$N$1,G1695)</f>
        <v/>
      </c>
      <c r="K1695" s="9">
        <f>H1695+I1695</f>
        <v/>
      </c>
    </row>
    <row r="1696">
      <c r="A1696" s="8" t="n">
        <v>46212</v>
      </c>
      <c r="B1696" t="inlineStr">
        <is>
          <t>2026-W28</t>
        </is>
      </c>
      <c r="C1696" t="inlineStr">
        <is>
          <t>Shift4</t>
        </is>
      </c>
      <c r="D1696" t="inlineStr">
        <is>
          <t>EUR</t>
        </is>
      </c>
      <c r="E1696" s="9" t="n">
        <v>0</v>
      </c>
      <c r="F1696" s="9" t="n">
        <v>0</v>
      </c>
      <c r="G1696" s="9" t="n">
        <v>-991937.71</v>
      </c>
      <c r="H1696" s="9">
        <f>IF(D1696="USD",E1696*$N$1,E1696)</f>
        <v/>
      </c>
      <c r="I1696" s="9">
        <f>IF(D1696="USD",F1696*$N$1,F1696)</f>
        <v/>
      </c>
      <c r="J1696" s="9">
        <f>IF(D1696="USD",G1696*$N$1,G1696)</f>
        <v/>
      </c>
      <c r="K1696" s="9">
        <f>H1696+I1696</f>
        <v/>
      </c>
    </row>
    <row r="1697">
      <c r="A1697" s="8" t="n">
        <v>46212</v>
      </c>
      <c r="B1697" t="inlineStr">
        <is>
          <t>2026-W28</t>
        </is>
      </c>
      <c r="C1697" t="inlineStr">
        <is>
          <t>Shift4</t>
        </is>
      </c>
      <c r="D1697" t="inlineStr">
        <is>
          <t>EUR</t>
        </is>
      </c>
      <c r="E1697" s="9" t="n">
        <v>329737.56</v>
      </c>
      <c r="F1697" s="9" t="n">
        <v>-4032.63</v>
      </c>
      <c r="G1697" s="9" t="n">
        <v>0</v>
      </c>
      <c r="H1697" s="9">
        <f>IF(D1697="USD",E1697*$N$1,E1697)</f>
        <v/>
      </c>
      <c r="I1697" s="9">
        <f>IF(D1697="USD",F1697*$N$1,F1697)</f>
        <v/>
      </c>
      <c r="J1697" s="9">
        <f>IF(D1697="USD",G1697*$N$1,G1697)</f>
        <v/>
      </c>
      <c r="K1697" s="9">
        <f>H1697+I1697</f>
        <v/>
      </c>
    </row>
    <row r="1698">
      <c r="A1698" s="8" t="n">
        <v>46213</v>
      </c>
      <c r="B1698" t="inlineStr">
        <is>
          <t>2026-W28</t>
        </is>
      </c>
      <c r="C1698" t="inlineStr">
        <is>
          <t>Adyen</t>
        </is>
      </c>
      <c r="D1698" t="inlineStr">
        <is>
          <t>EUR</t>
        </is>
      </c>
      <c r="E1698" s="9" t="n">
        <v>838437.96</v>
      </c>
      <c r="F1698" s="9" t="n">
        <v>0</v>
      </c>
      <c r="G1698" s="9" t="n">
        <v>0</v>
      </c>
      <c r="H1698" s="9">
        <f>IF(D1698="USD",E1698*$N$1,E1698)</f>
        <v/>
      </c>
      <c r="I1698" s="9">
        <f>IF(D1698="USD",F1698*$N$1,F1698)</f>
        <v/>
      </c>
      <c r="J1698" s="9">
        <f>IF(D1698="USD",G1698*$N$1,G1698)</f>
        <v/>
      </c>
      <c r="K1698" s="9">
        <f>H1698+I1698</f>
        <v/>
      </c>
    </row>
    <row r="1699">
      <c r="A1699" s="8" t="n">
        <v>46213</v>
      </c>
      <c r="B1699" t="inlineStr">
        <is>
          <t>2026-W28</t>
        </is>
      </c>
      <c r="C1699" t="inlineStr">
        <is>
          <t>Adyen</t>
        </is>
      </c>
      <c r="D1699" t="inlineStr">
        <is>
          <t>EUR</t>
        </is>
      </c>
      <c r="E1699" s="9" t="n">
        <v>166784.39</v>
      </c>
      <c r="F1699" s="9" t="n">
        <v>0</v>
      </c>
      <c r="G1699" s="9" t="n">
        <v>0</v>
      </c>
      <c r="H1699" s="9">
        <f>IF(D1699="USD",E1699*$N$1,E1699)</f>
        <v/>
      </c>
      <c r="I1699" s="9">
        <f>IF(D1699="USD",F1699*$N$1,F1699)</f>
        <v/>
      </c>
      <c r="J1699" s="9">
        <f>IF(D1699="USD",G1699*$N$1,G1699)</f>
        <v/>
      </c>
      <c r="K1699" s="9">
        <f>H1699+I1699</f>
        <v/>
      </c>
    </row>
    <row r="1700">
      <c r="A1700" s="8" t="n">
        <v>46213</v>
      </c>
      <c r="B1700" t="inlineStr">
        <is>
          <t>2026-W28</t>
        </is>
      </c>
      <c r="C1700" t="inlineStr">
        <is>
          <t>Nuvei</t>
        </is>
      </c>
      <c r="D1700" t="inlineStr">
        <is>
          <t>EUR</t>
        </is>
      </c>
      <c r="E1700" s="9" t="n">
        <v>0</v>
      </c>
      <c r="F1700" s="9" t="n">
        <v>0</v>
      </c>
      <c r="G1700" s="9" t="n">
        <v>-663158.64</v>
      </c>
      <c r="H1700" s="9">
        <f>IF(D1700="USD",E1700*$N$1,E1700)</f>
        <v/>
      </c>
      <c r="I1700" s="9">
        <f>IF(D1700="USD",F1700*$N$1,F1700)</f>
        <v/>
      </c>
      <c r="J1700" s="9">
        <f>IF(D1700="USD",G1700*$N$1,G1700)</f>
        <v/>
      </c>
      <c r="K1700" s="9">
        <f>H1700+I1700</f>
        <v/>
      </c>
    </row>
    <row r="1701">
      <c r="A1701" s="8" t="n">
        <v>46213</v>
      </c>
      <c r="B1701" t="inlineStr">
        <is>
          <t>2026-W28</t>
        </is>
      </c>
      <c r="C1701" t="inlineStr">
        <is>
          <t>Nuvei</t>
        </is>
      </c>
      <c r="D1701" t="inlineStr">
        <is>
          <t>EUR</t>
        </is>
      </c>
      <c r="E1701" s="9" t="n">
        <v>0</v>
      </c>
      <c r="F1701" s="9" t="n">
        <v>0</v>
      </c>
      <c r="G1701" s="9" t="n">
        <v>-683033.98</v>
      </c>
      <c r="H1701" s="9">
        <f>IF(D1701="USD",E1701*$N$1,E1701)</f>
        <v/>
      </c>
      <c r="I1701" s="9">
        <f>IF(D1701="USD",F1701*$N$1,F1701)</f>
        <v/>
      </c>
      <c r="J1701" s="9">
        <f>IF(D1701="USD",G1701*$N$1,G1701)</f>
        <v/>
      </c>
      <c r="K1701" s="9">
        <f>H1701+I1701</f>
        <v/>
      </c>
    </row>
    <row r="1702">
      <c r="A1702" s="8" t="n">
        <v>46213</v>
      </c>
      <c r="B1702" t="inlineStr">
        <is>
          <t>2026-W28</t>
        </is>
      </c>
      <c r="C1702" t="inlineStr">
        <is>
          <t>Nuvei</t>
        </is>
      </c>
      <c r="D1702" t="inlineStr">
        <is>
          <t>EUR</t>
        </is>
      </c>
      <c r="E1702" s="9" t="n">
        <v>273131.96</v>
      </c>
      <c r="F1702" s="9" t="n">
        <v>-5340.58</v>
      </c>
      <c r="G1702" s="9" t="n">
        <v>0</v>
      </c>
      <c r="H1702" s="9">
        <f>IF(D1702="USD",E1702*$N$1,E1702)</f>
        <v/>
      </c>
      <c r="I1702" s="9">
        <f>IF(D1702="USD",F1702*$N$1,F1702)</f>
        <v/>
      </c>
      <c r="J1702" s="9">
        <f>IF(D1702="USD",G1702*$N$1,G1702)</f>
        <v/>
      </c>
      <c r="K1702" s="9">
        <f>H1702+I1702</f>
        <v/>
      </c>
    </row>
    <row r="1703">
      <c r="A1703" s="8" t="n">
        <v>46213</v>
      </c>
      <c r="B1703" t="inlineStr">
        <is>
          <t>2026-W28</t>
        </is>
      </c>
      <c r="C1703" t="inlineStr">
        <is>
          <t>Nuvei</t>
        </is>
      </c>
      <c r="D1703" t="inlineStr">
        <is>
          <t>EUR</t>
        </is>
      </c>
      <c r="E1703" s="9" t="n">
        <v>260583.54</v>
      </c>
      <c r="F1703" s="9" t="n">
        <v>-7385.33</v>
      </c>
      <c r="G1703" s="9" t="n">
        <v>0</v>
      </c>
      <c r="H1703" s="9">
        <f>IF(D1703="USD",E1703*$N$1,E1703)</f>
        <v/>
      </c>
      <c r="I1703" s="9">
        <f>IF(D1703="USD",F1703*$N$1,F1703)</f>
        <v/>
      </c>
      <c r="J1703" s="9">
        <f>IF(D1703="USD",G1703*$N$1,G1703)</f>
        <v/>
      </c>
      <c r="K1703" s="9">
        <f>H1703+I1703</f>
        <v/>
      </c>
    </row>
    <row r="1704">
      <c r="A1704" s="8" t="n">
        <v>46213</v>
      </c>
      <c r="B1704" t="inlineStr">
        <is>
          <t>2026-W28</t>
        </is>
      </c>
      <c r="C1704" t="inlineStr">
        <is>
          <t>Nuvei</t>
        </is>
      </c>
      <c r="D1704" t="inlineStr">
        <is>
          <t>USD</t>
        </is>
      </c>
      <c r="E1704" s="9" t="n">
        <v>0</v>
      </c>
      <c r="F1704" s="9" t="n">
        <v>0</v>
      </c>
      <c r="G1704" s="9" t="n">
        <v>-33602.13</v>
      </c>
      <c r="H1704" s="9">
        <f>IF(D1704="USD",E1704*$N$1,E1704)</f>
        <v/>
      </c>
      <c r="I1704" s="9">
        <f>IF(D1704="USD",F1704*$N$1,F1704)</f>
        <v/>
      </c>
      <c r="J1704" s="9">
        <f>IF(D1704="USD",G1704*$N$1,G1704)</f>
        <v/>
      </c>
      <c r="K1704" s="9">
        <f>H1704+I1704</f>
        <v/>
      </c>
    </row>
    <row r="1705">
      <c r="A1705" s="8" t="n">
        <v>46213</v>
      </c>
      <c r="B1705" t="inlineStr">
        <is>
          <t>2026-W28</t>
        </is>
      </c>
      <c r="C1705" t="inlineStr">
        <is>
          <t>Nuvei</t>
        </is>
      </c>
      <c r="D1705" t="inlineStr">
        <is>
          <t>USD</t>
        </is>
      </c>
      <c r="E1705" s="9" t="n">
        <v>19737.1</v>
      </c>
      <c r="F1705" s="9" t="n">
        <v>-545.75</v>
      </c>
      <c r="G1705" s="9" t="n">
        <v>0</v>
      </c>
      <c r="H1705" s="9">
        <f>IF(D1705="USD",E1705*$N$1,E1705)</f>
        <v/>
      </c>
      <c r="I1705" s="9">
        <f>IF(D1705="USD",F1705*$N$1,F1705)</f>
        <v/>
      </c>
      <c r="J1705" s="9">
        <f>IF(D1705="USD",G1705*$N$1,G1705)</f>
        <v/>
      </c>
      <c r="K1705" s="9">
        <f>H1705+I1705</f>
        <v/>
      </c>
    </row>
    <row r="1706">
      <c r="A1706" s="8" t="n">
        <v>46213</v>
      </c>
      <c r="B1706" t="inlineStr">
        <is>
          <t>2026-W28</t>
        </is>
      </c>
      <c r="C1706" t="inlineStr">
        <is>
          <t>Paysafe</t>
        </is>
      </c>
      <c r="D1706" t="inlineStr">
        <is>
          <t>EUR</t>
        </is>
      </c>
      <c r="E1706" s="9" t="n">
        <v>162060.01</v>
      </c>
      <c r="F1706" s="9" t="n">
        <v>0</v>
      </c>
      <c r="G1706" s="9" t="n">
        <v>0</v>
      </c>
      <c r="H1706" s="9">
        <f>IF(D1706="USD",E1706*$N$1,E1706)</f>
        <v/>
      </c>
      <c r="I1706" s="9">
        <f>IF(D1706="USD",F1706*$N$1,F1706)</f>
        <v/>
      </c>
      <c r="J1706" s="9">
        <f>IF(D1706="USD",G1706*$N$1,G1706)</f>
        <v/>
      </c>
      <c r="K1706" s="9">
        <f>H1706+I1706</f>
        <v/>
      </c>
    </row>
    <row r="1707">
      <c r="A1707" s="8" t="n">
        <v>46213</v>
      </c>
      <c r="B1707" t="inlineStr">
        <is>
          <t>2026-W28</t>
        </is>
      </c>
      <c r="C1707" t="inlineStr">
        <is>
          <t>Paysafe</t>
        </is>
      </c>
      <c r="D1707" t="inlineStr">
        <is>
          <t>EUR</t>
        </is>
      </c>
      <c r="E1707" s="9" t="n">
        <v>0</v>
      </c>
      <c r="F1707" s="9" t="n">
        <v>-2735.33</v>
      </c>
      <c r="G1707" s="9" t="n">
        <v>-161950.25</v>
      </c>
      <c r="H1707" s="9">
        <f>IF(D1707="USD",E1707*$N$1,E1707)</f>
        <v/>
      </c>
      <c r="I1707" s="9">
        <f>IF(D1707="USD",F1707*$N$1,F1707)</f>
        <v/>
      </c>
      <c r="J1707" s="9">
        <f>IF(D1707="USD",G1707*$N$1,G1707)</f>
        <v/>
      </c>
      <c r="K1707" s="9">
        <f>H1707+I1707</f>
        <v/>
      </c>
    </row>
    <row r="1708">
      <c r="A1708" s="8" t="n">
        <v>46213</v>
      </c>
      <c r="B1708" t="inlineStr">
        <is>
          <t>2026-W28</t>
        </is>
      </c>
      <c r="C1708" t="inlineStr">
        <is>
          <t>Shift4</t>
        </is>
      </c>
      <c r="D1708" t="inlineStr">
        <is>
          <t>EUR</t>
        </is>
      </c>
      <c r="E1708" s="9" t="n">
        <v>0</v>
      </c>
      <c r="F1708" s="9" t="n">
        <v>0</v>
      </c>
      <c r="G1708" s="9" t="n">
        <v>-403809.02</v>
      </c>
      <c r="H1708" s="9">
        <f>IF(D1708="USD",E1708*$N$1,E1708)</f>
        <v/>
      </c>
      <c r="I1708" s="9">
        <f>IF(D1708="USD",F1708*$N$1,F1708)</f>
        <v/>
      </c>
      <c r="J1708" s="9">
        <f>IF(D1708="USD",G1708*$N$1,G1708)</f>
        <v/>
      </c>
      <c r="K1708" s="9">
        <f>H1708+I1708</f>
        <v/>
      </c>
    </row>
    <row r="1709">
      <c r="A1709" s="8" t="n">
        <v>46213</v>
      </c>
      <c r="B1709" t="inlineStr">
        <is>
          <t>2026-W28</t>
        </is>
      </c>
      <c r="C1709" t="inlineStr">
        <is>
          <t>Shift4</t>
        </is>
      </c>
      <c r="D1709" t="inlineStr">
        <is>
          <t>EUR</t>
        </is>
      </c>
      <c r="E1709" s="9" t="n">
        <v>363752.36</v>
      </c>
      <c r="F1709" s="9" t="n">
        <v>-4634.62</v>
      </c>
      <c r="G1709" s="9" t="n">
        <v>0</v>
      </c>
      <c r="H1709" s="9">
        <f>IF(D1709="USD",E1709*$N$1,E1709)</f>
        <v/>
      </c>
      <c r="I1709" s="9">
        <f>IF(D1709="USD",F1709*$N$1,F1709)</f>
        <v/>
      </c>
      <c r="J1709" s="9">
        <f>IF(D1709="USD",G1709*$N$1,G1709)</f>
        <v/>
      </c>
      <c r="K1709" s="9">
        <f>H1709+I1709</f>
        <v/>
      </c>
    </row>
    <row r="1710">
      <c r="A1710" s="8" t="n">
        <v>46214</v>
      </c>
      <c r="B1710" t="inlineStr">
        <is>
          <t>2026-W28</t>
        </is>
      </c>
      <c r="C1710" t="inlineStr">
        <is>
          <t>Adyen</t>
        </is>
      </c>
      <c r="D1710" t="inlineStr">
        <is>
          <t>EUR</t>
        </is>
      </c>
      <c r="E1710" s="9" t="n">
        <v>653628.6899999999</v>
      </c>
      <c r="F1710" s="9" t="n">
        <v>0</v>
      </c>
      <c r="G1710" s="9" t="n">
        <v>0</v>
      </c>
      <c r="H1710" s="9">
        <f>IF(D1710="USD",E1710*$N$1,E1710)</f>
        <v/>
      </c>
      <c r="I1710" s="9">
        <f>IF(D1710="USD",F1710*$N$1,F1710)</f>
        <v/>
      </c>
      <c r="J1710" s="9">
        <f>IF(D1710="USD",G1710*$N$1,G1710)</f>
        <v/>
      </c>
      <c r="K1710" s="9">
        <f>H1710+I1710</f>
        <v/>
      </c>
    </row>
    <row r="1711">
      <c r="A1711" s="8" t="n">
        <v>46214</v>
      </c>
      <c r="B1711" t="inlineStr">
        <is>
          <t>2026-W28</t>
        </is>
      </c>
      <c r="C1711" t="inlineStr">
        <is>
          <t>Adyen</t>
        </is>
      </c>
      <c r="D1711" t="inlineStr">
        <is>
          <t>EUR</t>
        </is>
      </c>
      <c r="E1711" s="9" t="n">
        <v>135219.41</v>
      </c>
      <c r="F1711" s="9" t="n">
        <v>0</v>
      </c>
      <c r="G1711" s="9" t="n">
        <v>0</v>
      </c>
      <c r="H1711" s="9">
        <f>IF(D1711="USD",E1711*$N$1,E1711)</f>
        <v/>
      </c>
      <c r="I1711" s="9">
        <f>IF(D1711="USD",F1711*$N$1,F1711)</f>
        <v/>
      </c>
      <c r="J1711" s="9">
        <f>IF(D1711="USD",G1711*$N$1,G1711)</f>
        <v/>
      </c>
      <c r="K1711" s="9">
        <f>H1711+I1711</f>
        <v/>
      </c>
    </row>
    <row r="1712">
      <c r="A1712" s="8" t="n">
        <v>46214</v>
      </c>
      <c r="B1712" t="inlineStr">
        <is>
          <t>2026-W28</t>
        </is>
      </c>
      <c r="C1712" t="inlineStr">
        <is>
          <t>Nuvei</t>
        </is>
      </c>
      <c r="D1712" t="inlineStr">
        <is>
          <t>EUR</t>
        </is>
      </c>
      <c r="E1712" s="9" t="n">
        <v>189642.55</v>
      </c>
      <c r="F1712" s="9" t="n">
        <v>-3684.83</v>
      </c>
      <c r="G1712" s="9" t="n">
        <v>0</v>
      </c>
      <c r="H1712" s="9">
        <f>IF(D1712="USD",E1712*$N$1,E1712)</f>
        <v/>
      </c>
      <c r="I1712" s="9">
        <f>IF(D1712="USD",F1712*$N$1,F1712)</f>
        <v/>
      </c>
      <c r="J1712" s="9">
        <f>IF(D1712="USD",G1712*$N$1,G1712)</f>
        <v/>
      </c>
      <c r="K1712" s="9">
        <f>H1712+I1712</f>
        <v/>
      </c>
    </row>
    <row r="1713">
      <c r="A1713" s="8" t="n">
        <v>46214</v>
      </c>
      <c r="B1713" t="inlineStr">
        <is>
          <t>2026-W28</t>
        </is>
      </c>
      <c r="C1713" t="inlineStr">
        <is>
          <t>Nuvei</t>
        </is>
      </c>
      <c r="D1713" t="inlineStr">
        <is>
          <t>EUR</t>
        </is>
      </c>
      <c r="E1713" s="9" t="n">
        <v>227988.78</v>
      </c>
      <c r="F1713" s="9" t="n">
        <v>-6565.14</v>
      </c>
      <c r="G1713" s="9" t="n">
        <v>0</v>
      </c>
      <c r="H1713" s="9">
        <f>IF(D1713="USD",E1713*$N$1,E1713)</f>
        <v/>
      </c>
      <c r="I1713" s="9">
        <f>IF(D1713="USD",F1713*$N$1,F1713)</f>
        <v/>
      </c>
      <c r="J1713" s="9">
        <f>IF(D1713="USD",G1713*$N$1,G1713)</f>
        <v/>
      </c>
      <c r="K1713" s="9">
        <f>H1713+I1713</f>
        <v/>
      </c>
    </row>
    <row r="1714">
      <c r="A1714" s="8" t="n">
        <v>46214</v>
      </c>
      <c r="B1714" t="inlineStr">
        <is>
          <t>2026-W28</t>
        </is>
      </c>
      <c r="C1714" t="inlineStr">
        <is>
          <t>Nuvei</t>
        </is>
      </c>
      <c r="D1714" t="inlineStr">
        <is>
          <t>USD</t>
        </is>
      </c>
      <c r="E1714" s="9" t="n">
        <v>12525.4</v>
      </c>
      <c r="F1714" s="9" t="n">
        <v>-360.68</v>
      </c>
      <c r="G1714" s="9" t="n">
        <v>0</v>
      </c>
      <c r="H1714" s="9">
        <f>IF(D1714="USD",E1714*$N$1,E1714)</f>
        <v/>
      </c>
      <c r="I1714" s="9">
        <f>IF(D1714="USD",F1714*$N$1,F1714)</f>
        <v/>
      </c>
      <c r="J1714" s="9">
        <f>IF(D1714="USD",G1714*$N$1,G1714)</f>
        <v/>
      </c>
      <c r="K1714" s="9">
        <f>H1714+I1714</f>
        <v/>
      </c>
    </row>
    <row r="1715">
      <c r="A1715" s="8" t="n">
        <v>46214</v>
      </c>
      <c r="B1715" t="inlineStr">
        <is>
          <t>2026-W28</t>
        </is>
      </c>
      <c r="C1715" t="inlineStr">
        <is>
          <t>Paysafe</t>
        </is>
      </c>
      <c r="D1715" t="inlineStr">
        <is>
          <t>EUR</t>
        </is>
      </c>
      <c r="E1715" s="9" t="n">
        <v>121024.13</v>
      </c>
      <c r="F1715" s="9" t="n">
        <v>0</v>
      </c>
      <c r="G1715" s="9" t="n">
        <v>0</v>
      </c>
      <c r="H1715" s="9">
        <f>IF(D1715="USD",E1715*$N$1,E1715)</f>
        <v/>
      </c>
      <c r="I1715" s="9">
        <f>IF(D1715="USD",F1715*$N$1,F1715)</f>
        <v/>
      </c>
      <c r="J1715" s="9">
        <f>IF(D1715="USD",G1715*$N$1,G1715)</f>
        <v/>
      </c>
      <c r="K1715" s="9">
        <f>H1715+I1715</f>
        <v/>
      </c>
    </row>
    <row r="1716">
      <c r="A1716" s="8" t="n">
        <v>46214</v>
      </c>
      <c r="B1716" t="inlineStr">
        <is>
          <t>2026-W28</t>
        </is>
      </c>
      <c r="C1716" t="inlineStr">
        <is>
          <t>Paysafe</t>
        </is>
      </c>
      <c r="D1716" t="inlineStr">
        <is>
          <t>EUR</t>
        </is>
      </c>
      <c r="E1716" s="9" t="n">
        <v>0</v>
      </c>
      <c r="F1716" s="9" t="n">
        <v>0</v>
      </c>
      <c r="G1716" s="9" t="n">
        <v>0</v>
      </c>
      <c r="H1716" s="9">
        <f>IF(D1716="USD",E1716*$N$1,E1716)</f>
        <v/>
      </c>
      <c r="I1716" s="9">
        <f>IF(D1716="USD",F1716*$N$1,F1716)</f>
        <v/>
      </c>
      <c r="J1716" s="9">
        <f>IF(D1716="USD",G1716*$N$1,G1716)</f>
        <v/>
      </c>
      <c r="K1716" s="9">
        <f>H1716+I1716</f>
        <v/>
      </c>
    </row>
    <row r="1717">
      <c r="A1717" s="8" t="n">
        <v>46214</v>
      </c>
      <c r="B1717" t="inlineStr">
        <is>
          <t>2026-W28</t>
        </is>
      </c>
      <c r="C1717" t="inlineStr">
        <is>
          <t>Shift4</t>
        </is>
      </c>
      <c r="D1717" t="inlineStr">
        <is>
          <t>EUR</t>
        </is>
      </c>
      <c r="E1717" s="9" t="n">
        <v>278432.78</v>
      </c>
      <c r="F1717" s="9" t="n">
        <v>-3169.69</v>
      </c>
      <c r="G1717" s="9" t="n">
        <v>0</v>
      </c>
      <c r="H1717" s="9">
        <f>IF(D1717="USD",E1717*$N$1,E1717)</f>
        <v/>
      </c>
      <c r="I1717" s="9">
        <f>IF(D1717="USD",F1717*$N$1,F1717)</f>
        <v/>
      </c>
      <c r="J1717" s="9">
        <f>IF(D1717="USD",G1717*$N$1,G1717)</f>
        <v/>
      </c>
      <c r="K1717" s="9">
        <f>H1717+I1717</f>
        <v/>
      </c>
    </row>
    <row r="1718">
      <c r="A1718" s="8" t="n">
        <v>46215</v>
      </c>
      <c r="B1718" t="inlineStr">
        <is>
          <t>2026-W28</t>
        </is>
      </c>
      <c r="C1718" t="inlineStr">
        <is>
          <t>Adyen</t>
        </is>
      </c>
      <c r="D1718" t="inlineStr">
        <is>
          <t>EUR</t>
        </is>
      </c>
      <c r="E1718" s="9" t="n">
        <v>648737.53</v>
      </c>
      <c r="F1718" s="9" t="n">
        <v>0</v>
      </c>
      <c r="G1718" s="9" t="n">
        <v>0</v>
      </c>
      <c r="H1718" s="9">
        <f>IF(D1718="USD",E1718*$N$1,E1718)</f>
        <v/>
      </c>
      <c r="I1718" s="9">
        <f>IF(D1718="USD",F1718*$N$1,F1718)</f>
        <v/>
      </c>
      <c r="J1718" s="9">
        <f>IF(D1718="USD",G1718*$N$1,G1718)</f>
        <v/>
      </c>
      <c r="K1718" s="9">
        <f>H1718+I1718</f>
        <v/>
      </c>
    </row>
    <row r="1719">
      <c r="A1719" s="8" t="n">
        <v>46215</v>
      </c>
      <c r="B1719" t="inlineStr">
        <is>
          <t>2026-W28</t>
        </is>
      </c>
      <c r="C1719" t="inlineStr">
        <is>
          <t>Adyen</t>
        </is>
      </c>
      <c r="D1719" t="inlineStr">
        <is>
          <t>EUR</t>
        </is>
      </c>
      <c r="E1719" s="9" t="n">
        <v>136328.34</v>
      </c>
      <c r="F1719" s="9" t="n">
        <v>0</v>
      </c>
      <c r="G1719" s="9" t="n">
        <v>0</v>
      </c>
      <c r="H1719" s="9">
        <f>IF(D1719="USD",E1719*$N$1,E1719)</f>
        <v/>
      </c>
      <c r="I1719" s="9">
        <f>IF(D1719="USD",F1719*$N$1,F1719)</f>
        <v/>
      </c>
      <c r="J1719" s="9">
        <f>IF(D1719="USD",G1719*$N$1,G1719)</f>
        <v/>
      </c>
      <c r="K1719" s="9">
        <f>H1719+I1719</f>
        <v/>
      </c>
    </row>
    <row r="1720">
      <c r="A1720" s="8" t="n">
        <v>46215</v>
      </c>
      <c r="B1720" t="inlineStr">
        <is>
          <t>2026-W28</t>
        </is>
      </c>
      <c r="C1720" t="inlineStr">
        <is>
          <t>Nuvei</t>
        </is>
      </c>
      <c r="D1720" t="inlineStr">
        <is>
          <t>EUR</t>
        </is>
      </c>
      <c r="E1720" s="9" t="n">
        <v>160378.14</v>
      </c>
      <c r="F1720" s="9" t="n">
        <v>-2901</v>
      </c>
      <c r="G1720" s="9" t="n">
        <v>0</v>
      </c>
      <c r="H1720" s="9">
        <f>IF(D1720="USD",E1720*$N$1,E1720)</f>
        <v/>
      </c>
      <c r="I1720" s="9">
        <f>IF(D1720="USD",F1720*$N$1,F1720)</f>
        <v/>
      </c>
      <c r="J1720" s="9">
        <f>IF(D1720="USD",G1720*$N$1,G1720)</f>
        <v/>
      </c>
      <c r="K1720" s="9">
        <f>H1720+I1720</f>
        <v/>
      </c>
    </row>
    <row r="1721">
      <c r="A1721" s="8" t="n">
        <v>46215</v>
      </c>
      <c r="B1721" t="inlineStr">
        <is>
          <t>2026-W28</t>
        </is>
      </c>
      <c r="C1721" t="inlineStr">
        <is>
          <t>Nuvei</t>
        </is>
      </c>
      <c r="D1721" t="inlineStr">
        <is>
          <t>EUR</t>
        </is>
      </c>
      <c r="E1721" s="9" t="n">
        <v>187864.65</v>
      </c>
      <c r="F1721" s="9" t="n">
        <v>-5402.13</v>
      </c>
      <c r="G1721" s="9" t="n">
        <v>0</v>
      </c>
      <c r="H1721" s="9">
        <f>IF(D1721="USD",E1721*$N$1,E1721)</f>
        <v/>
      </c>
      <c r="I1721" s="9">
        <f>IF(D1721="USD",F1721*$N$1,F1721)</f>
        <v/>
      </c>
      <c r="J1721" s="9">
        <f>IF(D1721="USD",G1721*$N$1,G1721)</f>
        <v/>
      </c>
      <c r="K1721" s="9">
        <f>H1721+I1721</f>
        <v/>
      </c>
    </row>
    <row r="1722">
      <c r="A1722" s="8" t="n">
        <v>46215</v>
      </c>
      <c r="B1722" t="inlineStr">
        <is>
          <t>2026-W28</t>
        </is>
      </c>
      <c r="C1722" t="inlineStr">
        <is>
          <t>Nuvei</t>
        </is>
      </c>
      <c r="D1722" t="inlineStr">
        <is>
          <t>USD</t>
        </is>
      </c>
      <c r="E1722" s="9" t="n">
        <v>7458.6</v>
      </c>
      <c r="F1722" s="9" t="n">
        <v>-208.6</v>
      </c>
      <c r="G1722" s="9" t="n">
        <v>0</v>
      </c>
      <c r="H1722" s="9">
        <f>IF(D1722="USD",E1722*$N$1,E1722)</f>
        <v/>
      </c>
      <c r="I1722" s="9">
        <f>IF(D1722="USD",F1722*$N$1,F1722)</f>
        <v/>
      </c>
      <c r="J1722" s="9">
        <f>IF(D1722="USD",G1722*$N$1,G1722)</f>
        <v/>
      </c>
      <c r="K1722" s="9">
        <f>H1722+I1722</f>
        <v/>
      </c>
    </row>
    <row r="1723">
      <c r="A1723" s="8" t="n">
        <v>46215</v>
      </c>
      <c r="B1723" t="inlineStr">
        <is>
          <t>2026-W28</t>
        </is>
      </c>
      <c r="C1723" t="inlineStr">
        <is>
          <t>Paysafe</t>
        </is>
      </c>
      <c r="D1723" t="inlineStr">
        <is>
          <t>EUR</t>
        </is>
      </c>
      <c r="E1723" s="9" t="n">
        <v>137082.53</v>
      </c>
      <c r="F1723" s="9" t="n">
        <v>0</v>
      </c>
      <c r="G1723" s="9" t="n">
        <v>0</v>
      </c>
      <c r="H1723" s="9">
        <f>IF(D1723="USD",E1723*$N$1,E1723)</f>
        <v/>
      </c>
      <c r="I1723" s="9">
        <f>IF(D1723="USD",F1723*$N$1,F1723)</f>
        <v/>
      </c>
      <c r="J1723" s="9">
        <f>IF(D1723="USD",G1723*$N$1,G1723)</f>
        <v/>
      </c>
      <c r="K1723" s="9">
        <f>H1723+I1723</f>
        <v/>
      </c>
    </row>
    <row r="1724">
      <c r="A1724" s="8" t="n">
        <v>46215</v>
      </c>
      <c r="B1724" t="inlineStr">
        <is>
          <t>2026-W28</t>
        </is>
      </c>
      <c r="C1724" t="inlineStr">
        <is>
          <t>Paysafe</t>
        </is>
      </c>
      <c r="D1724" t="inlineStr">
        <is>
          <t>EUR</t>
        </is>
      </c>
      <c r="E1724" s="9" t="n">
        <v>0</v>
      </c>
      <c r="F1724" s="9" t="n">
        <v>0</v>
      </c>
      <c r="G1724" s="9" t="n">
        <v>0</v>
      </c>
      <c r="H1724" s="9">
        <f>IF(D1724="USD",E1724*$N$1,E1724)</f>
        <v/>
      </c>
      <c r="I1724" s="9">
        <f>IF(D1724="USD",F1724*$N$1,F1724)</f>
        <v/>
      </c>
      <c r="J1724" s="9">
        <f>IF(D1724="USD",G1724*$N$1,G1724)</f>
        <v/>
      </c>
      <c r="K1724" s="9">
        <f>H1724+I1724</f>
        <v/>
      </c>
    </row>
    <row r="1725">
      <c r="A1725" s="8" t="n">
        <v>46215</v>
      </c>
      <c r="B1725" t="inlineStr">
        <is>
          <t>2026-W28</t>
        </is>
      </c>
      <c r="C1725" t="inlineStr">
        <is>
          <t>Shift4</t>
        </is>
      </c>
      <c r="D1725" t="inlineStr">
        <is>
          <t>EUR</t>
        </is>
      </c>
      <c r="E1725" s="9" t="n">
        <v>237381.66</v>
      </c>
      <c r="F1725" s="9" t="n">
        <v>-2465.7</v>
      </c>
      <c r="G1725" s="9" t="n">
        <v>0</v>
      </c>
      <c r="H1725" s="9">
        <f>IF(D1725="USD",E1725*$N$1,E1725)</f>
        <v/>
      </c>
      <c r="I1725" s="9">
        <f>IF(D1725="USD",F1725*$N$1,F1725)</f>
        <v/>
      </c>
      <c r="J1725" s="9">
        <f>IF(D1725="USD",G1725*$N$1,G1725)</f>
        <v/>
      </c>
      <c r="K1725" s="9">
        <f>H1725+I1725</f>
        <v/>
      </c>
    </row>
    <row r="1726">
      <c r="A1726" s="8" t="n">
        <v>46216</v>
      </c>
      <c r="B1726" t="inlineStr">
        <is>
          <t>2026-W29</t>
        </is>
      </c>
      <c r="C1726" t="inlineStr">
        <is>
          <t>Adyen</t>
        </is>
      </c>
      <c r="D1726" t="inlineStr">
        <is>
          <t>EUR</t>
        </is>
      </c>
      <c r="E1726" s="9" t="n">
        <v>893974.77</v>
      </c>
      <c r="F1726" s="9" t="n">
        <v>0</v>
      </c>
      <c r="G1726" s="9" t="n">
        <v>0</v>
      </c>
      <c r="H1726" s="9">
        <f>IF(D1726="USD",E1726*$N$1,E1726)</f>
        <v/>
      </c>
      <c r="I1726" s="9">
        <f>IF(D1726="USD",F1726*$N$1,F1726)</f>
        <v/>
      </c>
      <c r="J1726" s="9">
        <f>IF(D1726="USD",G1726*$N$1,G1726)</f>
        <v/>
      </c>
      <c r="K1726" s="9">
        <f>H1726+I1726</f>
        <v/>
      </c>
    </row>
    <row r="1727">
      <c r="A1727" s="8" t="n">
        <v>46216</v>
      </c>
      <c r="B1727" t="inlineStr">
        <is>
          <t>2026-W29</t>
        </is>
      </c>
      <c r="C1727" t="inlineStr">
        <is>
          <t>Adyen</t>
        </is>
      </c>
      <c r="D1727" t="inlineStr">
        <is>
          <t>EUR</t>
        </is>
      </c>
      <c r="E1727" s="9" t="n">
        <v>170931.18</v>
      </c>
      <c r="F1727" s="9" t="n">
        <v>0</v>
      </c>
      <c r="G1727" s="9" t="n">
        <v>0</v>
      </c>
      <c r="H1727" s="9">
        <f>IF(D1727="USD",E1727*$N$1,E1727)</f>
        <v/>
      </c>
      <c r="I1727" s="9">
        <f>IF(D1727="USD",F1727*$N$1,F1727)</f>
        <v/>
      </c>
      <c r="J1727" s="9">
        <f>IF(D1727="USD",G1727*$N$1,G1727)</f>
        <v/>
      </c>
      <c r="K1727" s="9">
        <f>H1727+I1727</f>
        <v/>
      </c>
    </row>
    <row r="1728">
      <c r="A1728" s="8" t="n">
        <v>46216</v>
      </c>
      <c r="B1728" t="inlineStr">
        <is>
          <t>2026-W29</t>
        </is>
      </c>
      <c r="C1728" t="inlineStr">
        <is>
          <t>Nuvei</t>
        </is>
      </c>
      <c r="D1728" t="inlineStr">
        <is>
          <t>EUR</t>
        </is>
      </c>
      <c r="E1728" s="9" t="n">
        <v>0</v>
      </c>
      <c r="F1728" s="9" t="n">
        <v>0</v>
      </c>
      <c r="G1728" s="9" t="n">
        <v>-283215.01</v>
      </c>
      <c r="H1728" s="9">
        <f>IF(D1728="USD",E1728*$N$1,E1728)</f>
        <v/>
      </c>
      <c r="I1728" s="9">
        <f>IF(D1728="USD",F1728*$N$1,F1728)</f>
        <v/>
      </c>
      <c r="J1728" s="9">
        <f>IF(D1728="USD",G1728*$N$1,G1728)</f>
        <v/>
      </c>
      <c r="K1728" s="9">
        <f>H1728+I1728</f>
        <v/>
      </c>
    </row>
    <row r="1729">
      <c r="A1729" s="8" t="n">
        <v>46216</v>
      </c>
      <c r="B1729" t="inlineStr">
        <is>
          <t>2026-W29</t>
        </is>
      </c>
      <c r="C1729" t="inlineStr">
        <is>
          <t>Nuvei</t>
        </is>
      </c>
      <c r="D1729" t="inlineStr">
        <is>
          <t>EUR</t>
        </is>
      </c>
      <c r="E1729" s="9" t="n">
        <v>0</v>
      </c>
      <c r="F1729" s="9" t="n">
        <v>0</v>
      </c>
      <c r="G1729" s="9" t="n">
        <v>-290157.19</v>
      </c>
      <c r="H1729" s="9">
        <f>IF(D1729="USD",E1729*$N$1,E1729)</f>
        <v/>
      </c>
      <c r="I1729" s="9">
        <f>IF(D1729="USD",F1729*$N$1,F1729)</f>
        <v/>
      </c>
      <c r="J1729" s="9">
        <f>IF(D1729="USD",G1729*$N$1,G1729)</f>
        <v/>
      </c>
      <c r="K1729" s="9">
        <f>H1729+I1729</f>
        <v/>
      </c>
    </row>
    <row r="1730">
      <c r="A1730" s="8" t="n">
        <v>46216</v>
      </c>
      <c r="B1730" t="inlineStr">
        <is>
          <t>2026-W29</t>
        </is>
      </c>
      <c r="C1730" t="inlineStr">
        <is>
          <t>Nuvei</t>
        </is>
      </c>
      <c r="D1730" t="inlineStr">
        <is>
          <t>USD</t>
        </is>
      </c>
      <c r="E1730" s="9" t="n">
        <v>0</v>
      </c>
      <c r="F1730" s="9" t="n">
        <v>0</v>
      </c>
      <c r="G1730" s="9" t="n">
        <v>-10108.63</v>
      </c>
      <c r="H1730" s="9">
        <f>IF(D1730="USD",E1730*$N$1,E1730)</f>
        <v/>
      </c>
      <c r="I1730" s="9">
        <f>IF(D1730="USD",F1730*$N$1,F1730)</f>
        <v/>
      </c>
      <c r="J1730" s="9">
        <f>IF(D1730="USD",G1730*$N$1,G1730)</f>
        <v/>
      </c>
      <c r="K1730" s="9">
        <f>H1730+I1730</f>
        <v/>
      </c>
    </row>
    <row r="1731">
      <c r="A1731" s="8" t="n">
        <v>46216</v>
      </c>
      <c r="B1731" t="inlineStr">
        <is>
          <t>2026-W29</t>
        </is>
      </c>
      <c r="C1731" t="inlineStr">
        <is>
          <t>Paysafe</t>
        </is>
      </c>
      <c r="D1731" t="inlineStr">
        <is>
          <t>EUR</t>
        </is>
      </c>
      <c r="E1731" s="9" t="n">
        <v>176199.19</v>
      </c>
      <c r="F1731" s="9" t="n">
        <v>0</v>
      </c>
      <c r="G1731" s="9" t="n">
        <v>0</v>
      </c>
      <c r="H1731" s="9">
        <f>IF(D1731="USD",E1731*$N$1,E1731)</f>
        <v/>
      </c>
      <c r="I1731" s="9">
        <f>IF(D1731="USD",F1731*$N$1,F1731)</f>
        <v/>
      </c>
      <c r="J1731" s="9">
        <f>IF(D1731="USD",G1731*$N$1,G1731)</f>
        <v/>
      </c>
      <c r="K1731" s="9">
        <f>H1731+I1731</f>
        <v/>
      </c>
    </row>
    <row r="1732">
      <c r="A1732" s="8" t="n">
        <v>46216</v>
      </c>
      <c r="B1732" t="inlineStr">
        <is>
          <t>2026-W29</t>
        </is>
      </c>
      <c r="C1732" t="inlineStr">
        <is>
          <t>Paysafe</t>
        </is>
      </c>
      <c r="D1732" t="inlineStr">
        <is>
          <t>EUR</t>
        </is>
      </c>
      <c r="E1732" s="9" t="n">
        <v>0</v>
      </c>
      <c r="F1732" s="9" t="n">
        <v>-7668.88</v>
      </c>
      <c r="G1732" s="9" t="n">
        <v>-414582.95</v>
      </c>
      <c r="H1732" s="9">
        <f>IF(D1732="USD",E1732*$N$1,E1732)</f>
        <v/>
      </c>
      <c r="I1732" s="9">
        <f>IF(D1732="USD",F1732*$N$1,F1732)</f>
        <v/>
      </c>
      <c r="J1732" s="9">
        <f>IF(D1732="USD",G1732*$N$1,G1732)</f>
        <v/>
      </c>
      <c r="K1732" s="9">
        <f>H1732+I1732</f>
        <v/>
      </c>
    </row>
    <row r="1733">
      <c r="A1733" s="8" t="n">
        <v>46216</v>
      </c>
      <c r="B1733" t="inlineStr">
        <is>
          <t>2026-W29</t>
        </is>
      </c>
      <c r="C1733" t="inlineStr">
        <is>
          <t>Shift4</t>
        </is>
      </c>
      <c r="D1733" t="inlineStr">
        <is>
          <t>EUR</t>
        </is>
      </c>
      <c r="E1733" s="9" t="n">
        <v>0</v>
      </c>
      <c r="F1733" s="9" t="n">
        <v>0</v>
      </c>
      <c r="G1733" s="9" t="n">
        <v>-406069.92</v>
      </c>
      <c r="H1733" s="9">
        <f>IF(D1733="USD",E1733*$N$1,E1733)</f>
        <v/>
      </c>
      <c r="I1733" s="9">
        <f>IF(D1733="USD",F1733*$N$1,F1733)</f>
        <v/>
      </c>
      <c r="J1733" s="9">
        <f>IF(D1733="USD",G1733*$N$1,G1733)</f>
        <v/>
      </c>
      <c r="K1733" s="9">
        <f>H1733+I1733</f>
        <v/>
      </c>
    </row>
    <row r="1734">
      <c r="A1734" s="8" t="n">
        <v>46216</v>
      </c>
      <c r="B1734" t="inlineStr">
        <is>
          <t>2026-W29</t>
        </is>
      </c>
      <c r="C1734" t="inlineStr">
        <is>
          <t>Shift4</t>
        </is>
      </c>
      <c r="D1734" t="inlineStr">
        <is>
          <t>EUR</t>
        </is>
      </c>
      <c r="E1734" s="9" t="n">
        <v>314504.37</v>
      </c>
      <c r="F1734" s="9" t="n">
        <v>-3789.68</v>
      </c>
      <c r="G1734" s="9" t="n">
        <v>0</v>
      </c>
      <c r="H1734" s="9">
        <f>IF(D1734="USD",E1734*$N$1,E1734)</f>
        <v/>
      </c>
      <c r="I1734" s="9">
        <f>IF(D1734="USD",F1734*$N$1,F1734)</f>
        <v/>
      </c>
      <c r="J1734" s="9">
        <f>IF(D1734="USD",G1734*$N$1,G1734)</f>
        <v/>
      </c>
      <c r="K1734" s="9">
        <f>H1734+I1734</f>
        <v/>
      </c>
    </row>
    <row r="1735">
      <c r="A1735" s="8" t="n">
        <v>46217</v>
      </c>
      <c r="B1735" t="inlineStr">
        <is>
          <t>2026-W29</t>
        </is>
      </c>
      <c r="C1735" t="inlineStr">
        <is>
          <t>Nuvei</t>
        </is>
      </c>
      <c r="D1735" t="inlineStr">
        <is>
          <t>EUR</t>
        </is>
      </c>
      <c r="E1735" s="9" t="n">
        <v>0</v>
      </c>
      <c r="F1735" s="9" t="n">
        <v>0</v>
      </c>
      <c r="G1735" s="9" t="n">
        <v>-324267.64</v>
      </c>
      <c r="H1735" s="9">
        <f>IF(D1735="USD",E1735*$N$1,E1735)</f>
        <v/>
      </c>
      <c r="I1735" s="9">
        <f>IF(D1735="USD",F1735*$N$1,F1735)</f>
        <v/>
      </c>
      <c r="J1735" s="9">
        <f>IF(D1735="USD",G1735*$N$1,G1735)</f>
        <v/>
      </c>
      <c r="K1735" s="9">
        <f>H1735+I1735</f>
        <v/>
      </c>
    </row>
    <row r="1736">
      <c r="A1736" s="8" t="n">
        <v>46217</v>
      </c>
      <c r="B1736" t="inlineStr">
        <is>
          <t>2026-W29</t>
        </is>
      </c>
      <c r="C1736" t="inlineStr">
        <is>
          <t>Nuvei</t>
        </is>
      </c>
      <c r="D1736" t="inlineStr">
        <is>
          <t>EUR</t>
        </is>
      </c>
      <c r="E1736" s="9" t="n">
        <v>0</v>
      </c>
      <c r="F1736" s="9" t="n">
        <v>0</v>
      </c>
      <c r="G1736" s="9" t="n">
        <v>-274430.69</v>
      </c>
      <c r="H1736" s="9">
        <f>IF(D1736="USD",E1736*$N$1,E1736)</f>
        <v/>
      </c>
      <c r="I1736" s="9">
        <f>IF(D1736="USD",F1736*$N$1,F1736)</f>
        <v/>
      </c>
      <c r="J1736" s="9">
        <f>IF(D1736="USD",G1736*$N$1,G1736)</f>
        <v/>
      </c>
      <c r="K1736" s="9">
        <f>H1736+I1736</f>
        <v/>
      </c>
    </row>
    <row r="1737">
      <c r="A1737" s="8" t="n">
        <v>46217</v>
      </c>
      <c r="B1737" t="inlineStr">
        <is>
          <t>2026-W29</t>
        </is>
      </c>
      <c r="C1737" t="inlineStr">
        <is>
          <t>Nuvei</t>
        </is>
      </c>
      <c r="D1737" t="inlineStr">
        <is>
          <t>USD</t>
        </is>
      </c>
      <c r="E1737" s="9" t="n">
        <v>0</v>
      </c>
      <c r="F1737" s="9" t="n">
        <v>0</v>
      </c>
      <c r="G1737" s="9" t="n">
        <v>-11827.2</v>
      </c>
      <c r="H1737" s="9">
        <f>IF(D1737="USD",E1737*$N$1,E1737)</f>
        <v/>
      </c>
      <c r="I1737" s="9">
        <f>IF(D1737="USD",F1737*$N$1,F1737)</f>
        <v/>
      </c>
      <c r="J1737" s="9">
        <f>IF(D1737="USD",G1737*$N$1,G1737)</f>
        <v/>
      </c>
      <c r="K1737" s="9">
        <f>H1737+I1737</f>
        <v/>
      </c>
    </row>
    <row r="1738">
      <c r="A1738" s="8" t="n">
        <v>46217</v>
      </c>
      <c r="B1738" t="inlineStr">
        <is>
          <t>2026-W29</t>
        </is>
      </c>
      <c r="C1738" t="inlineStr">
        <is>
          <t>Paysafe</t>
        </is>
      </c>
      <c r="D1738" t="inlineStr">
        <is>
          <t>EUR</t>
        </is>
      </c>
      <c r="E1738" s="9" t="n">
        <v>0</v>
      </c>
      <c r="F1738" s="9" t="n">
        <v>0</v>
      </c>
      <c r="G1738" s="9" t="n">
        <v>0</v>
      </c>
      <c r="H1738" s="9">
        <f>IF(D1738="USD",E1738*$N$1,E1738)</f>
        <v/>
      </c>
      <c r="I1738" s="9">
        <f>IF(D1738="USD",F1738*$N$1,F1738)</f>
        <v/>
      </c>
      <c r="J1738" s="9">
        <f>IF(D1738="USD",G1738*$N$1,G1738)</f>
        <v/>
      </c>
      <c r="K1738" s="9">
        <f>H1738+I1738</f>
        <v/>
      </c>
    </row>
    <row r="1739">
      <c r="A1739" s="8" t="n">
        <v>46217</v>
      </c>
      <c r="B1739" t="inlineStr">
        <is>
          <t>2026-W29</t>
        </is>
      </c>
      <c r="C1739" t="inlineStr">
        <is>
          <t>Paysafe</t>
        </is>
      </c>
      <c r="D1739" t="inlineStr">
        <is>
          <t>EUR</t>
        </is>
      </c>
      <c r="E1739" s="9" t="n">
        <v>0</v>
      </c>
      <c r="F1739" s="9" t="n">
        <v>0</v>
      </c>
      <c r="G1739" s="9" t="n">
        <v>0</v>
      </c>
      <c r="H1739" s="9">
        <f>IF(D1739="USD",E1739*$N$1,E1739)</f>
        <v/>
      </c>
      <c r="I1739" s="9">
        <f>IF(D1739="USD",F1739*$N$1,F1739)</f>
        <v/>
      </c>
      <c r="J1739" s="9">
        <f>IF(D1739="USD",G1739*$N$1,G1739)</f>
        <v/>
      </c>
      <c r="K1739" s="9">
        <f>H1739+I1739</f>
        <v/>
      </c>
    </row>
    <row r="1740">
      <c r="A1740" s="8" t="n">
        <v>46217</v>
      </c>
      <c r="B1740" t="inlineStr">
        <is>
          <t>2026-W29</t>
        </is>
      </c>
      <c r="C1740" t="inlineStr">
        <is>
          <t>Shift4</t>
        </is>
      </c>
      <c r="D1740" t="inlineStr">
        <is>
          <t>EUR</t>
        </is>
      </c>
      <c r="E1740" s="9" t="n">
        <v>0</v>
      </c>
      <c r="F1740" s="9" t="n">
        <v>0</v>
      </c>
      <c r="G1740" s="9" t="n">
        <v>-325704.93</v>
      </c>
      <c r="H1740" s="9">
        <f>IF(D1740="USD",E1740*$N$1,E1740)</f>
        <v/>
      </c>
      <c r="I1740" s="9">
        <f>IF(D1740="USD",F1740*$N$1,F1740)</f>
        <v/>
      </c>
      <c r="J1740" s="9">
        <f>IF(D1740="USD",G1740*$N$1,G1740)</f>
        <v/>
      </c>
      <c r="K1740" s="9">
        <f>H1740+I1740</f>
        <v/>
      </c>
    </row>
    <row r="1741">
      <c r="A1741" s="8" t="n">
        <v>46218</v>
      </c>
      <c r="B1741" t="inlineStr">
        <is>
          <t>2026-W29</t>
        </is>
      </c>
      <c r="C1741" t="inlineStr">
        <is>
          <t>Paysafe</t>
        </is>
      </c>
      <c r="D1741" t="inlineStr">
        <is>
          <t>EUR</t>
        </is>
      </c>
      <c r="E1741" s="9" t="n">
        <v>0</v>
      </c>
      <c r="F1741" s="9" t="n">
        <v>0</v>
      </c>
      <c r="G1741" s="9" t="n">
        <v>0</v>
      </c>
      <c r="H1741" s="9">
        <f>IF(D1741="USD",E1741*$N$1,E1741)</f>
        <v/>
      </c>
      <c r="I1741" s="9">
        <f>IF(D1741="USD",F1741*$N$1,F1741)</f>
        <v/>
      </c>
      <c r="J1741" s="9">
        <f>IF(D1741="USD",G1741*$N$1,G1741)</f>
        <v/>
      </c>
      <c r="K1741" s="9">
        <f>H1741+I1741</f>
        <v/>
      </c>
    </row>
    <row r="1742">
      <c r="A1742" s="8" t="n">
        <v>46218</v>
      </c>
      <c r="B1742" t="inlineStr">
        <is>
          <t>2026-W29</t>
        </is>
      </c>
      <c r="C1742" t="inlineStr">
        <is>
          <t>Paysafe</t>
        </is>
      </c>
      <c r="D1742" t="inlineStr">
        <is>
          <t>EUR</t>
        </is>
      </c>
      <c r="E1742" s="9" t="n">
        <v>0</v>
      </c>
      <c r="F1742" s="9" t="n">
        <v>0</v>
      </c>
      <c r="G1742" s="9" t="n">
        <v>0</v>
      </c>
      <c r="H1742" s="9">
        <f>IF(D1742="USD",E1742*$N$1,E1742)</f>
        <v/>
      </c>
      <c r="I1742" s="9">
        <f>IF(D1742="USD",F1742*$N$1,F1742)</f>
        <v/>
      </c>
      <c r="J1742" s="9">
        <f>IF(D1742="USD",G1742*$N$1,G1742)</f>
        <v/>
      </c>
      <c r="K1742" s="9">
        <f>H1742+I1742</f>
        <v/>
      </c>
    </row>
    <row r="1743">
      <c r="A1743" s="8" t="n">
        <v>46219</v>
      </c>
      <c r="B1743" t="inlineStr">
        <is>
          <t>2026-W29</t>
        </is>
      </c>
      <c r="C1743" t="inlineStr">
        <is>
          <t>Paysafe</t>
        </is>
      </c>
      <c r="D1743" t="inlineStr">
        <is>
          <t>EUR</t>
        </is>
      </c>
      <c r="E1743" s="9" t="n">
        <v>0</v>
      </c>
      <c r="F1743" s="9" t="n">
        <v>0</v>
      </c>
      <c r="G1743" s="9" t="n">
        <v>0</v>
      </c>
      <c r="H1743" s="9">
        <f>IF(D1743="USD",E1743*$N$1,E1743)</f>
        <v/>
      </c>
      <c r="I1743" s="9">
        <f>IF(D1743="USD",F1743*$N$1,F1743)</f>
        <v/>
      </c>
      <c r="J1743" s="9">
        <f>IF(D1743="USD",G1743*$N$1,G1743)</f>
        <v/>
      </c>
      <c r="K1743" s="9">
        <f>H1743+I1743</f>
        <v/>
      </c>
    </row>
    <row r="1744">
      <c r="A1744" s="8" t="n">
        <v>46219</v>
      </c>
      <c r="B1744" t="inlineStr">
        <is>
          <t>2026-W29</t>
        </is>
      </c>
      <c r="C1744" t="inlineStr">
        <is>
          <t>Paysafe</t>
        </is>
      </c>
      <c r="D1744" t="inlineStr">
        <is>
          <t>EUR</t>
        </is>
      </c>
      <c r="E1744" s="9" t="n">
        <v>0</v>
      </c>
      <c r="F1744" s="9" t="n">
        <v>0</v>
      </c>
      <c r="G1744" s="9" t="n">
        <v>0</v>
      </c>
      <c r="H1744" s="9">
        <f>IF(D1744="USD",E1744*$N$1,E1744)</f>
        <v/>
      </c>
      <c r="I1744" s="9">
        <f>IF(D1744="USD",F1744*$N$1,F1744)</f>
        <v/>
      </c>
      <c r="J1744" s="9">
        <f>IF(D1744="USD",G1744*$N$1,G1744)</f>
        <v/>
      </c>
      <c r="K1744" s="9">
        <f>H1744+I1744</f>
        <v/>
      </c>
    </row>
    <row r="1745">
      <c r="A1745" s="8" t="n">
        <v>46220</v>
      </c>
      <c r="B1745" t="inlineStr">
        <is>
          <t>2026-W29</t>
        </is>
      </c>
      <c r="C1745" t="inlineStr">
        <is>
          <t>Paysafe</t>
        </is>
      </c>
      <c r="D1745" t="inlineStr">
        <is>
          <t>EUR</t>
        </is>
      </c>
      <c r="E1745" s="9" t="n">
        <v>0</v>
      </c>
      <c r="F1745" s="9" t="n">
        <v>0</v>
      </c>
      <c r="G1745" s="9" t="n">
        <v>0</v>
      </c>
      <c r="H1745" s="9">
        <f>IF(D1745="USD",E1745*$N$1,E1745)</f>
        <v/>
      </c>
      <c r="I1745" s="9">
        <f>IF(D1745="USD",F1745*$N$1,F1745)</f>
        <v/>
      </c>
      <c r="J1745" s="9">
        <f>IF(D1745="USD",G1745*$N$1,G1745)</f>
        <v/>
      </c>
      <c r="K1745" s="9">
        <f>H1745+I1745</f>
        <v/>
      </c>
    </row>
    <row r="1746">
      <c r="A1746" s="8" t="n">
        <v>46220</v>
      </c>
      <c r="B1746" t="inlineStr">
        <is>
          <t>2026-W29</t>
        </is>
      </c>
      <c r="C1746" t="inlineStr">
        <is>
          <t>Paysafe</t>
        </is>
      </c>
      <c r="D1746" t="inlineStr">
        <is>
          <t>EUR</t>
        </is>
      </c>
      <c r="E1746" s="9" t="n">
        <v>0</v>
      </c>
      <c r="F1746" s="9" t="n">
        <v>0</v>
      </c>
      <c r="G1746" s="9" t="n">
        <v>0</v>
      </c>
      <c r="H1746" s="9">
        <f>IF(D1746="USD",E1746*$N$1,E1746)</f>
        <v/>
      </c>
      <c r="I1746" s="9">
        <f>IF(D1746="USD",F1746*$N$1,F1746)</f>
        <v/>
      </c>
      <c r="J1746" s="9">
        <f>IF(D1746="USD",G1746*$N$1,G1746)</f>
        <v/>
      </c>
      <c r="K1746" s="9">
        <f>H1746+I1746</f>
        <v/>
      </c>
    </row>
    <row r="1747">
      <c r="A1747" s="8" t="n">
        <v>46221</v>
      </c>
      <c r="B1747" t="inlineStr">
        <is>
          <t>2026-W29</t>
        </is>
      </c>
      <c r="C1747" t="inlineStr">
        <is>
          <t>Paysafe</t>
        </is>
      </c>
      <c r="D1747" t="inlineStr">
        <is>
          <t>EUR</t>
        </is>
      </c>
      <c r="E1747" s="9" t="n">
        <v>0</v>
      </c>
      <c r="F1747" s="9" t="n">
        <v>0</v>
      </c>
      <c r="G1747" s="9" t="n">
        <v>0</v>
      </c>
      <c r="H1747" s="9">
        <f>IF(D1747="USD",E1747*$N$1,E1747)</f>
        <v/>
      </c>
      <c r="I1747" s="9">
        <f>IF(D1747="USD",F1747*$N$1,F1747)</f>
        <v/>
      </c>
      <c r="J1747" s="9">
        <f>IF(D1747="USD",G1747*$N$1,G1747)</f>
        <v/>
      </c>
      <c r="K1747" s="9">
        <f>H1747+I1747</f>
        <v/>
      </c>
    </row>
    <row r="1748">
      <c r="A1748" s="8" t="n">
        <v>46221</v>
      </c>
      <c r="B1748" t="inlineStr">
        <is>
          <t>2026-W29</t>
        </is>
      </c>
      <c r="C1748" t="inlineStr">
        <is>
          <t>Paysafe</t>
        </is>
      </c>
      <c r="D1748" t="inlineStr">
        <is>
          <t>EUR</t>
        </is>
      </c>
      <c r="E1748" s="9" t="n">
        <v>0</v>
      </c>
      <c r="F1748" s="9" t="n">
        <v>0</v>
      </c>
      <c r="G1748" s="9" t="n">
        <v>0</v>
      </c>
      <c r="H1748" s="9">
        <f>IF(D1748="USD",E1748*$N$1,E1748)</f>
        <v/>
      </c>
      <c r="I1748" s="9">
        <f>IF(D1748="USD",F1748*$N$1,F1748)</f>
        <v/>
      </c>
      <c r="J1748" s="9">
        <f>IF(D1748="USD",G1748*$N$1,G1748)</f>
        <v/>
      </c>
      <c r="K1748" s="9">
        <f>H1748+I1748</f>
        <v/>
      </c>
    </row>
    <row r="1749">
      <c r="A1749" s="8" t="n">
        <v>46222</v>
      </c>
      <c r="B1749" t="inlineStr">
        <is>
          <t>2026-W29</t>
        </is>
      </c>
      <c r="C1749" t="inlineStr">
        <is>
          <t>Paysafe</t>
        </is>
      </c>
      <c r="D1749" t="inlineStr">
        <is>
          <t>EUR</t>
        </is>
      </c>
      <c r="E1749" s="9" t="n">
        <v>0</v>
      </c>
      <c r="F1749" s="9" t="n">
        <v>0</v>
      </c>
      <c r="G1749" s="9" t="n">
        <v>0</v>
      </c>
      <c r="H1749" s="9">
        <f>IF(D1749="USD",E1749*$N$1,E1749)</f>
        <v/>
      </c>
      <c r="I1749" s="9">
        <f>IF(D1749="USD",F1749*$N$1,F1749)</f>
        <v/>
      </c>
      <c r="J1749" s="9">
        <f>IF(D1749="USD",G1749*$N$1,G1749)</f>
        <v/>
      </c>
      <c r="K1749" s="9">
        <f>H1749+I1749</f>
        <v/>
      </c>
    </row>
    <row r="1750">
      <c r="A1750" s="8" t="n">
        <v>46222</v>
      </c>
      <c r="B1750" t="inlineStr">
        <is>
          <t>2026-W29</t>
        </is>
      </c>
      <c r="C1750" t="inlineStr">
        <is>
          <t>Paysafe</t>
        </is>
      </c>
      <c r="D1750" t="inlineStr">
        <is>
          <t>EUR</t>
        </is>
      </c>
      <c r="E1750" s="9" t="n">
        <v>0</v>
      </c>
      <c r="F1750" s="9" t="n">
        <v>0</v>
      </c>
      <c r="G1750" s="9" t="n">
        <v>0</v>
      </c>
      <c r="H1750" s="9">
        <f>IF(D1750="USD",E1750*$N$1,E1750)</f>
        <v/>
      </c>
      <c r="I1750" s="9">
        <f>IF(D1750="USD",F1750*$N$1,F1750)</f>
        <v/>
      </c>
      <c r="J1750" s="9">
        <f>IF(D1750="USD",G1750*$N$1,G1750)</f>
        <v/>
      </c>
      <c r="K1750" s="9">
        <f>H1750+I1750</f>
        <v/>
      </c>
    </row>
    <row r="1751">
      <c r="A1751" s="8" t="n">
        <v>46223</v>
      </c>
      <c r="B1751" t="inlineStr">
        <is>
          <t>2026-W30</t>
        </is>
      </c>
      <c r="C1751" t="inlineStr">
        <is>
          <t>Paysafe</t>
        </is>
      </c>
      <c r="D1751" t="inlineStr">
        <is>
          <t>EUR</t>
        </is>
      </c>
      <c r="E1751" s="9" t="n">
        <v>0</v>
      </c>
      <c r="F1751" s="9" t="n">
        <v>0</v>
      </c>
      <c r="G1751" s="9" t="n">
        <v>0</v>
      </c>
      <c r="H1751" s="9">
        <f>IF(D1751="USD",E1751*$N$1,E1751)</f>
        <v/>
      </c>
      <c r="I1751" s="9">
        <f>IF(D1751="USD",F1751*$N$1,F1751)</f>
        <v/>
      </c>
      <c r="J1751" s="9">
        <f>IF(D1751="USD",G1751*$N$1,G1751)</f>
        <v/>
      </c>
      <c r="K1751" s="9">
        <f>H1751+I1751</f>
        <v/>
      </c>
    </row>
    <row r="1752">
      <c r="A1752" s="8" t="n">
        <v>46223</v>
      </c>
      <c r="B1752" t="inlineStr">
        <is>
          <t>2026-W30</t>
        </is>
      </c>
      <c r="C1752" t="inlineStr">
        <is>
          <t>Paysafe</t>
        </is>
      </c>
      <c r="D1752" t="inlineStr">
        <is>
          <t>EUR</t>
        </is>
      </c>
      <c r="E1752" s="9" t="n">
        <v>0</v>
      </c>
      <c r="F1752" s="9" t="n">
        <v>0</v>
      </c>
      <c r="G1752" s="9" t="n">
        <v>0</v>
      </c>
      <c r="H1752" s="9">
        <f>IF(D1752="USD",E1752*$N$1,E1752)</f>
        <v/>
      </c>
      <c r="I1752" s="9">
        <f>IF(D1752="USD",F1752*$N$1,F1752)</f>
        <v/>
      </c>
      <c r="J1752" s="9">
        <f>IF(D1752="USD",G1752*$N$1,G1752)</f>
        <v/>
      </c>
      <c r="K1752" s="9">
        <f>H1752+I1752</f>
        <v/>
      </c>
    </row>
    <row r="1753">
      <c r="A1753" s="8" t="n">
        <v>46224</v>
      </c>
      <c r="B1753" t="inlineStr">
        <is>
          <t>2026-W30</t>
        </is>
      </c>
      <c r="C1753" t="inlineStr">
        <is>
          <t>Paysafe</t>
        </is>
      </c>
      <c r="D1753" t="inlineStr">
        <is>
          <t>EUR</t>
        </is>
      </c>
      <c r="E1753" s="9" t="n">
        <v>0</v>
      </c>
      <c r="F1753" s="9" t="n">
        <v>0</v>
      </c>
      <c r="G1753" s="9" t="n">
        <v>0</v>
      </c>
      <c r="H1753" s="9">
        <f>IF(D1753="USD",E1753*$N$1,E1753)</f>
        <v/>
      </c>
      <c r="I1753" s="9">
        <f>IF(D1753="USD",F1753*$N$1,F1753)</f>
        <v/>
      </c>
      <c r="J1753" s="9">
        <f>IF(D1753="USD",G1753*$N$1,G1753)</f>
        <v/>
      </c>
      <c r="K1753" s="9">
        <f>H1753+I1753</f>
        <v/>
      </c>
    </row>
    <row r="1754">
      <c r="A1754" s="8" t="n">
        <v>46224</v>
      </c>
      <c r="B1754" t="inlineStr">
        <is>
          <t>2026-W30</t>
        </is>
      </c>
      <c r="C1754" t="inlineStr">
        <is>
          <t>Paysafe</t>
        </is>
      </c>
      <c r="D1754" t="inlineStr">
        <is>
          <t>EUR</t>
        </is>
      </c>
      <c r="E1754" s="9" t="n">
        <v>0</v>
      </c>
      <c r="F1754" s="9" t="n">
        <v>0</v>
      </c>
      <c r="G1754" s="9" t="n">
        <v>0</v>
      </c>
      <c r="H1754" s="9">
        <f>IF(D1754="USD",E1754*$N$1,E1754)</f>
        <v/>
      </c>
      <c r="I1754" s="9">
        <f>IF(D1754="USD",F1754*$N$1,F1754)</f>
        <v/>
      </c>
      <c r="J1754" s="9">
        <f>IF(D1754="USD",G1754*$N$1,G1754)</f>
        <v/>
      </c>
      <c r="K1754" s="9">
        <f>H1754+I1754</f>
        <v/>
      </c>
    </row>
    <row r="1755">
      <c r="A1755" s="8" t="n">
        <v>46225</v>
      </c>
      <c r="B1755" t="inlineStr">
        <is>
          <t>2026-W30</t>
        </is>
      </c>
      <c r="C1755" t="inlineStr">
        <is>
          <t>Paysafe</t>
        </is>
      </c>
      <c r="D1755" t="inlineStr">
        <is>
          <t>EUR</t>
        </is>
      </c>
      <c r="E1755" s="9" t="n">
        <v>0</v>
      </c>
      <c r="F1755" s="9" t="n">
        <v>0</v>
      </c>
      <c r="G1755" s="9" t="n">
        <v>0</v>
      </c>
      <c r="H1755" s="9">
        <f>IF(D1755="USD",E1755*$N$1,E1755)</f>
        <v/>
      </c>
      <c r="I1755" s="9">
        <f>IF(D1755="USD",F1755*$N$1,F1755)</f>
        <v/>
      </c>
      <c r="J1755" s="9">
        <f>IF(D1755="USD",G1755*$N$1,G1755)</f>
        <v/>
      </c>
      <c r="K1755" s="9">
        <f>H1755+I1755</f>
        <v/>
      </c>
    </row>
    <row r="1756">
      <c r="A1756" s="8" t="n">
        <v>46225</v>
      </c>
      <c r="B1756" t="inlineStr">
        <is>
          <t>2026-W30</t>
        </is>
      </c>
      <c r="C1756" t="inlineStr">
        <is>
          <t>Paysafe</t>
        </is>
      </c>
      <c r="D1756" t="inlineStr">
        <is>
          <t>EUR</t>
        </is>
      </c>
      <c r="E1756" s="9" t="n">
        <v>0</v>
      </c>
      <c r="F1756" s="9" t="n">
        <v>0</v>
      </c>
      <c r="G1756" s="9" t="n">
        <v>0</v>
      </c>
      <c r="H1756" s="9">
        <f>IF(D1756="USD",E1756*$N$1,E1756)</f>
        <v/>
      </c>
      <c r="I1756" s="9">
        <f>IF(D1756="USD",F1756*$N$1,F1756)</f>
        <v/>
      </c>
      <c r="J1756" s="9">
        <f>IF(D1756="USD",G1756*$N$1,G1756)</f>
        <v/>
      </c>
      <c r="K1756" s="9">
        <f>H1756+I1756</f>
        <v/>
      </c>
    </row>
    <row r="1757">
      <c r="A1757" s="8" t="n">
        <v>46226</v>
      </c>
      <c r="B1757" t="inlineStr">
        <is>
          <t>2026-W30</t>
        </is>
      </c>
      <c r="C1757" t="inlineStr">
        <is>
          <t>Paysafe</t>
        </is>
      </c>
      <c r="D1757" t="inlineStr">
        <is>
          <t>EUR</t>
        </is>
      </c>
      <c r="E1757" s="9" t="n">
        <v>0</v>
      </c>
      <c r="F1757" s="9" t="n">
        <v>0</v>
      </c>
      <c r="G1757" s="9" t="n">
        <v>0</v>
      </c>
      <c r="H1757" s="9">
        <f>IF(D1757="USD",E1757*$N$1,E1757)</f>
        <v/>
      </c>
      <c r="I1757" s="9">
        <f>IF(D1757="USD",F1757*$N$1,F1757)</f>
        <v/>
      </c>
      <c r="J1757" s="9">
        <f>IF(D1757="USD",G1757*$N$1,G1757)</f>
        <v/>
      </c>
      <c r="K1757" s="9">
        <f>H1757+I1757</f>
        <v/>
      </c>
    </row>
    <row r="1758">
      <c r="A1758" s="8" t="n">
        <v>46226</v>
      </c>
      <c r="B1758" t="inlineStr">
        <is>
          <t>2026-W30</t>
        </is>
      </c>
      <c r="C1758" t="inlineStr">
        <is>
          <t>Paysafe</t>
        </is>
      </c>
      <c r="D1758" t="inlineStr">
        <is>
          <t>EUR</t>
        </is>
      </c>
      <c r="E1758" s="9" t="n">
        <v>0</v>
      </c>
      <c r="F1758" s="9" t="n">
        <v>0</v>
      </c>
      <c r="G1758" s="9" t="n">
        <v>0</v>
      </c>
      <c r="H1758" s="9">
        <f>IF(D1758="USD",E1758*$N$1,E1758)</f>
        <v/>
      </c>
      <c r="I1758" s="9">
        <f>IF(D1758="USD",F1758*$N$1,F1758)</f>
        <v/>
      </c>
      <c r="J1758" s="9">
        <f>IF(D1758="USD",G1758*$N$1,G1758)</f>
        <v/>
      </c>
      <c r="K1758" s="9">
        <f>H1758+I1758</f>
        <v/>
      </c>
    </row>
    <row r="1759">
      <c r="A1759" s="8" t="n">
        <v>46227</v>
      </c>
      <c r="B1759" t="inlineStr">
        <is>
          <t>2026-W30</t>
        </is>
      </c>
      <c r="C1759" t="inlineStr">
        <is>
          <t>Paysafe</t>
        </is>
      </c>
      <c r="D1759" t="inlineStr">
        <is>
          <t>EUR</t>
        </is>
      </c>
      <c r="E1759" s="9" t="n">
        <v>0</v>
      </c>
      <c r="F1759" s="9" t="n">
        <v>0</v>
      </c>
      <c r="G1759" s="9" t="n">
        <v>0</v>
      </c>
      <c r="H1759" s="9">
        <f>IF(D1759="USD",E1759*$N$1,E1759)</f>
        <v/>
      </c>
      <c r="I1759" s="9">
        <f>IF(D1759="USD",F1759*$N$1,F1759)</f>
        <v/>
      </c>
      <c r="J1759" s="9">
        <f>IF(D1759="USD",G1759*$N$1,G1759)</f>
        <v/>
      </c>
      <c r="K1759" s="9">
        <f>H1759+I1759</f>
        <v/>
      </c>
    </row>
    <row r="1760">
      <c r="A1760" s="8" t="n">
        <v>46227</v>
      </c>
      <c r="B1760" t="inlineStr">
        <is>
          <t>2026-W30</t>
        </is>
      </c>
      <c r="C1760" t="inlineStr">
        <is>
          <t>Paysafe</t>
        </is>
      </c>
      <c r="D1760" t="inlineStr">
        <is>
          <t>EUR</t>
        </is>
      </c>
      <c r="E1760" s="9" t="n">
        <v>0</v>
      </c>
      <c r="F1760" s="9" t="n">
        <v>0</v>
      </c>
      <c r="G1760" s="9" t="n">
        <v>0</v>
      </c>
      <c r="H1760" s="9">
        <f>IF(D1760="USD",E1760*$N$1,E1760)</f>
        <v/>
      </c>
      <c r="I1760" s="9">
        <f>IF(D1760="USD",F1760*$N$1,F1760)</f>
        <v/>
      </c>
      <c r="J1760" s="9">
        <f>IF(D1760="USD",G1760*$N$1,G1760)</f>
        <v/>
      </c>
      <c r="K1760" s="9">
        <f>H1760+I1760</f>
        <v/>
      </c>
    </row>
    <row r="1761">
      <c r="A1761" s="8" t="n">
        <v>46228</v>
      </c>
      <c r="B1761" t="inlineStr">
        <is>
          <t>2026-W30</t>
        </is>
      </c>
      <c r="C1761" t="inlineStr">
        <is>
          <t>Paysafe</t>
        </is>
      </c>
      <c r="D1761" t="inlineStr">
        <is>
          <t>EUR</t>
        </is>
      </c>
      <c r="E1761" s="9" t="n">
        <v>0</v>
      </c>
      <c r="F1761" s="9" t="n">
        <v>0</v>
      </c>
      <c r="G1761" s="9" t="n">
        <v>0</v>
      </c>
      <c r="H1761" s="9">
        <f>IF(D1761="USD",E1761*$N$1,E1761)</f>
        <v/>
      </c>
      <c r="I1761" s="9">
        <f>IF(D1761="USD",F1761*$N$1,F1761)</f>
        <v/>
      </c>
      <c r="J1761" s="9">
        <f>IF(D1761="USD",G1761*$N$1,G1761)</f>
        <v/>
      </c>
      <c r="K1761" s="9">
        <f>H1761+I1761</f>
        <v/>
      </c>
    </row>
    <row r="1762">
      <c r="A1762" s="8" t="n">
        <v>46228</v>
      </c>
      <c r="B1762" t="inlineStr">
        <is>
          <t>2026-W30</t>
        </is>
      </c>
      <c r="C1762" t="inlineStr">
        <is>
          <t>Paysafe</t>
        </is>
      </c>
      <c r="D1762" t="inlineStr">
        <is>
          <t>EUR</t>
        </is>
      </c>
      <c r="E1762" s="9" t="n">
        <v>0</v>
      </c>
      <c r="F1762" s="9" t="n">
        <v>0</v>
      </c>
      <c r="G1762" s="9" t="n">
        <v>0</v>
      </c>
      <c r="H1762" s="9">
        <f>IF(D1762="USD",E1762*$N$1,E1762)</f>
        <v/>
      </c>
      <c r="I1762" s="9">
        <f>IF(D1762="USD",F1762*$N$1,F1762)</f>
        <v/>
      </c>
      <c r="J1762" s="9">
        <f>IF(D1762="USD",G1762*$N$1,G1762)</f>
        <v/>
      </c>
      <c r="K1762" s="9">
        <f>H1762+I1762</f>
        <v/>
      </c>
    </row>
    <row r="1763">
      <c r="A1763" s="8" t="n">
        <v>46229</v>
      </c>
      <c r="B1763" t="inlineStr">
        <is>
          <t>2026-W30</t>
        </is>
      </c>
      <c r="C1763" t="inlineStr">
        <is>
          <t>Paysafe</t>
        </is>
      </c>
      <c r="D1763" t="inlineStr">
        <is>
          <t>EUR</t>
        </is>
      </c>
      <c r="E1763" s="9" t="n">
        <v>0</v>
      </c>
      <c r="F1763" s="9" t="n">
        <v>0</v>
      </c>
      <c r="G1763" s="9" t="n">
        <v>0</v>
      </c>
      <c r="H1763" s="9">
        <f>IF(D1763="USD",E1763*$N$1,E1763)</f>
        <v/>
      </c>
      <c r="I1763" s="9">
        <f>IF(D1763="USD",F1763*$N$1,F1763)</f>
        <v/>
      </c>
      <c r="J1763" s="9">
        <f>IF(D1763="USD",G1763*$N$1,G1763)</f>
        <v/>
      </c>
      <c r="K1763" s="9">
        <f>H1763+I1763</f>
        <v/>
      </c>
    </row>
    <row r="1764">
      <c r="A1764" s="8" t="n">
        <v>46229</v>
      </c>
      <c r="B1764" t="inlineStr">
        <is>
          <t>2026-W30</t>
        </is>
      </c>
      <c r="C1764" t="inlineStr">
        <is>
          <t>Paysafe</t>
        </is>
      </c>
      <c r="D1764" t="inlineStr">
        <is>
          <t>EUR</t>
        </is>
      </c>
      <c r="E1764" s="9" t="n">
        <v>0</v>
      </c>
      <c r="F1764" s="9" t="n">
        <v>0</v>
      </c>
      <c r="G1764" s="9" t="n">
        <v>0</v>
      </c>
      <c r="H1764" s="9">
        <f>IF(D1764="USD",E1764*$N$1,E1764)</f>
        <v/>
      </c>
      <c r="I1764" s="9">
        <f>IF(D1764="USD",F1764*$N$1,F1764)</f>
        <v/>
      </c>
      <c r="J1764" s="9">
        <f>IF(D1764="USD",G1764*$N$1,G1764)</f>
        <v/>
      </c>
      <c r="K1764" s="9">
        <f>H1764+I1764</f>
        <v/>
      </c>
    </row>
    <row r="1765">
      <c r="A1765" s="8" t="n">
        <v>46230</v>
      </c>
      <c r="B1765" t="inlineStr">
        <is>
          <t>2026-W31</t>
        </is>
      </c>
      <c r="C1765" t="inlineStr">
        <is>
          <t>Paysafe</t>
        </is>
      </c>
      <c r="D1765" t="inlineStr">
        <is>
          <t>EUR</t>
        </is>
      </c>
      <c r="E1765" s="9" t="n">
        <v>0</v>
      </c>
      <c r="F1765" s="9" t="n">
        <v>0</v>
      </c>
      <c r="G1765" s="9" t="n">
        <v>0</v>
      </c>
      <c r="H1765" s="9">
        <f>IF(D1765="USD",E1765*$N$1,E1765)</f>
        <v/>
      </c>
      <c r="I1765" s="9">
        <f>IF(D1765="USD",F1765*$N$1,F1765)</f>
        <v/>
      </c>
      <c r="J1765" s="9">
        <f>IF(D1765="USD",G1765*$N$1,G1765)</f>
        <v/>
      </c>
      <c r="K1765" s="9">
        <f>H1765+I1765</f>
        <v/>
      </c>
    </row>
    <row r="1766">
      <c r="A1766" s="8" t="n">
        <v>46230</v>
      </c>
      <c r="B1766" t="inlineStr">
        <is>
          <t>2026-W31</t>
        </is>
      </c>
      <c r="C1766" t="inlineStr">
        <is>
          <t>Paysafe</t>
        </is>
      </c>
      <c r="D1766" t="inlineStr">
        <is>
          <t>EUR</t>
        </is>
      </c>
      <c r="E1766" s="9" t="n">
        <v>0</v>
      </c>
      <c r="F1766" s="9" t="n">
        <v>0</v>
      </c>
      <c r="G1766" s="9" t="n">
        <v>0</v>
      </c>
      <c r="H1766" s="9">
        <f>IF(D1766="USD",E1766*$N$1,E1766)</f>
        <v/>
      </c>
      <c r="I1766" s="9">
        <f>IF(D1766="USD",F1766*$N$1,F1766)</f>
        <v/>
      </c>
      <c r="J1766" s="9">
        <f>IF(D1766="USD",G1766*$N$1,G1766)</f>
        <v/>
      </c>
      <c r="K1766" s="9">
        <f>H1766+I1766</f>
        <v/>
      </c>
    </row>
    <row r="1767">
      <c r="A1767" s="8" t="n">
        <v>46231</v>
      </c>
      <c r="B1767" t="inlineStr">
        <is>
          <t>2026-W31</t>
        </is>
      </c>
      <c r="C1767" t="inlineStr">
        <is>
          <t>Paysafe</t>
        </is>
      </c>
      <c r="D1767" t="inlineStr">
        <is>
          <t>EUR</t>
        </is>
      </c>
      <c r="E1767" s="9" t="n">
        <v>0</v>
      </c>
      <c r="F1767" s="9" t="n">
        <v>0</v>
      </c>
      <c r="G1767" s="9" t="n">
        <v>0</v>
      </c>
      <c r="H1767" s="9">
        <f>IF(D1767="USD",E1767*$N$1,E1767)</f>
        <v/>
      </c>
      <c r="I1767" s="9">
        <f>IF(D1767="USD",F1767*$N$1,F1767)</f>
        <v/>
      </c>
      <c r="J1767" s="9">
        <f>IF(D1767="USD",G1767*$N$1,G1767)</f>
        <v/>
      </c>
      <c r="K1767" s="9">
        <f>H1767+I1767</f>
        <v/>
      </c>
    </row>
    <row r="1768">
      <c r="A1768" s="8" t="n">
        <v>46231</v>
      </c>
      <c r="B1768" t="inlineStr">
        <is>
          <t>2026-W31</t>
        </is>
      </c>
      <c r="C1768" t="inlineStr">
        <is>
          <t>Paysafe</t>
        </is>
      </c>
      <c r="D1768" t="inlineStr">
        <is>
          <t>EUR</t>
        </is>
      </c>
      <c r="E1768" s="9" t="n">
        <v>0</v>
      </c>
      <c r="F1768" s="9" t="n">
        <v>0</v>
      </c>
      <c r="G1768" s="9" t="n">
        <v>0</v>
      </c>
      <c r="H1768" s="9">
        <f>IF(D1768="USD",E1768*$N$1,E1768)</f>
        <v/>
      </c>
      <c r="I1768" s="9">
        <f>IF(D1768="USD",F1768*$N$1,F1768)</f>
        <v/>
      </c>
      <c r="J1768" s="9">
        <f>IF(D1768="USD",G1768*$N$1,G1768)</f>
        <v/>
      </c>
      <c r="K1768" s="9">
        <f>H1768+I1768</f>
        <v/>
      </c>
    </row>
    <row r="1769">
      <c r="A1769" s="8" t="n">
        <v>46232</v>
      </c>
      <c r="B1769" t="inlineStr">
        <is>
          <t>2026-W31</t>
        </is>
      </c>
      <c r="C1769" t="inlineStr">
        <is>
          <t>Paysafe</t>
        </is>
      </c>
      <c r="D1769" t="inlineStr">
        <is>
          <t>EUR</t>
        </is>
      </c>
      <c r="E1769" s="9" t="n">
        <v>0</v>
      </c>
      <c r="F1769" s="9" t="n">
        <v>0</v>
      </c>
      <c r="G1769" s="9" t="n">
        <v>0</v>
      </c>
      <c r="H1769" s="9">
        <f>IF(D1769="USD",E1769*$N$1,E1769)</f>
        <v/>
      </c>
      <c r="I1769" s="9">
        <f>IF(D1769="USD",F1769*$N$1,F1769)</f>
        <v/>
      </c>
      <c r="J1769" s="9">
        <f>IF(D1769="USD",G1769*$N$1,G1769)</f>
        <v/>
      </c>
      <c r="K1769" s="9">
        <f>H1769+I1769</f>
        <v/>
      </c>
    </row>
    <row r="1770">
      <c r="A1770" s="8" t="n">
        <v>46232</v>
      </c>
      <c r="B1770" t="inlineStr">
        <is>
          <t>2026-W31</t>
        </is>
      </c>
      <c r="C1770" t="inlineStr">
        <is>
          <t>Paysafe</t>
        </is>
      </c>
      <c r="D1770" t="inlineStr">
        <is>
          <t>EUR</t>
        </is>
      </c>
      <c r="E1770" s="9" t="n">
        <v>0</v>
      </c>
      <c r="F1770" s="9" t="n">
        <v>0</v>
      </c>
      <c r="G1770" s="9" t="n">
        <v>0</v>
      </c>
      <c r="H1770" s="9">
        <f>IF(D1770="USD",E1770*$N$1,E1770)</f>
        <v/>
      </c>
      <c r="I1770" s="9">
        <f>IF(D1770="USD",F1770*$N$1,F1770)</f>
        <v/>
      </c>
      <c r="J1770" s="9">
        <f>IF(D1770="USD",G1770*$N$1,G1770)</f>
        <v/>
      </c>
      <c r="K1770" s="9">
        <f>H1770+I1770</f>
        <v/>
      </c>
    </row>
    <row r="1771">
      <c r="A1771" s="8" t="n">
        <v>46233</v>
      </c>
      <c r="B1771" t="inlineStr">
        <is>
          <t>2026-W31</t>
        </is>
      </c>
      <c r="C1771" t="inlineStr">
        <is>
          <t>Paysafe</t>
        </is>
      </c>
      <c r="D1771" t="inlineStr">
        <is>
          <t>EUR</t>
        </is>
      </c>
      <c r="E1771" s="9" t="n">
        <v>0</v>
      </c>
      <c r="F1771" s="9" t="n">
        <v>0</v>
      </c>
      <c r="G1771" s="9" t="n">
        <v>0</v>
      </c>
      <c r="H1771" s="9">
        <f>IF(D1771="USD",E1771*$N$1,E1771)</f>
        <v/>
      </c>
      <c r="I1771" s="9">
        <f>IF(D1771="USD",F1771*$N$1,F1771)</f>
        <v/>
      </c>
      <c r="J1771" s="9">
        <f>IF(D1771="USD",G1771*$N$1,G1771)</f>
        <v/>
      </c>
      <c r="K1771" s="9">
        <f>H1771+I1771</f>
        <v/>
      </c>
    </row>
    <row r="1772">
      <c r="A1772" s="8" t="n">
        <v>46233</v>
      </c>
      <c r="B1772" t="inlineStr">
        <is>
          <t>2026-W31</t>
        </is>
      </c>
      <c r="C1772" t="inlineStr">
        <is>
          <t>Paysafe</t>
        </is>
      </c>
      <c r="D1772" t="inlineStr">
        <is>
          <t>EUR</t>
        </is>
      </c>
      <c r="E1772" s="9" t="n">
        <v>0</v>
      </c>
      <c r="F1772" s="9" t="n">
        <v>0</v>
      </c>
      <c r="G1772" s="9" t="n">
        <v>0</v>
      </c>
      <c r="H1772" s="9">
        <f>IF(D1772="USD",E1772*$N$1,E1772)</f>
        <v/>
      </c>
      <c r="I1772" s="9">
        <f>IF(D1772="USD",F1772*$N$1,F1772)</f>
        <v/>
      </c>
      <c r="J1772" s="9">
        <f>IF(D1772="USD",G1772*$N$1,G1772)</f>
        <v/>
      </c>
      <c r="K1772" s="9">
        <f>H1772+I1772</f>
        <v/>
      </c>
    </row>
    <row r="1773">
      <c r="A1773" s="8" t="n">
        <v>46234</v>
      </c>
      <c r="B1773" t="inlineStr">
        <is>
          <t>2026-W31</t>
        </is>
      </c>
      <c r="C1773" t="inlineStr">
        <is>
          <t>Paysafe</t>
        </is>
      </c>
      <c r="D1773" t="inlineStr">
        <is>
          <t>EUR</t>
        </is>
      </c>
      <c r="E1773" s="9" t="n">
        <v>0</v>
      </c>
      <c r="F1773" s="9" t="n">
        <v>0</v>
      </c>
      <c r="G1773" s="9" t="n">
        <v>0</v>
      </c>
      <c r="H1773" s="9">
        <f>IF(D1773="USD",E1773*$N$1,E1773)</f>
        <v/>
      </c>
      <c r="I1773" s="9">
        <f>IF(D1773="USD",F1773*$N$1,F1773)</f>
        <v/>
      </c>
      <c r="J1773" s="9">
        <f>IF(D1773="USD",G1773*$N$1,G1773)</f>
        <v/>
      </c>
      <c r="K1773" s="9">
        <f>H1773+I1773</f>
        <v/>
      </c>
    </row>
    <row r="1774">
      <c r="A1774" s="8" t="n">
        <v>46234</v>
      </c>
      <c r="B1774" t="inlineStr">
        <is>
          <t>2026-W31</t>
        </is>
      </c>
      <c r="C1774" t="inlineStr">
        <is>
          <t>Paysafe</t>
        </is>
      </c>
      <c r="D1774" t="inlineStr">
        <is>
          <t>EUR</t>
        </is>
      </c>
      <c r="E1774" s="9" t="n">
        <v>0</v>
      </c>
      <c r="F1774" s="9" t="n">
        <v>0</v>
      </c>
      <c r="G1774" s="9" t="n">
        <v>0</v>
      </c>
      <c r="H1774" s="9">
        <f>IF(D1774="USD",E1774*$N$1,E1774)</f>
        <v/>
      </c>
      <c r="I1774" s="9">
        <f>IF(D1774="USD",F1774*$N$1,F1774)</f>
        <v/>
      </c>
      <c r="J1774" s="9">
        <f>IF(D1774="USD",G1774*$N$1,G1774)</f>
        <v/>
      </c>
      <c r="K1774" s="9">
        <f>H1774+I1774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0" t="inlineStr">
        <is>
          <t>RESUMEN — Ventas y Dinero Retenido por banco</t>
        </is>
      </c>
      <c r="B1" s="11" t="n"/>
      <c r="C1" s="11" t="n"/>
      <c r="D1" s="11" t="n"/>
      <c r="E1" s="11" t="n"/>
      <c r="F1" s="11" t="n"/>
      <c r="G1" s="11" t="n"/>
    </row>
    <row r="3">
      <c r="A3" s="12" t="inlineStr">
        <is>
          <t>DINERO RETENIDO ACTUAL (€)</t>
        </is>
      </c>
      <c r="B3" s="13" t="n"/>
      <c r="C3" s="13" t="n"/>
      <c r="D3" s="13" t="n"/>
      <c r="E3" s="13" t="n"/>
      <c r="F3" s="13" t="n"/>
      <c r="G3" s="13" t="n"/>
    </row>
    <row r="4">
      <c r="A4" s="14" t="inlineStr">
        <is>
          <t>Banco</t>
        </is>
      </c>
      <c r="B4" s="14" t="inlineStr">
        <is>
          <t>Retenido actual (€)</t>
        </is>
      </c>
    </row>
    <row r="5">
      <c r="A5" s="15" t="inlineStr">
        <is>
          <t>Shift4</t>
        </is>
      </c>
      <c r="B5" s="16" t="n">
        <v>1180011.48</v>
      </c>
    </row>
    <row r="6">
      <c r="A6" s="15" t="inlineStr">
        <is>
          <t>Nuvei</t>
        </is>
      </c>
      <c r="B6" s="16">
        <f>1735149.23+107343.25*Datos!$N$1</f>
        <v/>
      </c>
    </row>
    <row r="7">
      <c r="A7" s="15" t="inlineStr">
        <is>
          <t>Adyen</t>
        </is>
      </c>
      <c r="B7" s="16" t="n">
        <v>3644042.27</v>
      </c>
    </row>
    <row r="8">
      <c r="A8" s="15" t="inlineStr">
        <is>
          <t>Paysafe</t>
        </is>
      </c>
      <c r="B8" s="16" t="n">
        <v>313165.0399999999</v>
      </c>
    </row>
    <row r="9">
      <c r="A9" s="17" t="inlineStr">
        <is>
          <t>TOTAL</t>
        </is>
      </c>
      <c r="B9" s="18">
        <f>SUM(B5:B8)</f>
        <v/>
      </c>
    </row>
    <row r="12">
      <c r="A12" s="12" t="inlineStr">
        <is>
          <t>VENTAS SEMANALES POR BANCO (€)</t>
        </is>
      </c>
      <c r="B12" s="13" t="n"/>
      <c r="C12" s="13" t="n"/>
      <c r="D12" s="13" t="n"/>
      <c r="E12" s="13" t="n"/>
      <c r="F12" s="13" t="n"/>
    </row>
    <row r="13">
      <c r="A13" s="19" t="inlineStr">
        <is>
          <t>Semana</t>
        </is>
      </c>
      <c r="B13" s="19" t="inlineStr">
        <is>
          <t>Shift4</t>
        </is>
      </c>
      <c r="C13" s="19" t="inlineStr">
        <is>
          <t>Nuvei</t>
        </is>
      </c>
      <c r="D13" s="19" t="inlineStr">
        <is>
          <t>Adyen</t>
        </is>
      </c>
      <c r="E13" s="19" t="inlineStr">
        <is>
          <t>Paysafe</t>
        </is>
      </c>
      <c r="F13" s="19" t="inlineStr">
        <is>
          <t>TOTAL</t>
        </is>
      </c>
    </row>
    <row r="14">
      <c r="A14" s="20" t="inlineStr">
        <is>
          <t>2025-W39</t>
        </is>
      </c>
      <c r="B14" s="21">
        <f>SUMIFS(Datos!$H$4:$H$1774,Datos!$C$4:$C$1774,"Shift4",Datos!$B$4:$B$1774,A14)</f>
        <v/>
      </c>
      <c r="C14" s="21">
        <f>SUMIFS(Datos!$H$4:$H$1774,Datos!$C$4:$C$1774,"Nuvei",Datos!$B$4:$B$1774,A14)</f>
        <v/>
      </c>
      <c r="D14" s="21">
        <f>SUMIFS(Datos!$H$4:$H$1774,Datos!$C$4:$C$1774,"Adyen",Datos!$B$4:$B$1774,A14)</f>
        <v/>
      </c>
      <c r="E14" s="21">
        <f>SUMIFS(Datos!$H$4:$H$1774,Datos!$C$4:$C$1774,"Paysafe",Datos!$B$4:$B$1774,A14)</f>
        <v/>
      </c>
      <c r="F14" s="22">
        <f>SUM(B14:E14)</f>
        <v/>
      </c>
    </row>
    <row r="15">
      <c r="A15" t="inlineStr">
        <is>
          <t>2025-W40</t>
        </is>
      </c>
      <c r="B15" s="9">
        <f>SUMIFS(Datos!$H$4:$H$1774,Datos!$C$4:$C$1774,"Shift4",Datos!$B$4:$B$1774,A15)</f>
        <v/>
      </c>
      <c r="C15" s="9">
        <f>SUMIFS(Datos!$H$4:$H$1774,Datos!$C$4:$C$1774,"Nuvei",Datos!$B$4:$B$1774,A15)</f>
        <v/>
      </c>
      <c r="D15" s="9">
        <f>SUMIFS(Datos!$H$4:$H$1774,Datos!$C$4:$C$1774,"Adyen",Datos!$B$4:$B$1774,A15)</f>
        <v/>
      </c>
      <c r="E15" s="9">
        <f>SUMIFS(Datos!$H$4:$H$1774,Datos!$C$4:$C$1774,"Paysafe",Datos!$B$4:$B$1774,A15)</f>
        <v/>
      </c>
      <c r="F15" s="23">
        <f>SUM(B15:E15)</f>
        <v/>
      </c>
    </row>
    <row r="16">
      <c r="A16" s="20" t="inlineStr">
        <is>
          <t>2025-W41</t>
        </is>
      </c>
      <c r="B16" s="21">
        <f>SUMIFS(Datos!$H$4:$H$1774,Datos!$C$4:$C$1774,"Shift4",Datos!$B$4:$B$1774,A16)</f>
        <v/>
      </c>
      <c r="C16" s="21">
        <f>SUMIFS(Datos!$H$4:$H$1774,Datos!$C$4:$C$1774,"Nuvei",Datos!$B$4:$B$1774,A16)</f>
        <v/>
      </c>
      <c r="D16" s="21">
        <f>SUMIFS(Datos!$H$4:$H$1774,Datos!$C$4:$C$1774,"Adyen",Datos!$B$4:$B$1774,A16)</f>
        <v/>
      </c>
      <c r="E16" s="21">
        <f>SUMIFS(Datos!$H$4:$H$1774,Datos!$C$4:$C$1774,"Paysafe",Datos!$B$4:$B$1774,A16)</f>
        <v/>
      </c>
      <c r="F16" s="22">
        <f>SUM(B16:E16)</f>
        <v/>
      </c>
    </row>
    <row r="17">
      <c r="A17" t="inlineStr">
        <is>
          <t>2025-W42</t>
        </is>
      </c>
      <c r="B17" s="9">
        <f>SUMIFS(Datos!$H$4:$H$1774,Datos!$C$4:$C$1774,"Shift4",Datos!$B$4:$B$1774,A17)</f>
        <v/>
      </c>
      <c r="C17" s="9">
        <f>SUMIFS(Datos!$H$4:$H$1774,Datos!$C$4:$C$1774,"Nuvei",Datos!$B$4:$B$1774,A17)</f>
        <v/>
      </c>
      <c r="D17" s="9">
        <f>SUMIFS(Datos!$H$4:$H$1774,Datos!$C$4:$C$1774,"Adyen",Datos!$B$4:$B$1774,A17)</f>
        <v/>
      </c>
      <c r="E17" s="9">
        <f>SUMIFS(Datos!$H$4:$H$1774,Datos!$C$4:$C$1774,"Paysafe",Datos!$B$4:$B$1774,A17)</f>
        <v/>
      </c>
      <c r="F17" s="23">
        <f>SUM(B17:E17)</f>
        <v/>
      </c>
    </row>
    <row r="18">
      <c r="A18" s="20" t="inlineStr">
        <is>
          <t>2025-W43</t>
        </is>
      </c>
      <c r="B18" s="21">
        <f>SUMIFS(Datos!$H$4:$H$1774,Datos!$C$4:$C$1774,"Shift4",Datos!$B$4:$B$1774,A18)</f>
        <v/>
      </c>
      <c r="C18" s="21">
        <f>SUMIFS(Datos!$H$4:$H$1774,Datos!$C$4:$C$1774,"Nuvei",Datos!$B$4:$B$1774,A18)</f>
        <v/>
      </c>
      <c r="D18" s="21">
        <f>SUMIFS(Datos!$H$4:$H$1774,Datos!$C$4:$C$1774,"Adyen",Datos!$B$4:$B$1774,A18)</f>
        <v/>
      </c>
      <c r="E18" s="21">
        <f>SUMIFS(Datos!$H$4:$H$1774,Datos!$C$4:$C$1774,"Paysafe",Datos!$B$4:$B$1774,A18)</f>
        <v/>
      </c>
      <c r="F18" s="22">
        <f>SUM(B18:E18)</f>
        <v/>
      </c>
    </row>
    <row r="19">
      <c r="A19" t="inlineStr">
        <is>
          <t>2025-W44</t>
        </is>
      </c>
      <c r="B19" s="9">
        <f>SUMIFS(Datos!$H$4:$H$1774,Datos!$C$4:$C$1774,"Shift4",Datos!$B$4:$B$1774,A19)</f>
        <v/>
      </c>
      <c r="C19" s="9">
        <f>SUMIFS(Datos!$H$4:$H$1774,Datos!$C$4:$C$1774,"Nuvei",Datos!$B$4:$B$1774,A19)</f>
        <v/>
      </c>
      <c r="D19" s="9">
        <f>SUMIFS(Datos!$H$4:$H$1774,Datos!$C$4:$C$1774,"Adyen",Datos!$B$4:$B$1774,A19)</f>
        <v/>
      </c>
      <c r="E19" s="9">
        <f>SUMIFS(Datos!$H$4:$H$1774,Datos!$C$4:$C$1774,"Paysafe",Datos!$B$4:$B$1774,A19)</f>
        <v/>
      </c>
      <c r="F19" s="23">
        <f>SUM(B19:E19)</f>
        <v/>
      </c>
    </row>
    <row r="20">
      <c r="A20" s="20" t="inlineStr">
        <is>
          <t>2025-W45</t>
        </is>
      </c>
      <c r="B20" s="21">
        <f>SUMIFS(Datos!$H$4:$H$1774,Datos!$C$4:$C$1774,"Shift4",Datos!$B$4:$B$1774,A20)</f>
        <v/>
      </c>
      <c r="C20" s="21">
        <f>SUMIFS(Datos!$H$4:$H$1774,Datos!$C$4:$C$1774,"Nuvei",Datos!$B$4:$B$1774,A20)</f>
        <v/>
      </c>
      <c r="D20" s="21">
        <f>SUMIFS(Datos!$H$4:$H$1774,Datos!$C$4:$C$1774,"Adyen",Datos!$B$4:$B$1774,A20)</f>
        <v/>
      </c>
      <c r="E20" s="21">
        <f>SUMIFS(Datos!$H$4:$H$1774,Datos!$C$4:$C$1774,"Paysafe",Datos!$B$4:$B$1774,A20)</f>
        <v/>
      </c>
      <c r="F20" s="22">
        <f>SUM(B20:E20)</f>
        <v/>
      </c>
    </row>
    <row r="21">
      <c r="A21" t="inlineStr">
        <is>
          <t>2025-W46</t>
        </is>
      </c>
      <c r="B21" s="9">
        <f>SUMIFS(Datos!$H$4:$H$1774,Datos!$C$4:$C$1774,"Shift4",Datos!$B$4:$B$1774,A21)</f>
        <v/>
      </c>
      <c r="C21" s="9">
        <f>SUMIFS(Datos!$H$4:$H$1774,Datos!$C$4:$C$1774,"Nuvei",Datos!$B$4:$B$1774,A21)</f>
        <v/>
      </c>
      <c r="D21" s="9">
        <f>SUMIFS(Datos!$H$4:$H$1774,Datos!$C$4:$C$1774,"Adyen",Datos!$B$4:$B$1774,A21)</f>
        <v/>
      </c>
      <c r="E21" s="9">
        <f>SUMIFS(Datos!$H$4:$H$1774,Datos!$C$4:$C$1774,"Paysafe",Datos!$B$4:$B$1774,A21)</f>
        <v/>
      </c>
      <c r="F21" s="23">
        <f>SUM(B21:E21)</f>
        <v/>
      </c>
    </row>
    <row r="22">
      <c r="A22" s="20" t="inlineStr">
        <is>
          <t>2025-W47</t>
        </is>
      </c>
      <c r="B22" s="21">
        <f>SUMIFS(Datos!$H$4:$H$1774,Datos!$C$4:$C$1774,"Shift4",Datos!$B$4:$B$1774,A22)</f>
        <v/>
      </c>
      <c r="C22" s="21">
        <f>SUMIFS(Datos!$H$4:$H$1774,Datos!$C$4:$C$1774,"Nuvei",Datos!$B$4:$B$1774,A22)</f>
        <v/>
      </c>
      <c r="D22" s="21">
        <f>SUMIFS(Datos!$H$4:$H$1774,Datos!$C$4:$C$1774,"Adyen",Datos!$B$4:$B$1774,A22)</f>
        <v/>
      </c>
      <c r="E22" s="21">
        <f>SUMIFS(Datos!$H$4:$H$1774,Datos!$C$4:$C$1774,"Paysafe",Datos!$B$4:$B$1774,A22)</f>
        <v/>
      </c>
      <c r="F22" s="22">
        <f>SUM(B22:E22)</f>
        <v/>
      </c>
    </row>
    <row r="23">
      <c r="A23" t="inlineStr">
        <is>
          <t>2025-W48</t>
        </is>
      </c>
      <c r="B23" s="9">
        <f>SUMIFS(Datos!$H$4:$H$1774,Datos!$C$4:$C$1774,"Shift4",Datos!$B$4:$B$1774,A23)</f>
        <v/>
      </c>
      <c r="C23" s="9">
        <f>SUMIFS(Datos!$H$4:$H$1774,Datos!$C$4:$C$1774,"Nuvei",Datos!$B$4:$B$1774,A23)</f>
        <v/>
      </c>
      <c r="D23" s="9">
        <f>SUMIFS(Datos!$H$4:$H$1774,Datos!$C$4:$C$1774,"Adyen",Datos!$B$4:$B$1774,A23)</f>
        <v/>
      </c>
      <c r="E23" s="9">
        <f>SUMIFS(Datos!$H$4:$H$1774,Datos!$C$4:$C$1774,"Paysafe",Datos!$B$4:$B$1774,A23)</f>
        <v/>
      </c>
      <c r="F23" s="23">
        <f>SUM(B23:E23)</f>
        <v/>
      </c>
    </row>
    <row r="24">
      <c r="A24" s="20" t="inlineStr">
        <is>
          <t>2025-W49</t>
        </is>
      </c>
      <c r="B24" s="21">
        <f>SUMIFS(Datos!$H$4:$H$1774,Datos!$C$4:$C$1774,"Shift4",Datos!$B$4:$B$1774,A24)</f>
        <v/>
      </c>
      <c r="C24" s="21">
        <f>SUMIFS(Datos!$H$4:$H$1774,Datos!$C$4:$C$1774,"Nuvei",Datos!$B$4:$B$1774,A24)</f>
        <v/>
      </c>
      <c r="D24" s="21">
        <f>SUMIFS(Datos!$H$4:$H$1774,Datos!$C$4:$C$1774,"Adyen",Datos!$B$4:$B$1774,A24)</f>
        <v/>
      </c>
      <c r="E24" s="21">
        <f>SUMIFS(Datos!$H$4:$H$1774,Datos!$C$4:$C$1774,"Paysafe",Datos!$B$4:$B$1774,A24)</f>
        <v/>
      </c>
      <c r="F24" s="22">
        <f>SUM(B24:E24)</f>
        <v/>
      </c>
    </row>
    <row r="25">
      <c r="A25" t="inlineStr">
        <is>
          <t>2025-W50</t>
        </is>
      </c>
      <c r="B25" s="9">
        <f>SUMIFS(Datos!$H$4:$H$1774,Datos!$C$4:$C$1774,"Shift4",Datos!$B$4:$B$1774,A25)</f>
        <v/>
      </c>
      <c r="C25" s="9">
        <f>SUMIFS(Datos!$H$4:$H$1774,Datos!$C$4:$C$1774,"Nuvei",Datos!$B$4:$B$1774,A25)</f>
        <v/>
      </c>
      <c r="D25" s="9">
        <f>SUMIFS(Datos!$H$4:$H$1774,Datos!$C$4:$C$1774,"Adyen",Datos!$B$4:$B$1774,A25)</f>
        <v/>
      </c>
      <c r="E25" s="9">
        <f>SUMIFS(Datos!$H$4:$H$1774,Datos!$C$4:$C$1774,"Paysafe",Datos!$B$4:$B$1774,A25)</f>
        <v/>
      </c>
      <c r="F25" s="23">
        <f>SUM(B25:E25)</f>
        <v/>
      </c>
    </row>
    <row r="26">
      <c r="A26" s="20" t="inlineStr">
        <is>
          <t>2025-W51</t>
        </is>
      </c>
      <c r="B26" s="21">
        <f>SUMIFS(Datos!$H$4:$H$1774,Datos!$C$4:$C$1774,"Shift4",Datos!$B$4:$B$1774,A26)</f>
        <v/>
      </c>
      <c r="C26" s="21">
        <f>SUMIFS(Datos!$H$4:$H$1774,Datos!$C$4:$C$1774,"Nuvei",Datos!$B$4:$B$1774,A26)</f>
        <v/>
      </c>
      <c r="D26" s="21">
        <f>SUMIFS(Datos!$H$4:$H$1774,Datos!$C$4:$C$1774,"Adyen",Datos!$B$4:$B$1774,A26)</f>
        <v/>
      </c>
      <c r="E26" s="21">
        <f>SUMIFS(Datos!$H$4:$H$1774,Datos!$C$4:$C$1774,"Paysafe",Datos!$B$4:$B$1774,A26)</f>
        <v/>
      </c>
      <c r="F26" s="22">
        <f>SUM(B26:E26)</f>
        <v/>
      </c>
    </row>
    <row r="27">
      <c r="A27" t="inlineStr">
        <is>
          <t>2025-W52</t>
        </is>
      </c>
      <c r="B27" s="9">
        <f>SUMIFS(Datos!$H$4:$H$1774,Datos!$C$4:$C$1774,"Shift4",Datos!$B$4:$B$1774,A27)</f>
        <v/>
      </c>
      <c r="C27" s="9">
        <f>SUMIFS(Datos!$H$4:$H$1774,Datos!$C$4:$C$1774,"Nuvei",Datos!$B$4:$B$1774,A27)</f>
        <v/>
      </c>
      <c r="D27" s="9">
        <f>SUMIFS(Datos!$H$4:$H$1774,Datos!$C$4:$C$1774,"Adyen",Datos!$B$4:$B$1774,A27)</f>
        <v/>
      </c>
      <c r="E27" s="9">
        <f>SUMIFS(Datos!$H$4:$H$1774,Datos!$C$4:$C$1774,"Paysafe",Datos!$B$4:$B$1774,A27)</f>
        <v/>
      </c>
      <c r="F27" s="23">
        <f>SUM(B27:E27)</f>
        <v/>
      </c>
    </row>
    <row r="28">
      <c r="A28" s="20" t="inlineStr">
        <is>
          <t>2026-W01</t>
        </is>
      </c>
      <c r="B28" s="21">
        <f>SUMIFS(Datos!$H$4:$H$1774,Datos!$C$4:$C$1774,"Shift4",Datos!$B$4:$B$1774,A28)</f>
        <v/>
      </c>
      <c r="C28" s="21">
        <f>SUMIFS(Datos!$H$4:$H$1774,Datos!$C$4:$C$1774,"Nuvei",Datos!$B$4:$B$1774,A28)</f>
        <v/>
      </c>
      <c r="D28" s="21">
        <f>SUMIFS(Datos!$H$4:$H$1774,Datos!$C$4:$C$1774,"Adyen",Datos!$B$4:$B$1774,A28)</f>
        <v/>
      </c>
      <c r="E28" s="21">
        <f>SUMIFS(Datos!$H$4:$H$1774,Datos!$C$4:$C$1774,"Paysafe",Datos!$B$4:$B$1774,A28)</f>
        <v/>
      </c>
      <c r="F28" s="22">
        <f>SUM(B28:E28)</f>
        <v/>
      </c>
    </row>
    <row r="29">
      <c r="A29" t="inlineStr">
        <is>
          <t>2026-W02</t>
        </is>
      </c>
      <c r="B29" s="9">
        <f>SUMIFS(Datos!$H$4:$H$1774,Datos!$C$4:$C$1774,"Shift4",Datos!$B$4:$B$1774,A29)</f>
        <v/>
      </c>
      <c r="C29" s="9">
        <f>SUMIFS(Datos!$H$4:$H$1774,Datos!$C$4:$C$1774,"Nuvei",Datos!$B$4:$B$1774,A29)</f>
        <v/>
      </c>
      <c r="D29" s="9">
        <f>SUMIFS(Datos!$H$4:$H$1774,Datos!$C$4:$C$1774,"Adyen",Datos!$B$4:$B$1774,A29)</f>
        <v/>
      </c>
      <c r="E29" s="9">
        <f>SUMIFS(Datos!$H$4:$H$1774,Datos!$C$4:$C$1774,"Paysafe",Datos!$B$4:$B$1774,A29)</f>
        <v/>
      </c>
      <c r="F29" s="23">
        <f>SUM(B29:E29)</f>
        <v/>
      </c>
    </row>
    <row r="30">
      <c r="A30" s="20" t="inlineStr">
        <is>
          <t>2026-W03</t>
        </is>
      </c>
      <c r="B30" s="21">
        <f>SUMIFS(Datos!$H$4:$H$1774,Datos!$C$4:$C$1774,"Shift4",Datos!$B$4:$B$1774,A30)</f>
        <v/>
      </c>
      <c r="C30" s="21">
        <f>SUMIFS(Datos!$H$4:$H$1774,Datos!$C$4:$C$1774,"Nuvei",Datos!$B$4:$B$1774,A30)</f>
        <v/>
      </c>
      <c r="D30" s="21">
        <f>SUMIFS(Datos!$H$4:$H$1774,Datos!$C$4:$C$1774,"Adyen",Datos!$B$4:$B$1774,A30)</f>
        <v/>
      </c>
      <c r="E30" s="21">
        <f>SUMIFS(Datos!$H$4:$H$1774,Datos!$C$4:$C$1774,"Paysafe",Datos!$B$4:$B$1774,A30)</f>
        <v/>
      </c>
      <c r="F30" s="22">
        <f>SUM(B30:E30)</f>
        <v/>
      </c>
    </row>
    <row r="31">
      <c r="A31" t="inlineStr">
        <is>
          <t>2026-W04</t>
        </is>
      </c>
      <c r="B31" s="9">
        <f>SUMIFS(Datos!$H$4:$H$1774,Datos!$C$4:$C$1774,"Shift4",Datos!$B$4:$B$1774,A31)</f>
        <v/>
      </c>
      <c r="C31" s="9">
        <f>SUMIFS(Datos!$H$4:$H$1774,Datos!$C$4:$C$1774,"Nuvei",Datos!$B$4:$B$1774,A31)</f>
        <v/>
      </c>
      <c r="D31" s="9">
        <f>SUMIFS(Datos!$H$4:$H$1774,Datos!$C$4:$C$1774,"Adyen",Datos!$B$4:$B$1774,A31)</f>
        <v/>
      </c>
      <c r="E31" s="9">
        <f>SUMIFS(Datos!$H$4:$H$1774,Datos!$C$4:$C$1774,"Paysafe",Datos!$B$4:$B$1774,A31)</f>
        <v/>
      </c>
      <c r="F31" s="23">
        <f>SUM(B31:E31)</f>
        <v/>
      </c>
    </row>
    <row r="32">
      <c r="A32" s="20" t="inlineStr">
        <is>
          <t>2026-W05</t>
        </is>
      </c>
      <c r="B32" s="21">
        <f>SUMIFS(Datos!$H$4:$H$1774,Datos!$C$4:$C$1774,"Shift4",Datos!$B$4:$B$1774,A32)</f>
        <v/>
      </c>
      <c r="C32" s="21">
        <f>SUMIFS(Datos!$H$4:$H$1774,Datos!$C$4:$C$1774,"Nuvei",Datos!$B$4:$B$1774,A32)</f>
        <v/>
      </c>
      <c r="D32" s="21">
        <f>SUMIFS(Datos!$H$4:$H$1774,Datos!$C$4:$C$1774,"Adyen",Datos!$B$4:$B$1774,A32)</f>
        <v/>
      </c>
      <c r="E32" s="21">
        <f>SUMIFS(Datos!$H$4:$H$1774,Datos!$C$4:$C$1774,"Paysafe",Datos!$B$4:$B$1774,A32)</f>
        <v/>
      </c>
      <c r="F32" s="22">
        <f>SUM(B32:E32)</f>
        <v/>
      </c>
    </row>
    <row r="33">
      <c r="A33" t="inlineStr">
        <is>
          <t>2026-W06</t>
        </is>
      </c>
      <c r="B33" s="9">
        <f>SUMIFS(Datos!$H$4:$H$1774,Datos!$C$4:$C$1774,"Shift4",Datos!$B$4:$B$1774,A33)</f>
        <v/>
      </c>
      <c r="C33" s="9">
        <f>SUMIFS(Datos!$H$4:$H$1774,Datos!$C$4:$C$1774,"Nuvei",Datos!$B$4:$B$1774,A33)</f>
        <v/>
      </c>
      <c r="D33" s="9">
        <f>SUMIFS(Datos!$H$4:$H$1774,Datos!$C$4:$C$1774,"Adyen",Datos!$B$4:$B$1774,A33)</f>
        <v/>
      </c>
      <c r="E33" s="9">
        <f>SUMIFS(Datos!$H$4:$H$1774,Datos!$C$4:$C$1774,"Paysafe",Datos!$B$4:$B$1774,A33)</f>
        <v/>
      </c>
      <c r="F33" s="23">
        <f>SUM(B33:E33)</f>
        <v/>
      </c>
    </row>
    <row r="34">
      <c r="A34" s="20" t="inlineStr">
        <is>
          <t>2026-W07</t>
        </is>
      </c>
      <c r="B34" s="21">
        <f>SUMIFS(Datos!$H$4:$H$1774,Datos!$C$4:$C$1774,"Shift4",Datos!$B$4:$B$1774,A34)</f>
        <v/>
      </c>
      <c r="C34" s="21">
        <f>SUMIFS(Datos!$H$4:$H$1774,Datos!$C$4:$C$1774,"Nuvei",Datos!$B$4:$B$1774,A34)</f>
        <v/>
      </c>
      <c r="D34" s="21">
        <f>SUMIFS(Datos!$H$4:$H$1774,Datos!$C$4:$C$1774,"Adyen",Datos!$B$4:$B$1774,A34)</f>
        <v/>
      </c>
      <c r="E34" s="21">
        <f>SUMIFS(Datos!$H$4:$H$1774,Datos!$C$4:$C$1774,"Paysafe",Datos!$B$4:$B$1774,A34)</f>
        <v/>
      </c>
      <c r="F34" s="22">
        <f>SUM(B34:E34)</f>
        <v/>
      </c>
    </row>
    <row r="35">
      <c r="A35" t="inlineStr">
        <is>
          <t>2026-W08</t>
        </is>
      </c>
      <c r="B35" s="9">
        <f>SUMIFS(Datos!$H$4:$H$1774,Datos!$C$4:$C$1774,"Shift4",Datos!$B$4:$B$1774,A35)</f>
        <v/>
      </c>
      <c r="C35" s="9">
        <f>SUMIFS(Datos!$H$4:$H$1774,Datos!$C$4:$C$1774,"Nuvei",Datos!$B$4:$B$1774,A35)</f>
        <v/>
      </c>
      <c r="D35" s="9">
        <f>SUMIFS(Datos!$H$4:$H$1774,Datos!$C$4:$C$1774,"Adyen",Datos!$B$4:$B$1774,A35)</f>
        <v/>
      </c>
      <c r="E35" s="9">
        <f>SUMIFS(Datos!$H$4:$H$1774,Datos!$C$4:$C$1774,"Paysafe",Datos!$B$4:$B$1774,A35)</f>
        <v/>
      </c>
      <c r="F35" s="23">
        <f>SUM(B35:E35)</f>
        <v/>
      </c>
    </row>
    <row r="36">
      <c r="A36" s="20" t="inlineStr">
        <is>
          <t>2026-W09</t>
        </is>
      </c>
      <c r="B36" s="21">
        <f>SUMIFS(Datos!$H$4:$H$1774,Datos!$C$4:$C$1774,"Shift4",Datos!$B$4:$B$1774,A36)</f>
        <v/>
      </c>
      <c r="C36" s="21">
        <f>SUMIFS(Datos!$H$4:$H$1774,Datos!$C$4:$C$1774,"Nuvei",Datos!$B$4:$B$1774,A36)</f>
        <v/>
      </c>
      <c r="D36" s="21">
        <f>SUMIFS(Datos!$H$4:$H$1774,Datos!$C$4:$C$1774,"Adyen",Datos!$B$4:$B$1774,A36)</f>
        <v/>
      </c>
      <c r="E36" s="21">
        <f>SUMIFS(Datos!$H$4:$H$1774,Datos!$C$4:$C$1774,"Paysafe",Datos!$B$4:$B$1774,A36)</f>
        <v/>
      </c>
      <c r="F36" s="22">
        <f>SUM(B36:E36)</f>
        <v/>
      </c>
    </row>
    <row r="37">
      <c r="A37" t="inlineStr">
        <is>
          <t>2026-W10</t>
        </is>
      </c>
      <c r="B37" s="9">
        <f>SUMIFS(Datos!$H$4:$H$1774,Datos!$C$4:$C$1774,"Shift4",Datos!$B$4:$B$1774,A37)</f>
        <v/>
      </c>
      <c r="C37" s="9">
        <f>SUMIFS(Datos!$H$4:$H$1774,Datos!$C$4:$C$1774,"Nuvei",Datos!$B$4:$B$1774,A37)</f>
        <v/>
      </c>
      <c r="D37" s="9">
        <f>SUMIFS(Datos!$H$4:$H$1774,Datos!$C$4:$C$1774,"Adyen",Datos!$B$4:$B$1774,A37)</f>
        <v/>
      </c>
      <c r="E37" s="9">
        <f>SUMIFS(Datos!$H$4:$H$1774,Datos!$C$4:$C$1774,"Paysafe",Datos!$B$4:$B$1774,A37)</f>
        <v/>
      </c>
      <c r="F37" s="23">
        <f>SUM(B37:E37)</f>
        <v/>
      </c>
    </row>
    <row r="38">
      <c r="A38" s="20" t="inlineStr">
        <is>
          <t>2026-W11</t>
        </is>
      </c>
      <c r="B38" s="21">
        <f>SUMIFS(Datos!$H$4:$H$1774,Datos!$C$4:$C$1774,"Shift4",Datos!$B$4:$B$1774,A38)</f>
        <v/>
      </c>
      <c r="C38" s="21">
        <f>SUMIFS(Datos!$H$4:$H$1774,Datos!$C$4:$C$1774,"Nuvei",Datos!$B$4:$B$1774,A38)</f>
        <v/>
      </c>
      <c r="D38" s="21">
        <f>SUMIFS(Datos!$H$4:$H$1774,Datos!$C$4:$C$1774,"Adyen",Datos!$B$4:$B$1774,A38)</f>
        <v/>
      </c>
      <c r="E38" s="21">
        <f>SUMIFS(Datos!$H$4:$H$1774,Datos!$C$4:$C$1774,"Paysafe",Datos!$B$4:$B$1774,A38)</f>
        <v/>
      </c>
      <c r="F38" s="22">
        <f>SUM(B38:E38)</f>
        <v/>
      </c>
    </row>
    <row r="39">
      <c r="A39" t="inlineStr">
        <is>
          <t>2026-W12</t>
        </is>
      </c>
      <c r="B39" s="9">
        <f>SUMIFS(Datos!$H$4:$H$1774,Datos!$C$4:$C$1774,"Shift4",Datos!$B$4:$B$1774,A39)</f>
        <v/>
      </c>
      <c r="C39" s="9">
        <f>SUMIFS(Datos!$H$4:$H$1774,Datos!$C$4:$C$1774,"Nuvei",Datos!$B$4:$B$1774,A39)</f>
        <v/>
      </c>
      <c r="D39" s="9">
        <f>SUMIFS(Datos!$H$4:$H$1774,Datos!$C$4:$C$1774,"Adyen",Datos!$B$4:$B$1774,A39)</f>
        <v/>
      </c>
      <c r="E39" s="9">
        <f>SUMIFS(Datos!$H$4:$H$1774,Datos!$C$4:$C$1774,"Paysafe",Datos!$B$4:$B$1774,A39)</f>
        <v/>
      </c>
      <c r="F39" s="23">
        <f>SUM(B39:E39)</f>
        <v/>
      </c>
    </row>
    <row r="40">
      <c r="A40" s="20" t="inlineStr">
        <is>
          <t>2026-W13</t>
        </is>
      </c>
      <c r="B40" s="21">
        <f>SUMIFS(Datos!$H$4:$H$1774,Datos!$C$4:$C$1774,"Shift4",Datos!$B$4:$B$1774,A40)</f>
        <v/>
      </c>
      <c r="C40" s="21">
        <f>SUMIFS(Datos!$H$4:$H$1774,Datos!$C$4:$C$1774,"Nuvei",Datos!$B$4:$B$1774,A40)</f>
        <v/>
      </c>
      <c r="D40" s="21">
        <f>SUMIFS(Datos!$H$4:$H$1774,Datos!$C$4:$C$1774,"Adyen",Datos!$B$4:$B$1774,A40)</f>
        <v/>
      </c>
      <c r="E40" s="21">
        <f>SUMIFS(Datos!$H$4:$H$1774,Datos!$C$4:$C$1774,"Paysafe",Datos!$B$4:$B$1774,A40)</f>
        <v/>
      </c>
      <c r="F40" s="22">
        <f>SUM(B40:E40)</f>
        <v/>
      </c>
    </row>
    <row r="41">
      <c r="A41" t="inlineStr">
        <is>
          <t>2026-W14</t>
        </is>
      </c>
      <c r="B41" s="9">
        <f>SUMIFS(Datos!$H$4:$H$1774,Datos!$C$4:$C$1774,"Shift4",Datos!$B$4:$B$1774,A41)</f>
        <v/>
      </c>
      <c r="C41" s="9">
        <f>SUMIFS(Datos!$H$4:$H$1774,Datos!$C$4:$C$1774,"Nuvei",Datos!$B$4:$B$1774,A41)</f>
        <v/>
      </c>
      <c r="D41" s="9">
        <f>SUMIFS(Datos!$H$4:$H$1774,Datos!$C$4:$C$1774,"Adyen",Datos!$B$4:$B$1774,A41)</f>
        <v/>
      </c>
      <c r="E41" s="9">
        <f>SUMIFS(Datos!$H$4:$H$1774,Datos!$C$4:$C$1774,"Paysafe",Datos!$B$4:$B$1774,A41)</f>
        <v/>
      </c>
      <c r="F41" s="23">
        <f>SUM(B41:E41)</f>
        <v/>
      </c>
    </row>
    <row r="42">
      <c r="A42" s="20" t="inlineStr">
        <is>
          <t>2026-W15</t>
        </is>
      </c>
      <c r="B42" s="21">
        <f>SUMIFS(Datos!$H$4:$H$1774,Datos!$C$4:$C$1774,"Shift4",Datos!$B$4:$B$1774,A42)</f>
        <v/>
      </c>
      <c r="C42" s="21">
        <f>SUMIFS(Datos!$H$4:$H$1774,Datos!$C$4:$C$1774,"Nuvei",Datos!$B$4:$B$1774,A42)</f>
        <v/>
      </c>
      <c r="D42" s="21">
        <f>SUMIFS(Datos!$H$4:$H$1774,Datos!$C$4:$C$1774,"Adyen",Datos!$B$4:$B$1774,A42)</f>
        <v/>
      </c>
      <c r="E42" s="21">
        <f>SUMIFS(Datos!$H$4:$H$1774,Datos!$C$4:$C$1774,"Paysafe",Datos!$B$4:$B$1774,A42)</f>
        <v/>
      </c>
      <c r="F42" s="22">
        <f>SUM(B42:E42)</f>
        <v/>
      </c>
    </row>
    <row r="43">
      <c r="A43" t="inlineStr">
        <is>
          <t>2026-W16</t>
        </is>
      </c>
      <c r="B43" s="9">
        <f>SUMIFS(Datos!$H$4:$H$1774,Datos!$C$4:$C$1774,"Shift4",Datos!$B$4:$B$1774,A43)</f>
        <v/>
      </c>
      <c r="C43" s="9">
        <f>SUMIFS(Datos!$H$4:$H$1774,Datos!$C$4:$C$1774,"Nuvei",Datos!$B$4:$B$1774,A43)</f>
        <v/>
      </c>
      <c r="D43" s="9">
        <f>SUMIFS(Datos!$H$4:$H$1774,Datos!$C$4:$C$1774,"Adyen",Datos!$B$4:$B$1774,A43)</f>
        <v/>
      </c>
      <c r="E43" s="9">
        <f>SUMIFS(Datos!$H$4:$H$1774,Datos!$C$4:$C$1774,"Paysafe",Datos!$B$4:$B$1774,A43)</f>
        <v/>
      </c>
      <c r="F43" s="23">
        <f>SUM(B43:E43)</f>
        <v/>
      </c>
    </row>
    <row r="44">
      <c r="A44" s="20" t="inlineStr">
        <is>
          <t>2026-W17</t>
        </is>
      </c>
      <c r="B44" s="21">
        <f>SUMIFS(Datos!$H$4:$H$1774,Datos!$C$4:$C$1774,"Shift4",Datos!$B$4:$B$1774,A44)</f>
        <v/>
      </c>
      <c r="C44" s="21">
        <f>SUMIFS(Datos!$H$4:$H$1774,Datos!$C$4:$C$1774,"Nuvei",Datos!$B$4:$B$1774,A44)</f>
        <v/>
      </c>
      <c r="D44" s="21">
        <f>SUMIFS(Datos!$H$4:$H$1774,Datos!$C$4:$C$1774,"Adyen",Datos!$B$4:$B$1774,A44)</f>
        <v/>
      </c>
      <c r="E44" s="21">
        <f>SUMIFS(Datos!$H$4:$H$1774,Datos!$C$4:$C$1774,"Paysafe",Datos!$B$4:$B$1774,A44)</f>
        <v/>
      </c>
      <c r="F44" s="22">
        <f>SUM(B44:E44)</f>
        <v/>
      </c>
    </row>
    <row r="45">
      <c r="A45" t="inlineStr">
        <is>
          <t>2026-W18</t>
        </is>
      </c>
      <c r="B45" s="9">
        <f>SUMIFS(Datos!$H$4:$H$1774,Datos!$C$4:$C$1774,"Shift4",Datos!$B$4:$B$1774,A45)</f>
        <v/>
      </c>
      <c r="C45" s="9">
        <f>SUMIFS(Datos!$H$4:$H$1774,Datos!$C$4:$C$1774,"Nuvei",Datos!$B$4:$B$1774,A45)</f>
        <v/>
      </c>
      <c r="D45" s="9">
        <f>SUMIFS(Datos!$H$4:$H$1774,Datos!$C$4:$C$1774,"Adyen",Datos!$B$4:$B$1774,A45)</f>
        <v/>
      </c>
      <c r="E45" s="9">
        <f>SUMIFS(Datos!$H$4:$H$1774,Datos!$C$4:$C$1774,"Paysafe",Datos!$B$4:$B$1774,A45)</f>
        <v/>
      </c>
      <c r="F45" s="23">
        <f>SUM(B45:E45)</f>
        <v/>
      </c>
    </row>
    <row r="46">
      <c r="A46" s="20" t="inlineStr">
        <is>
          <t>2026-W19</t>
        </is>
      </c>
      <c r="B46" s="21">
        <f>SUMIFS(Datos!$H$4:$H$1774,Datos!$C$4:$C$1774,"Shift4",Datos!$B$4:$B$1774,A46)</f>
        <v/>
      </c>
      <c r="C46" s="21">
        <f>SUMIFS(Datos!$H$4:$H$1774,Datos!$C$4:$C$1774,"Nuvei",Datos!$B$4:$B$1774,A46)</f>
        <v/>
      </c>
      <c r="D46" s="21">
        <f>SUMIFS(Datos!$H$4:$H$1774,Datos!$C$4:$C$1774,"Adyen",Datos!$B$4:$B$1774,A46)</f>
        <v/>
      </c>
      <c r="E46" s="21">
        <f>SUMIFS(Datos!$H$4:$H$1774,Datos!$C$4:$C$1774,"Paysafe",Datos!$B$4:$B$1774,A46)</f>
        <v/>
      </c>
      <c r="F46" s="22">
        <f>SUM(B46:E46)</f>
        <v/>
      </c>
    </row>
    <row r="47">
      <c r="A47" t="inlineStr">
        <is>
          <t>2026-W20</t>
        </is>
      </c>
      <c r="B47" s="9">
        <f>SUMIFS(Datos!$H$4:$H$1774,Datos!$C$4:$C$1774,"Shift4",Datos!$B$4:$B$1774,A47)</f>
        <v/>
      </c>
      <c r="C47" s="9">
        <f>SUMIFS(Datos!$H$4:$H$1774,Datos!$C$4:$C$1774,"Nuvei",Datos!$B$4:$B$1774,A47)</f>
        <v/>
      </c>
      <c r="D47" s="9">
        <f>SUMIFS(Datos!$H$4:$H$1774,Datos!$C$4:$C$1774,"Adyen",Datos!$B$4:$B$1774,A47)</f>
        <v/>
      </c>
      <c r="E47" s="9">
        <f>SUMIFS(Datos!$H$4:$H$1774,Datos!$C$4:$C$1774,"Paysafe",Datos!$B$4:$B$1774,A47)</f>
        <v/>
      </c>
      <c r="F47" s="23">
        <f>SUM(B47:E47)</f>
        <v/>
      </c>
    </row>
    <row r="48">
      <c r="A48" s="20" t="inlineStr">
        <is>
          <t>2026-W21</t>
        </is>
      </c>
      <c r="B48" s="21">
        <f>SUMIFS(Datos!$H$4:$H$1774,Datos!$C$4:$C$1774,"Shift4",Datos!$B$4:$B$1774,A48)</f>
        <v/>
      </c>
      <c r="C48" s="21">
        <f>SUMIFS(Datos!$H$4:$H$1774,Datos!$C$4:$C$1774,"Nuvei",Datos!$B$4:$B$1774,A48)</f>
        <v/>
      </c>
      <c r="D48" s="21">
        <f>SUMIFS(Datos!$H$4:$H$1774,Datos!$C$4:$C$1774,"Adyen",Datos!$B$4:$B$1774,A48)</f>
        <v/>
      </c>
      <c r="E48" s="21">
        <f>SUMIFS(Datos!$H$4:$H$1774,Datos!$C$4:$C$1774,"Paysafe",Datos!$B$4:$B$1774,A48)</f>
        <v/>
      </c>
      <c r="F48" s="22">
        <f>SUM(B48:E48)</f>
        <v/>
      </c>
    </row>
    <row r="49">
      <c r="A49" t="inlineStr">
        <is>
          <t>2026-W22</t>
        </is>
      </c>
      <c r="B49" s="9">
        <f>SUMIFS(Datos!$H$4:$H$1774,Datos!$C$4:$C$1774,"Shift4",Datos!$B$4:$B$1774,A49)</f>
        <v/>
      </c>
      <c r="C49" s="9">
        <f>SUMIFS(Datos!$H$4:$H$1774,Datos!$C$4:$C$1774,"Nuvei",Datos!$B$4:$B$1774,A49)</f>
        <v/>
      </c>
      <c r="D49" s="9">
        <f>SUMIFS(Datos!$H$4:$H$1774,Datos!$C$4:$C$1774,"Adyen",Datos!$B$4:$B$1774,A49)</f>
        <v/>
      </c>
      <c r="E49" s="9">
        <f>SUMIFS(Datos!$H$4:$H$1774,Datos!$C$4:$C$1774,"Paysafe",Datos!$B$4:$B$1774,A49)</f>
        <v/>
      </c>
      <c r="F49" s="23">
        <f>SUM(B49:E49)</f>
        <v/>
      </c>
    </row>
    <row r="50">
      <c r="A50" s="20" t="inlineStr">
        <is>
          <t>2026-W23</t>
        </is>
      </c>
      <c r="B50" s="21">
        <f>SUMIFS(Datos!$H$4:$H$1774,Datos!$C$4:$C$1774,"Shift4",Datos!$B$4:$B$1774,A50)</f>
        <v/>
      </c>
      <c r="C50" s="21">
        <f>SUMIFS(Datos!$H$4:$H$1774,Datos!$C$4:$C$1774,"Nuvei",Datos!$B$4:$B$1774,A50)</f>
        <v/>
      </c>
      <c r="D50" s="21">
        <f>SUMIFS(Datos!$H$4:$H$1774,Datos!$C$4:$C$1774,"Adyen",Datos!$B$4:$B$1774,A50)</f>
        <v/>
      </c>
      <c r="E50" s="21">
        <f>SUMIFS(Datos!$H$4:$H$1774,Datos!$C$4:$C$1774,"Paysafe",Datos!$B$4:$B$1774,A50)</f>
        <v/>
      </c>
      <c r="F50" s="22">
        <f>SUM(B50:E50)</f>
        <v/>
      </c>
    </row>
    <row r="51">
      <c r="A51" t="inlineStr">
        <is>
          <t>2026-W24</t>
        </is>
      </c>
      <c r="B51" s="9">
        <f>SUMIFS(Datos!$H$4:$H$1774,Datos!$C$4:$C$1774,"Shift4",Datos!$B$4:$B$1774,A51)</f>
        <v/>
      </c>
      <c r="C51" s="9">
        <f>SUMIFS(Datos!$H$4:$H$1774,Datos!$C$4:$C$1774,"Nuvei",Datos!$B$4:$B$1774,A51)</f>
        <v/>
      </c>
      <c r="D51" s="9">
        <f>SUMIFS(Datos!$H$4:$H$1774,Datos!$C$4:$C$1774,"Adyen",Datos!$B$4:$B$1774,A51)</f>
        <v/>
      </c>
      <c r="E51" s="9">
        <f>SUMIFS(Datos!$H$4:$H$1774,Datos!$C$4:$C$1774,"Paysafe",Datos!$B$4:$B$1774,A51)</f>
        <v/>
      </c>
      <c r="F51" s="23">
        <f>SUM(B51:E51)</f>
        <v/>
      </c>
    </row>
    <row r="52">
      <c r="A52" s="20" t="inlineStr">
        <is>
          <t>2026-W25</t>
        </is>
      </c>
      <c r="B52" s="21">
        <f>SUMIFS(Datos!$H$4:$H$1774,Datos!$C$4:$C$1774,"Shift4",Datos!$B$4:$B$1774,A52)</f>
        <v/>
      </c>
      <c r="C52" s="21">
        <f>SUMIFS(Datos!$H$4:$H$1774,Datos!$C$4:$C$1774,"Nuvei",Datos!$B$4:$B$1774,A52)</f>
        <v/>
      </c>
      <c r="D52" s="21">
        <f>SUMIFS(Datos!$H$4:$H$1774,Datos!$C$4:$C$1774,"Adyen",Datos!$B$4:$B$1774,A52)</f>
        <v/>
      </c>
      <c r="E52" s="21">
        <f>SUMIFS(Datos!$H$4:$H$1774,Datos!$C$4:$C$1774,"Paysafe",Datos!$B$4:$B$1774,A52)</f>
        <v/>
      </c>
      <c r="F52" s="22">
        <f>SUM(B52:E52)</f>
        <v/>
      </c>
    </row>
    <row r="53">
      <c r="A53" t="inlineStr">
        <is>
          <t>2026-W26</t>
        </is>
      </c>
      <c r="B53" s="9">
        <f>SUMIFS(Datos!$H$4:$H$1774,Datos!$C$4:$C$1774,"Shift4",Datos!$B$4:$B$1774,A53)</f>
        <v/>
      </c>
      <c r="C53" s="9">
        <f>SUMIFS(Datos!$H$4:$H$1774,Datos!$C$4:$C$1774,"Nuvei",Datos!$B$4:$B$1774,A53)</f>
        <v/>
      </c>
      <c r="D53" s="9">
        <f>SUMIFS(Datos!$H$4:$H$1774,Datos!$C$4:$C$1774,"Adyen",Datos!$B$4:$B$1774,A53)</f>
        <v/>
      </c>
      <c r="E53" s="9">
        <f>SUMIFS(Datos!$H$4:$H$1774,Datos!$C$4:$C$1774,"Paysafe",Datos!$B$4:$B$1774,A53)</f>
        <v/>
      </c>
      <c r="F53" s="23">
        <f>SUM(B53:E53)</f>
        <v/>
      </c>
    </row>
    <row r="54">
      <c r="A54" s="20" t="inlineStr">
        <is>
          <t>2026-W27</t>
        </is>
      </c>
      <c r="B54" s="21">
        <f>SUMIFS(Datos!$H$4:$H$1774,Datos!$C$4:$C$1774,"Shift4",Datos!$B$4:$B$1774,A54)</f>
        <v/>
      </c>
      <c r="C54" s="21">
        <f>SUMIFS(Datos!$H$4:$H$1774,Datos!$C$4:$C$1774,"Nuvei",Datos!$B$4:$B$1774,A54)</f>
        <v/>
      </c>
      <c r="D54" s="21">
        <f>SUMIFS(Datos!$H$4:$H$1774,Datos!$C$4:$C$1774,"Adyen",Datos!$B$4:$B$1774,A54)</f>
        <v/>
      </c>
      <c r="E54" s="21">
        <f>SUMIFS(Datos!$H$4:$H$1774,Datos!$C$4:$C$1774,"Paysafe",Datos!$B$4:$B$1774,A54)</f>
        <v/>
      </c>
      <c r="F54" s="22">
        <f>SUM(B54:E54)</f>
        <v/>
      </c>
    </row>
    <row r="55">
      <c r="A55" t="inlineStr">
        <is>
          <t>2026-W28</t>
        </is>
      </c>
      <c r="B55" s="9">
        <f>SUMIFS(Datos!$H$4:$H$1774,Datos!$C$4:$C$1774,"Shift4",Datos!$B$4:$B$1774,A55)</f>
        <v/>
      </c>
      <c r="C55" s="9">
        <f>SUMIFS(Datos!$H$4:$H$1774,Datos!$C$4:$C$1774,"Nuvei",Datos!$B$4:$B$1774,A55)</f>
        <v/>
      </c>
      <c r="D55" s="9">
        <f>SUMIFS(Datos!$H$4:$H$1774,Datos!$C$4:$C$1774,"Adyen",Datos!$B$4:$B$1774,A55)</f>
        <v/>
      </c>
      <c r="E55" s="9">
        <f>SUMIFS(Datos!$H$4:$H$1774,Datos!$C$4:$C$1774,"Paysafe",Datos!$B$4:$B$1774,A55)</f>
        <v/>
      </c>
      <c r="F55" s="23">
        <f>SUM(B55:E55)</f>
        <v/>
      </c>
    </row>
    <row r="56">
      <c r="A56" s="20" t="inlineStr">
        <is>
          <t>2026-W29</t>
        </is>
      </c>
      <c r="B56" s="21">
        <f>SUMIFS(Datos!$H$4:$H$1774,Datos!$C$4:$C$1774,"Shift4",Datos!$B$4:$B$1774,A56)</f>
        <v/>
      </c>
      <c r="C56" s="21">
        <f>SUMIFS(Datos!$H$4:$H$1774,Datos!$C$4:$C$1774,"Nuvei",Datos!$B$4:$B$1774,A56)</f>
        <v/>
      </c>
      <c r="D56" s="21">
        <f>SUMIFS(Datos!$H$4:$H$1774,Datos!$C$4:$C$1774,"Adyen",Datos!$B$4:$B$1774,A56)</f>
        <v/>
      </c>
      <c r="E56" s="21">
        <f>SUMIFS(Datos!$H$4:$H$1774,Datos!$C$4:$C$1774,"Paysafe",Datos!$B$4:$B$1774,A56)</f>
        <v/>
      </c>
      <c r="F56" s="22">
        <f>SUM(B56:E56)</f>
        <v/>
      </c>
    </row>
    <row r="57">
      <c r="A57" t="inlineStr">
        <is>
          <t>2026-W30</t>
        </is>
      </c>
      <c r="B57" s="9">
        <f>SUMIFS(Datos!$H$4:$H$1774,Datos!$C$4:$C$1774,"Shift4",Datos!$B$4:$B$1774,A57)</f>
        <v/>
      </c>
      <c r="C57" s="9">
        <f>SUMIFS(Datos!$H$4:$H$1774,Datos!$C$4:$C$1774,"Nuvei",Datos!$B$4:$B$1774,A57)</f>
        <v/>
      </c>
      <c r="D57" s="9">
        <f>SUMIFS(Datos!$H$4:$H$1774,Datos!$C$4:$C$1774,"Adyen",Datos!$B$4:$B$1774,A57)</f>
        <v/>
      </c>
      <c r="E57" s="9">
        <f>SUMIFS(Datos!$H$4:$H$1774,Datos!$C$4:$C$1774,"Paysafe",Datos!$B$4:$B$1774,A57)</f>
        <v/>
      </c>
      <c r="F57" s="23">
        <f>SUM(B57:E57)</f>
        <v/>
      </c>
    </row>
    <row r="58">
      <c r="A58" s="20" t="inlineStr">
        <is>
          <t>2026-W31</t>
        </is>
      </c>
      <c r="B58" s="21">
        <f>SUMIFS(Datos!$H$4:$H$1774,Datos!$C$4:$C$1774,"Shift4",Datos!$B$4:$B$1774,A58)</f>
        <v/>
      </c>
      <c r="C58" s="21">
        <f>SUMIFS(Datos!$H$4:$H$1774,Datos!$C$4:$C$1774,"Nuvei",Datos!$B$4:$B$1774,A58)</f>
        <v/>
      </c>
      <c r="D58" s="21">
        <f>SUMIFS(Datos!$H$4:$H$1774,Datos!$C$4:$C$1774,"Adyen",Datos!$B$4:$B$1774,A58)</f>
        <v/>
      </c>
      <c r="E58" s="21">
        <f>SUMIFS(Datos!$H$4:$H$1774,Datos!$C$4:$C$1774,"Paysafe",Datos!$B$4:$B$1774,A58)</f>
        <v/>
      </c>
      <c r="F58" s="22">
        <f>SUM(B58:E58)</f>
        <v/>
      </c>
    </row>
    <row r="59">
      <c r="A59" s="5" t="inlineStr">
        <is>
          <t>TOTAL</t>
        </is>
      </c>
      <c r="B59" s="18">
        <f>SUM(B14:B58)</f>
        <v/>
      </c>
      <c r="C59" s="18">
        <f>SUM(C14:C58)</f>
        <v/>
      </c>
      <c r="D59" s="18">
        <f>SUM(D14:D58)</f>
        <v/>
      </c>
      <c r="E59" s="18">
        <f>SUM(E14:E58)</f>
        <v/>
      </c>
      <c r="F59" s="18">
        <f>SUM(F14:F58)</f>
        <v/>
      </c>
    </row>
    <row r="62">
      <c r="A62" s="12" t="inlineStr">
        <is>
          <t>DINERO RETENIDO SEMANAL POR BANCO (€)</t>
        </is>
      </c>
      <c r="B62" s="13" t="n"/>
      <c r="C62" s="13" t="n"/>
      <c r="D62" s="13" t="n"/>
      <c r="E62" s="13" t="n"/>
      <c r="F62" s="13" t="n"/>
    </row>
    <row r="63">
      <c r="A63" s="19" t="inlineStr">
        <is>
          <t>Semana</t>
        </is>
      </c>
      <c r="B63" s="19" t="inlineStr">
        <is>
          <t>Shift4</t>
        </is>
      </c>
      <c r="C63" s="19" t="inlineStr">
        <is>
          <t>Nuvei</t>
        </is>
      </c>
      <c r="D63" s="19" t="inlineStr">
        <is>
          <t>Adyen</t>
        </is>
      </c>
      <c r="E63" s="19" t="inlineStr">
        <is>
          <t>Paysafe</t>
        </is>
      </c>
      <c r="F63" s="19" t="inlineStr">
        <is>
          <t>TOTAL</t>
        </is>
      </c>
    </row>
    <row r="64">
      <c r="A64" s="20" t="inlineStr">
        <is>
          <t>2025-W39</t>
        </is>
      </c>
      <c r="B64" s="20" t="inlineStr"/>
      <c r="C64" s="21">
        <f>'Nuvei'!F6</f>
        <v/>
      </c>
      <c r="D64" s="20" t="inlineStr"/>
      <c r="E64" s="20" t="inlineStr"/>
      <c r="F64" s="24">
        <f>SUM(B64:E64)</f>
        <v/>
      </c>
    </row>
    <row r="65">
      <c r="A65" t="inlineStr">
        <is>
          <t>2025-W40</t>
        </is>
      </c>
      <c r="B65" t="inlineStr"/>
      <c r="C65" s="9">
        <f>'Nuvei'!F7</f>
        <v/>
      </c>
      <c r="D65" t="inlineStr"/>
      <c r="E65" t="inlineStr"/>
      <c r="F65" s="24">
        <f>SUM(B65:E65)</f>
        <v/>
      </c>
    </row>
    <row r="66">
      <c r="A66" s="20" t="inlineStr">
        <is>
          <t>2025-W41</t>
        </is>
      </c>
      <c r="B66" s="20" t="inlineStr"/>
      <c r="C66" s="21">
        <f>'Nuvei'!F8</f>
        <v/>
      </c>
      <c r="D66" s="20" t="inlineStr"/>
      <c r="E66" s="20" t="inlineStr"/>
      <c r="F66" s="24">
        <f>SUM(B66:E66)</f>
        <v/>
      </c>
    </row>
    <row r="67">
      <c r="A67" t="inlineStr">
        <is>
          <t>2025-W42</t>
        </is>
      </c>
      <c r="B67" t="inlineStr"/>
      <c r="C67" s="9">
        <f>'Nuvei'!F9</f>
        <v/>
      </c>
      <c r="D67" t="inlineStr"/>
      <c r="E67" t="inlineStr"/>
      <c r="F67" s="24">
        <f>SUM(B67:E67)</f>
        <v/>
      </c>
    </row>
    <row r="68">
      <c r="A68" s="20" t="inlineStr">
        <is>
          <t>2025-W43</t>
        </is>
      </c>
      <c r="B68" s="20" t="inlineStr"/>
      <c r="C68" s="21">
        <f>'Nuvei'!F10</f>
        <v/>
      </c>
      <c r="D68" s="20" t="inlineStr"/>
      <c r="E68" s="20" t="inlineStr"/>
      <c r="F68" s="24">
        <f>SUM(B68:E68)</f>
        <v/>
      </c>
    </row>
    <row r="69">
      <c r="A69" t="inlineStr">
        <is>
          <t>2025-W44</t>
        </is>
      </c>
      <c r="B69" t="inlineStr"/>
      <c r="C69" s="9">
        <f>'Nuvei'!F11</f>
        <v/>
      </c>
      <c r="D69" t="inlineStr"/>
      <c r="E69" t="inlineStr"/>
      <c r="F69" s="24">
        <f>SUM(B69:E69)</f>
        <v/>
      </c>
    </row>
    <row r="70">
      <c r="A70" s="20" t="inlineStr">
        <is>
          <t>2025-W45</t>
        </is>
      </c>
      <c r="B70" s="20" t="inlineStr"/>
      <c r="C70" s="21">
        <f>'Nuvei'!F12</f>
        <v/>
      </c>
      <c r="D70" s="20" t="inlineStr"/>
      <c r="E70" s="20" t="inlineStr"/>
      <c r="F70" s="24">
        <f>SUM(B70:E70)</f>
        <v/>
      </c>
    </row>
    <row r="71">
      <c r="A71" t="inlineStr">
        <is>
          <t>2025-W46</t>
        </is>
      </c>
      <c r="B71" t="inlineStr"/>
      <c r="C71" s="9">
        <f>'Nuvei'!F13</f>
        <v/>
      </c>
      <c r="D71" t="inlineStr"/>
      <c r="E71" t="inlineStr"/>
      <c r="F71" s="24">
        <f>SUM(B71:E71)</f>
        <v/>
      </c>
    </row>
    <row r="72">
      <c r="A72" s="20" t="inlineStr">
        <is>
          <t>2025-W47</t>
        </is>
      </c>
      <c r="B72" s="20" t="inlineStr"/>
      <c r="C72" s="21">
        <f>'Nuvei'!F14</f>
        <v/>
      </c>
      <c r="D72" s="20" t="inlineStr"/>
      <c r="E72" s="20" t="inlineStr"/>
      <c r="F72" s="24">
        <f>SUM(B72:E72)</f>
        <v/>
      </c>
    </row>
    <row r="73">
      <c r="A73" t="inlineStr">
        <is>
          <t>2025-W48</t>
        </is>
      </c>
      <c r="B73" t="inlineStr"/>
      <c r="C73" s="9">
        <f>'Nuvei'!F15</f>
        <v/>
      </c>
      <c r="D73" t="inlineStr"/>
      <c r="E73" t="inlineStr"/>
      <c r="F73" s="24">
        <f>SUM(B73:E73)</f>
        <v/>
      </c>
    </row>
    <row r="74">
      <c r="A74" s="20" t="inlineStr">
        <is>
          <t>2025-W49</t>
        </is>
      </c>
      <c r="B74" s="20" t="inlineStr"/>
      <c r="C74" s="21">
        <f>'Nuvei'!F16</f>
        <v/>
      </c>
      <c r="D74" s="20" t="inlineStr"/>
      <c r="E74" s="20" t="inlineStr"/>
      <c r="F74" s="24">
        <f>SUM(B74:E74)</f>
        <v/>
      </c>
    </row>
    <row r="75">
      <c r="A75" t="inlineStr">
        <is>
          <t>2025-W50</t>
        </is>
      </c>
      <c r="B75" t="inlineStr"/>
      <c r="C75" s="9">
        <f>'Nuvei'!F17</f>
        <v/>
      </c>
      <c r="D75" t="inlineStr"/>
      <c r="E75" t="inlineStr"/>
      <c r="F75" s="24">
        <f>SUM(B75:E75)</f>
        <v/>
      </c>
    </row>
    <row r="76">
      <c r="A76" s="20" t="inlineStr">
        <is>
          <t>2025-W51</t>
        </is>
      </c>
      <c r="B76" s="20" t="inlineStr"/>
      <c r="C76" s="21">
        <f>'Nuvei'!F18</f>
        <v/>
      </c>
      <c r="D76" s="20" t="inlineStr"/>
      <c r="E76" s="20" t="inlineStr"/>
      <c r="F76" s="24">
        <f>SUM(B76:E76)</f>
        <v/>
      </c>
    </row>
    <row r="77">
      <c r="A77" t="inlineStr">
        <is>
          <t>2025-W52</t>
        </is>
      </c>
      <c r="B77" t="inlineStr"/>
      <c r="C77" s="9">
        <f>'Nuvei'!F19</f>
        <v/>
      </c>
      <c r="D77" t="inlineStr"/>
      <c r="E77" t="inlineStr"/>
      <c r="F77" s="24">
        <f>SUM(B77:E77)</f>
        <v/>
      </c>
    </row>
    <row r="78">
      <c r="A78" s="20" t="inlineStr">
        <is>
          <t>2026-W01</t>
        </is>
      </c>
      <c r="B78" s="20" t="inlineStr"/>
      <c r="C78" s="21">
        <f>'Nuvei'!F20</f>
        <v/>
      </c>
      <c r="D78" s="21">
        <f>'Adyen'!F6</f>
        <v/>
      </c>
      <c r="E78" s="20" t="inlineStr"/>
      <c r="F78" s="24">
        <f>SUM(B78:E78)</f>
        <v/>
      </c>
    </row>
    <row r="79">
      <c r="A79" t="inlineStr">
        <is>
          <t>2026-W02</t>
        </is>
      </c>
      <c r="B79" t="inlineStr"/>
      <c r="C79" s="9">
        <f>'Nuvei'!F21</f>
        <v/>
      </c>
      <c r="D79" s="9">
        <f>'Adyen'!F7</f>
        <v/>
      </c>
      <c r="E79" t="inlineStr"/>
      <c r="F79" s="24">
        <f>SUM(B79:E79)</f>
        <v/>
      </c>
    </row>
    <row r="80">
      <c r="A80" s="20" t="inlineStr">
        <is>
          <t>2026-W03</t>
        </is>
      </c>
      <c r="B80" s="20" t="inlineStr"/>
      <c r="C80" s="21">
        <f>'Nuvei'!F22</f>
        <v/>
      </c>
      <c r="D80" s="21">
        <f>'Adyen'!F8</f>
        <v/>
      </c>
      <c r="E80" s="20" t="inlineStr"/>
      <c r="F80" s="24">
        <f>SUM(B80:E80)</f>
        <v/>
      </c>
    </row>
    <row r="81">
      <c r="A81" t="inlineStr">
        <is>
          <t>2026-W04</t>
        </is>
      </c>
      <c r="B81" t="inlineStr"/>
      <c r="C81" s="9">
        <f>'Nuvei'!F23</f>
        <v/>
      </c>
      <c r="D81" s="9">
        <f>'Adyen'!F9</f>
        <v/>
      </c>
      <c r="E81" t="inlineStr"/>
      <c r="F81" s="24">
        <f>SUM(B81:E81)</f>
        <v/>
      </c>
    </row>
    <row r="82">
      <c r="A82" s="20" t="inlineStr">
        <is>
          <t>2026-W05</t>
        </is>
      </c>
      <c r="B82" s="20" t="inlineStr"/>
      <c r="C82" s="21">
        <f>'Nuvei'!F24</f>
        <v/>
      </c>
      <c r="D82" s="21">
        <f>'Adyen'!F10</f>
        <v/>
      </c>
      <c r="E82" s="20" t="inlineStr"/>
      <c r="F82" s="24">
        <f>SUM(B82:E82)</f>
        <v/>
      </c>
    </row>
    <row r="83">
      <c r="A83" t="inlineStr">
        <is>
          <t>2026-W06</t>
        </is>
      </c>
      <c r="B83" t="inlineStr"/>
      <c r="C83" s="9">
        <f>'Nuvei'!F25</f>
        <v/>
      </c>
      <c r="D83" s="9">
        <f>'Adyen'!F11</f>
        <v/>
      </c>
      <c r="E83" t="inlineStr"/>
      <c r="F83" s="24">
        <f>SUM(B83:E83)</f>
        <v/>
      </c>
    </row>
    <row r="84">
      <c r="A84" s="20" t="inlineStr">
        <is>
          <t>2026-W07</t>
        </is>
      </c>
      <c r="B84" s="20" t="inlineStr"/>
      <c r="C84" s="21">
        <f>'Nuvei'!F26</f>
        <v/>
      </c>
      <c r="D84" s="21">
        <f>'Adyen'!F12</f>
        <v/>
      </c>
      <c r="E84" s="20" t="inlineStr"/>
      <c r="F84" s="24">
        <f>SUM(B84:E84)</f>
        <v/>
      </c>
    </row>
    <row r="85">
      <c r="A85" t="inlineStr">
        <is>
          <t>2026-W08</t>
        </is>
      </c>
      <c r="B85" t="inlineStr"/>
      <c r="C85" s="9">
        <f>'Nuvei'!F27</f>
        <v/>
      </c>
      <c r="D85" s="9">
        <f>'Adyen'!F13</f>
        <v/>
      </c>
      <c r="E85" t="inlineStr"/>
      <c r="F85" s="24">
        <f>SUM(B85:E85)</f>
        <v/>
      </c>
    </row>
    <row r="86">
      <c r="A86" s="20" t="inlineStr">
        <is>
          <t>2026-W09</t>
        </is>
      </c>
      <c r="B86" s="20" t="inlineStr"/>
      <c r="C86" s="21">
        <f>'Nuvei'!F28</f>
        <v/>
      </c>
      <c r="D86" s="21">
        <f>'Adyen'!F14</f>
        <v/>
      </c>
      <c r="E86" s="20" t="inlineStr"/>
      <c r="F86" s="24">
        <f>SUM(B86:E86)</f>
        <v/>
      </c>
    </row>
    <row r="87">
      <c r="A87" t="inlineStr">
        <is>
          <t>2026-W10</t>
        </is>
      </c>
      <c r="B87" t="inlineStr"/>
      <c r="C87" s="9">
        <f>'Nuvei'!F29</f>
        <v/>
      </c>
      <c r="D87" s="9">
        <f>'Adyen'!F15</f>
        <v/>
      </c>
      <c r="E87" t="inlineStr"/>
      <c r="F87" s="24">
        <f>SUM(B87:E87)</f>
        <v/>
      </c>
    </row>
    <row r="88">
      <c r="A88" s="20" t="inlineStr">
        <is>
          <t>2026-W11</t>
        </is>
      </c>
      <c r="B88" s="20" t="inlineStr"/>
      <c r="C88" s="21">
        <f>'Nuvei'!F30</f>
        <v/>
      </c>
      <c r="D88" s="21">
        <f>'Adyen'!F16</f>
        <v/>
      </c>
      <c r="E88" s="20" t="inlineStr"/>
      <c r="F88" s="24">
        <f>SUM(B88:E88)</f>
        <v/>
      </c>
    </row>
    <row r="89">
      <c r="A89" t="inlineStr">
        <is>
          <t>2026-W12</t>
        </is>
      </c>
      <c r="B89" t="inlineStr"/>
      <c r="C89" s="9">
        <f>'Nuvei'!F31</f>
        <v/>
      </c>
      <c r="D89" s="9">
        <f>'Adyen'!F17</f>
        <v/>
      </c>
      <c r="E89" t="inlineStr"/>
      <c r="F89" s="24">
        <f>SUM(B89:E89)</f>
        <v/>
      </c>
    </row>
    <row r="90">
      <c r="A90" s="20" t="inlineStr">
        <is>
          <t>2026-W13</t>
        </is>
      </c>
      <c r="B90" s="20" t="inlineStr"/>
      <c r="C90" s="21">
        <f>'Nuvei'!F32</f>
        <v/>
      </c>
      <c r="D90" s="21">
        <f>'Adyen'!F18</f>
        <v/>
      </c>
      <c r="E90" s="20" t="inlineStr"/>
      <c r="F90" s="24">
        <f>SUM(B90:E90)</f>
        <v/>
      </c>
    </row>
    <row r="91">
      <c r="A91" t="inlineStr">
        <is>
          <t>2026-W14</t>
        </is>
      </c>
      <c r="B91" s="9">
        <f>'Shift4'!F6</f>
        <v/>
      </c>
      <c r="C91" s="9">
        <f>'Nuvei'!F33</f>
        <v/>
      </c>
      <c r="D91" s="9">
        <f>'Adyen'!F19</f>
        <v/>
      </c>
      <c r="E91" t="inlineStr"/>
      <c r="F91" s="24">
        <f>SUM(B91:E91)</f>
        <v/>
      </c>
    </row>
    <row r="92">
      <c r="A92" s="20" t="inlineStr">
        <is>
          <t>2026-W15</t>
        </is>
      </c>
      <c r="B92" s="21">
        <f>'Shift4'!F7</f>
        <v/>
      </c>
      <c r="C92" s="21">
        <f>'Nuvei'!F34</f>
        <v/>
      </c>
      <c r="D92" s="21">
        <f>'Adyen'!F20</f>
        <v/>
      </c>
      <c r="E92" s="20" t="inlineStr"/>
      <c r="F92" s="24">
        <f>SUM(B92:E92)</f>
        <v/>
      </c>
    </row>
    <row r="93">
      <c r="A93" t="inlineStr">
        <is>
          <t>2026-W16</t>
        </is>
      </c>
      <c r="B93" s="9">
        <f>'Shift4'!F8</f>
        <v/>
      </c>
      <c r="C93" s="9">
        <f>'Nuvei'!F35</f>
        <v/>
      </c>
      <c r="D93" s="9">
        <f>'Adyen'!F21</f>
        <v/>
      </c>
      <c r="E93" t="inlineStr"/>
      <c r="F93" s="24">
        <f>SUM(B93:E93)</f>
        <v/>
      </c>
    </row>
    <row r="94">
      <c r="A94" s="20" t="inlineStr">
        <is>
          <t>2026-W17</t>
        </is>
      </c>
      <c r="B94" s="21">
        <f>'Shift4'!F9</f>
        <v/>
      </c>
      <c r="C94" s="21">
        <f>'Nuvei'!F36</f>
        <v/>
      </c>
      <c r="D94" s="21">
        <f>'Adyen'!F22</f>
        <v/>
      </c>
      <c r="E94" s="20" t="inlineStr"/>
      <c r="F94" s="24">
        <f>SUM(B94:E94)</f>
        <v/>
      </c>
    </row>
    <row r="95">
      <c r="A95" t="inlineStr">
        <is>
          <t>2026-W18</t>
        </is>
      </c>
      <c r="B95" s="9">
        <f>'Shift4'!F10</f>
        <v/>
      </c>
      <c r="C95" s="9">
        <f>'Nuvei'!F37</f>
        <v/>
      </c>
      <c r="D95" s="9">
        <f>'Adyen'!F23</f>
        <v/>
      </c>
      <c r="E95" t="inlineStr"/>
      <c r="F95" s="24">
        <f>SUM(B95:E95)</f>
        <v/>
      </c>
    </row>
    <row r="96">
      <c r="A96" s="20" t="inlineStr">
        <is>
          <t>2026-W19</t>
        </is>
      </c>
      <c r="B96" s="21">
        <f>'Shift4'!F11</f>
        <v/>
      </c>
      <c r="C96" s="21">
        <f>'Nuvei'!F38</f>
        <v/>
      </c>
      <c r="D96" s="21">
        <f>'Adyen'!F24</f>
        <v/>
      </c>
      <c r="E96" s="20" t="inlineStr"/>
      <c r="F96" s="24">
        <f>SUM(B96:E96)</f>
        <v/>
      </c>
    </row>
    <row r="97">
      <c r="A97" t="inlineStr">
        <is>
          <t>2026-W20</t>
        </is>
      </c>
      <c r="B97" s="9">
        <f>'Shift4'!F12</f>
        <v/>
      </c>
      <c r="C97" s="9">
        <f>'Nuvei'!F39</f>
        <v/>
      </c>
      <c r="D97" s="9">
        <f>'Adyen'!F25</f>
        <v/>
      </c>
      <c r="E97" t="inlineStr"/>
      <c r="F97" s="24">
        <f>SUM(B97:E97)</f>
        <v/>
      </c>
    </row>
    <row r="98">
      <c r="A98" s="20" t="inlineStr">
        <is>
          <t>2026-W21</t>
        </is>
      </c>
      <c r="B98" s="21">
        <f>'Shift4'!F13</f>
        <v/>
      </c>
      <c r="C98" s="21">
        <f>'Nuvei'!F40</f>
        <v/>
      </c>
      <c r="D98" s="21">
        <f>'Adyen'!F26</f>
        <v/>
      </c>
      <c r="E98" s="20" t="inlineStr"/>
      <c r="F98" s="24">
        <f>SUM(B98:E98)</f>
        <v/>
      </c>
    </row>
    <row r="99">
      <c r="A99" t="inlineStr">
        <is>
          <t>2026-W22</t>
        </is>
      </c>
      <c r="B99" s="9">
        <f>'Shift4'!F14</f>
        <v/>
      </c>
      <c r="C99" s="9">
        <f>'Nuvei'!F41</f>
        <v/>
      </c>
      <c r="D99" s="9">
        <f>'Adyen'!F27</f>
        <v/>
      </c>
      <c r="E99" t="inlineStr"/>
      <c r="F99" s="24">
        <f>SUM(B99:E99)</f>
        <v/>
      </c>
    </row>
    <row r="100">
      <c r="A100" s="20" t="inlineStr">
        <is>
          <t>2026-W23</t>
        </is>
      </c>
      <c r="B100" s="21">
        <f>'Shift4'!F15</f>
        <v/>
      </c>
      <c r="C100" s="21">
        <f>'Nuvei'!F42</f>
        <v/>
      </c>
      <c r="D100" s="21">
        <f>'Adyen'!F28</f>
        <v/>
      </c>
      <c r="E100" s="20" t="inlineStr"/>
      <c r="F100" s="24">
        <f>SUM(B100:E100)</f>
        <v/>
      </c>
    </row>
    <row r="101">
      <c r="A101" t="inlineStr">
        <is>
          <t>2026-W24</t>
        </is>
      </c>
      <c r="B101" s="9">
        <f>'Shift4'!F16</f>
        <v/>
      </c>
      <c r="C101" s="9">
        <f>'Nuvei'!F43</f>
        <v/>
      </c>
      <c r="D101" s="9">
        <f>'Adyen'!F29</f>
        <v/>
      </c>
      <c r="E101" t="inlineStr"/>
      <c r="F101" s="24">
        <f>SUM(B101:E101)</f>
        <v/>
      </c>
    </row>
    <row r="102">
      <c r="A102" s="20" t="inlineStr">
        <is>
          <t>2026-W25</t>
        </is>
      </c>
      <c r="B102" s="21">
        <f>'Shift4'!F17</f>
        <v/>
      </c>
      <c r="C102" s="21">
        <f>'Nuvei'!F44</f>
        <v/>
      </c>
      <c r="D102" s="21">
        <f>'Adyen'!F30</f>
        <v/>
      </c>
      <c r="E102" s="20" t="inlineStr"/>
      <c r="F102" s="24">
        <f>SUM(B102:E102)</f>
        <v/>
      </c>
    </row>
    <row r="103">
      <c r="A103" t="inlineStr">
        <is>
          <t>2026-W26</t>
        </is>
      </c>
      <c r="B103" s="9">
        <f>'Shift4'!F18</f>
        <v/>
      </c>
      <c r="C103" s="9">
        <f>'Nuvei'!F45</f>
        <v/>
      </c>
      <c r="D103" s="9">
        <f>'Adyen'!F31</f>
        <v/>
      </c>
      <c r="E103" s="9">
        <f>'Paysafe'!F6</f>
        <v/>
      </c>
      <c r="F103" s="24">
        <f>SUM(B103:E103)</f>
        <v/>
      </c>
    </row>
    <row r="104">
      <c r="A104" s="20" t="inlineStr">
        <is>
          <t>2026-W27</t>
        </is>
      </c>
      <c r="B104" s="21">
        <f>'Shift4'!F19</f>
        <v/>
      </c>
      <c r="C104" s="21">
        <f>'Nuvei'!F46</f>
        <v/>
      </c>
      <c r="D104" s="21">
        <f>'Adyen'!F32</f>
        <v/>
      </c>
      <c r="E104" s="21">
        <f>'Paysafe'!F7</f>
        <v/>
      </c>
      <c r="F104" s="24">
        <f>SUM(B104:E104)</f>
        <v/>
      </c>
    </row>
    <row r="105">
      <c r="A105" t="inlineStr">
        <is>
          <t>2026-W28</t>
        </is>
      </c>
      <c r="B105" s="9">
        <f>'Shift4'!F20</f>
        <v/>
      </c>
      <c r="C105" s="9">
        <f>'Nuvei'!F47</f>
        <v/>
      </c>
      <c r="D105" s="9">
        <f>'Adyen'!F33</f>
        <v/>
      </c>
      <c r="E105" s="9">
        <f>'Paysafe'!F8</f>
        <v/>
      </c>
      <c r="F105" s="24">
        <f>SUM(B105:E105)</f>
        <v/>
      </c>
    </row>
    <row r="106">
      <c r="A106" s="20" t="inlineStr">
        <is>
          <t>2026-W29</t>
        </is>
      </c>
      <c r="B106" s="21">
        <f>'Shift4'!F21</f>
        <v/>
      </c>
      <c r="C106" s="21">
        <f>'Nuvei'!F48</f>
        <v/>
      </c>
      <c r="D106" s="21">
        <f>'Adyen'!F34</f>
        <v/>
      </c>
      <c r="E106" s="21">
        <f>'Paysafe'!F9</f>
        <v/>
      </c>
      <c r="F106" s="24">
        <f>SUM(B106:E106)</f>
        <v/>
      </c>
    </row>
    <row r="107">
      <c r="A107" t="inlineStr">
        <is>
          <t>2026-W30</t>
        </is>
      </c>
      <c r="B107" t="inlineStr"/>
      <c r="C107" t="inlineStr"/>
      <c r="D107" t="inlineStr"/>
      <c r="E107" s="9">
        <f>'Paysafe'!F10</f>
        <v/>
      </c>
      <c r="F107" s="24">
        <f>SUM(B107:E107)</f>
        <v/>
      </c>
    </row>
    <row r="108">
      <c r="A108" s="20" t="inlineStr">
        <is>
          <t>2026-W31</t>
        </is>
      </c>
      <c r="B108" s="20" t="inlineStr"/>
      <c r="C108" s="20" t="inlineStr"/>
      <c r="D108" s="20" t="inlineStr"/>
      <c r="E108" s="21">
        <f>'Paysafe'!F11</f>
        <v/>
      </c>
      <c r="F108" s="24">
        <f>SUM(B108:E108)</f>
        <v/>
      </c>
    </row>
  </sheetData>
  <mergeCells count="3">
    <mergeCell ref="A1:G1"/>
    <mergeCell ref="A12:F12"/>
    <mergeCell ref="A62:F6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SHIFT4 — Ventas, Fee, Cobro y Retenido</t>
        </is>
      </c>
      <c r="B1" s="11" t="n"/>
      <c r="C1" s="11" t="n"/>
      <c r="D1" s="11" t="n"/>
      <c r="E1" s="11" t="n"/>
      <c r="F1" s="11" t="n"/>
    </row>
    <row r="3">
      <c r="A3" s="12" t="inlineStr">
        <is>
          <t>POR SEMANA</t>
        </is>
      </c>
      <c r="B3" s="13" t="n"/>
      <c r="C3" s="13" t="n"/>
      <c r="D3" s="13" t="n"/>
      <c r="E3" s="13" t="n"/>
      <c r="F3" s="13" t="n"/>
    </row>
    <row r="4">
      <c r="A4" s="7" t="inlineStr">
        <is>
          <t>Semana</t>
        </is>
      </c>
      <c r="B4" s="7" t="inlineStr">
        <is>
          <t>Ventas (€)</t>
        </is>
      </c>
      <c r="C4" s="7" t="inlineStr">
        <is>
          <t>Fee (€)</t>
        </is>
      </c>
      <c r="D4" s="7" t="inlineStr">
        <is>
          <t>Cobro (€)</t>
        </is>
      </c>
      <c r="E4" s="7" t="inlineStr">
        <is>
          <t>Payout (€)</t>
        </is>
      </c>
      <c r="F4" s="7" t="inlineStr">
        <is>
          <t>Retenido neto (€)</t>
        </is>
      </c>
    </row>
    <row r="6">
      <c r="A6" s="15" t="inlineStr">
        <is>
          <t>2026-W14</t>
        </is>
      </c>
      <c r="B6" s="16">
        <f>SUMIFS(Datos!$H$4:$H$1774,Datos!$C$4:$C$1774,"Shift4",Datos!$B$4:$B$1774,A6)</f>
        <v/>
      </c>
      <c r="C6" s="16">
        <f>SUMIFS(Datos!$I$4:$I$1774,Datos!$C$4:$C$1774,"Shift4",Datos!$B$4:$B$1774,A6)</f>
        <v/>
      </c>
      <c r="D6" s="16">
        <f>B6+C6</f>
        <v/>
      </c>
      <c r="E6" s="16">
        <f>SUMIFS(Datos!$J$4:$J$1774,Datos!$C$4:$C$1774,"Shift4",Datos!$B$4:$B$1774,A6)</f>
        <v/>
      </c>
      <c r="F6" s="25">
        <f>D6+E6</f>
        <v/>
      </c>
    </row>
    <row r="7">
      <c r="A7" s="15" t="inlineStr">
        <is>
          <t>2026-W15</t>
        </is>
      </c>
      <c r="B7" s="16">
        <f>SUMIFS(Datos!$H$4:$H$1774,Datos!$C$4:$C$1774,"Shift4",Datos!$B$4:$B$1774,A7)</f>
        <v/>
      </c>
      <c r="C7" s="16">
        <f>SUMIFS(Datos!$I$4:$I$1774,Datos!$C$4:$C$1774,"Shift4",Datos!$B$4:$B$1774,A7)</f>
        <v/>
      </c>
      <c r="D7" s="16">
        <f>B7+C7</f>
        <v/>
      </c>
      <c r="E7" s="16">
        <f>SUMIFS(Datos!$J$4:$J$1774,Datos!$C$4:$C$1774,"Shift4",Datos!$B$4:$B$1774,A7)</f>
        <v/>
      </c>
      <c r="F7" s="25">
        <f>D7+E7</f>
        <v/>
      </c>
    </row>
    <row r="8">
      <c r="A8" s="15" t="inlineStr">
        <is>
          <t>2026-W16</t>
        </is>
      </c>
      <c r="B8" s="16">
        <f>SUMIFS(Datos!$H$4:$H$1774,Datos!$C$4:$C$1774,"Shift4",Datos!$B$4:$B$1774,A8)</f>
        <v/>
      </c>
      <c r="C8" s="16">
        <f>SUMIFS(Datos!$I$4:$I$1774,Datos!$C$4:$C$1774,"Shift4",Datos!$B$4:$B$1774,A8)</f>
        <v/>
      </c>
      <c r="D8" s="16">
        <f>B8+C8</f>
        <v/>
      </c>
      <c r="E8" s="16">
        <f>SUMIFS(Datos!$J$4:$J$1774,Datos!$C$4:$C$1774,"Shift4",Datos!$B$4:$B$1774,A8)</f>
        <v/>
      </c>
      <c r="F8" s="25">
        <f>D8+E8</f>
        <v/>
      </c>
    </row>
    <row r="9">
      <c r="A9" s="15" t="inlineStr">
        <is>
          <t>2026-W17</t>
        </is>
      </c>
      <c r="B9" s="16">
        <f>SUMIFS(Datos!$H$4:$H$1774,Datos!$C$4:$C$1774,"Shift4",Datos!$B$4:$B$1774,A9)</f>
        <v/>
      </c>
      <c r="C9" s="16">
        <f>SUMIFS(Datos!$I$4:$I$1774,Datos!$C$4:$C$1774,"Shift4",Datos!$B$4:$B$1774,A9)</f>
        <v/>
      </c>
      <c r="D9" s="16">
        <f>B9+C9</f>
        <v/>
      </c>
      <c r="E9" s="16">
        <f>SUMIFS(Datos!$J$4:$J$1774,Datos!$C$4:$C$1774,"Shift4",Datos!$B$4:$B$1774,A9)</f>
        <v/>
      </c>
      <c r="F9" s="25">
        <f>D9+E9</f>
        <v/>
      </c>
    </row>
    <row r="10">
      <c r="A10" s="15" t="inlineStr">
        <is>
          <t>2026-W18</t>
        </is>
      </c>
      <c r="B10" s="16">
        <f>SUMIFS(Datos!$H$4:$H$1774,Datos!$C$4:$C$1774,"Shift4",Datos!$B$4:$B$1774,A10)</f>
        <v/>
      </c>
      <c r="C10" s="16">
        <f>SUMIFS(Datos!$I$4:$I$1774,Datos!$C$4:$C$1774,"Shift4",Datos!$B$4:$B$1774,A10)</f>
        <v/>
      </c>
      <c r="D10" s="16">
        <f>B10+C10</f>
        <v/>
      </c>
      <c r="E10" s="16">
        <f>SUMIFS(Datos!$J$4:$J$1774,Datos!$C$4:$C$1774,"Shift4",Datos!$B$4:$B$1774,A10)</f>
        <v/>
      </c>
      <c r="F10" s="25">
        <f>D10+E10</f>
        <v/>
      </c>
    </row>
    <row r="11">
      <c r="A11" s="15" t="inlineStr">
        <is>
          <t>2026-W19</t>
        </is>
      </c>
      <c r="B11" s="16">
        <f>SUMIFS(Datos!$H$4:$H$1774,Datos!$C$4:$C$1774,"Shift4",Datos!$B$4:$B$1774,A11)</f>
        <v/>
      </c>
      <c r="C11" s="16">
        <f>SUMIFS(Datos!$I$4:$I$1774,Datos!$C$4:$C$1774,"Shift4",Datos!$B$4:$B$1774,A11)</f>
        <v/>
      </c>
      <c r="D11" s="16">
        <f>B11+C11</f>
        <v/>
      </c>
      <c r="E11" s="16">
        <f>SUMIFS(Datos!$J$4:$J$1774,Datos!$C$4:$C$1774,"Shift4",Datos!$B$4:$B$1774,A11)</f>
        <v/>
      </c>
      <c r="F11" s="25">
        <f>D11+E11</f>
        <v/>
      </c>
    </row>
    <row r="12">
      <c r="A12" s="15" t="inlineStr">
        <is>
          <t>2026-W20</t>
        </is>
      </c>
      <c r="B12" s="16">
        <f>SUMIFS(Datos!$H$4:$H$1774,Datos!$C$4:$C$1774,"Shift4",Datos!$B$4:$B$1774,A12)</f>
        <v/>
      </c>
      <c r="C12" s="16">
        <f>SUMIFS(Datos!$I$4:$I$1774,Datos!$C$4:$C$1774,"Shift4",Datos!$B$4:$B$1774,A12)</f>
        <v/>
      </c>
      <c r="D12" s="16">
        <f>B12+C12</f>
        <v/>
      </c>
      <c r="E12" s="16">
        <f>SUMIFS(Datos!$J$4:$J$1774,Datos!$C$4:$C$1774,"Shift4",Datos!$B$4:$B$1774,A12)</f>
        <v/>
      </c>
      <c r="F12" s="25">
        <f>D12+E12</f>
        <v/>
      </c>
    </row>
    <row r="13">
      <c r="A13" s="15" t="inlineStr">
        <is>
          <t>2026-W21</t>
        </is>
      </c>
      <c r="B13" s="16">
        <f>SUMIFS(Datos!$H$4:$H$1774,Datos!$C$4:$C$1774,"Shift4",Datos!$B$4:$B$1774,A13)</f>
        <v/>
      </c>
      <c r="C13" s="16">
        <f>SUMIFS(Datos!$I$4:$I$1774,Datos!$C$4:$C$1774,"Shift4",Datos!$B$4:$B$1774,A13)</f>
        <v/>
      </c>
      <c r="D13" s="16">
        <f>B13+C13</f>
        <v/>
      </c>
      <c r="E13" s="16">
        <f>SUMIFS(Datos!$J$4:$J$1774,Datos!$C$4:$C$1774,"Shift4",Datos!$B$4:$B$1774,A13)</f>
        <v/>
      </c>
      <c r="F13" s="25">
        <f>D13+E13</f>
        <v/>
      </c>
    </row>
    <row r="14">
      <c r="A14" s="15" t="inlineStr">
        <is>
          <t>2026-W22</t>
        </is>
      </c>
      <c r="B14" s="16">
        <f>SUMIFS(Datos!$H$4:$H$1774,Datos!$C$4:$C$1774,"Shift4",Datos!$B$4:$B$1774,A14)</f>
        <v/>
      </c>
      <c r="C14" s="16">
        <f>SUMIFS(Datos!$I$4:$I$1774,Datos!$C$4:$C$1774,"Shift4",Datos!$B$4:$B$1774,A14)</f>
        <v/>
      </c>
      <c r="D14" s="16">
        <f>B14+C14</f>
        <v/>
      </c>
      <c r="E14" s="16">
        <f>SUMIFS(Datos!$J$4:$J$1774,Datos!$C$4:$C$1774,"Shift4",Datos!$B$4:$B$1774,A14)</f>
        <v/>
      </c>
      <c r="F14" s="25">
        <f>D14+E14</f>
        <v/>
      </c>
    </row>
    <row r="15">
      <c r="A15" s="15" t="inlineStr">
        <is>
          <t>2026-W23</t>
        </is>
      </c>
      <c r="B15" s="16">
        <f>SUMIFS(Datos!$H$4:$H$1774,Datos!$C$4:$C$1774,"Shift4",Datos!$B$4:$B$1774,A15)</f>
        <v/>
      </c>
      <c r="C15" s="16">
        <f>SUMIFS(Datos!$I$4:$I$1774,Datos!$C$4:$C$1774,"Shift4",Datos!$B$4:$B$1774,A15)</f>
        <v/>
      </c>
      <c r="D15" s="16">
        <f>B15+C15</f>
        <v/>
      </c>
      <c r="E15" s="16">
        <f>SUMIFS(Datos!$J$4:$J$1774,Datos!$C$4:$C$1774,"Shift4",Datos!$B$4:$B$1774,A15)</f>
        <v/>
      </c>
      <c r="F15" s="25">
        <f>D15+E15</f>
        <v/>
      </c>
    </row>
    <row r="16">
      <c r="A16" s="15" t="inlineStr">
        <is>
          <t>2026-W24</t>
        </is>
      </c>
      <c r="B16" s="16">
        <f>SUMIFS(Datos!$H$4:$H$1774,Datos!$C$4:$C$1774,"Shift4",Datos!$B$4:$B$1774,A16)</f>
        <v/>
      </c>
      <c r="C16" s="16">
        <f>SUMIFS(Datos!$I$4:$I$1774,Datos!$C$4:$C$1774,"Shift4",Datos!$B$4:$B$1774,A16)</f>
        <v/>
      </c>
      <c r="D16" s="16">
        <f>B16+C16</f>
        <v/>
      </c>
      <c r="E16" s="16">
        <f>SUMIFS(Datos!$J$4:$J$1774,Datos!$C$4:$C$1774,"Shift4",Datos!$B$4:$B$1774,A16)</f>
        <v/>
      </c>
      <c r="F16" s="25">
        <f>D16+E16</f>
        <v/>
      </c>
    </row>
    <row r="17">
      <c r="A17" s="15" t="inlineStr">
        <is>
          <t>2026-W25</t>
        </is>
      </c>
      <c r="B17" s="16">
        <f>SUMIFS(Datos!$H$4:$H$1774,Datos!$C$4:$C$1774,"Shift4",Datos!$B$4:$B$1774,A17)</f>
        <v/>
      </c>
      <c r="C17" s="16">
        <f>SUMIFS(Datos!$I$4:$I$1774,Datos!$C$4:$C$1774,"Shift4",Datos!$B$4:$B$1774,A17)</f>
        <v/>
      </c>
      <c r="D17" s="16">
        <f>B17+C17</f>
        <v/>
      </c>
      <c r="E17" s="16">
        <f>SUMIFS(Datos!$J$4:$J$1774,Datos!$C$4:$C$1774,"Shift4",Datos!$B$4:$B$1774,A17)</f>
        <v/>
      </c>
      <c r="F17" s="25">
        <f>D17+E17</f>
        <v/>
      </c>
    </row>
    <row r="18">
      <c r="A18" s="15" t="inlineStr">
        <is>
          <t>2026-W26</t>
        </is>
      </c>
      <c r="B18" s="16">
        <f>SUMIFS(Datos!$H$4:$H$1774,Datos!$C$4:$C$1774,"Shift4",Datos!$B$4:$B$1774,A18)</f>
        <v/>
      </c>
      <c r="C18" s="16">
        <f>SUMIFS(Datos!$I$4:$I$1774,Datos!$C$4:$C$1774,"Shift4",Datos!$B$4:$B$1774,A18)</f>
        <v/>
      </c>
      <c r="D18" s="16">
        <f>B18+C18</f>
        <v/>
      </c>
      <c r="E18" s="16">
        <f>SUMIFS(Datos!$J$4:$J$1774,Datos!$C$4:$C$1774,"Shift4",Datos!$B$4:$B$1774,A18)</f>
        <v/>
      </c>
      <c r="F18" s="25">
        <f>D18+E18</f>
        <v/>
      </c>
    </row>
    <row r="19">
      <c r="A19" s="15" t="inlineStr">
        <is>
          <t>2026-W27</t>
        </is>
      </c>
      <c r="B19" s="16">
        <f>SUMIFS(Datos!$H$4:$H$1774,Datos!$C$4:$C$1774,"Shift4",Datos!$B$4:$B$1774,A19)</f>
        <v/>
      </c>
      <c r="C19" s="16">
        <f>SUMIFS(Datos!$I$4:$I$1774,Datos!$C$4:$C$1774,"Shift4",Datos!$B$4:$B$1774,A19)</f>
        <v/>
      </c>
      <c r="D19" s="16">
        <f>B19+C19</f>
        <v/>
      </c>
      <c r="E19" s="16">
        <f>SUMIFS(Datos!$J$4:$J$1774,Datos!$C$4:$C$1774,"Shift4",Datos!$B$4:$B$1774,A19)</f>
        <v/>
      </c>
      <c r="F19" s="25">
        <f>D19+E19</f>
        <v/>
      </c>
    </row>
    <row r="20">
      <c r="A20" s="15" t="inlineStr">
        <is>
          <t>2026-W28</t>
        </is>
      </c>
      <c r="B20" s="16">
        <f>SUMIFS(Datos!$H$4:$H$1774,Datos!$C$4:$C$1774,"Shift4",Datos!$B$4:$B$1774,A20)</f>
        <v/>
      </c>
      <c r="C20" s="16">
        <f>SUMIFS(Datos!$I$4:$I$1774,Datos!$C$4:$C$1774,"Shift4",Datos!$B$4:$B$1774,A20)</f>
        <v/>
      </c>
      <c r="D20" s="16">
        <f>B20+C20</f>
        <v/>
      </c>
      <c r="E20" s="16">
        <f>SUMIFS(Datos!$J$4:$J$1774,Datos!$C$4:$C$1774,"Shift4",Datos!$B$4:$B$1774,A20)</f>
        <v/>
      </c>
      <c r="F20" s="25">
        <f>D20+E20</f>
        <v/>
      </c>
    </row>
    <row r="21">
      <c r="A21" s="15" t="inlineStr">
        <is>
          <t>2026-W29</t>
        </is>
      </c>
      <c r="B21" s="16">
        <f>SUMIFS(Datos!$H$4:$H$1774,Datos!$C$4:$C$1774,"Shift4",Datos!$B$4:$B$1774,A21)</f>
        <v/>
      </c>
      <c r="C21" s="16">
        <f>SUMIFS(Datos!$I$4:$I$1774,Datos!$C$4:$C$1774,"Shift4",Datos!$B$4:$B$1774,A21)</f>
        <v/>
      </c>
      <c r="D21" s="16">
        <f>B21+C21</f>
        <v/>
      </c>
      <c r="E21" s="16">
        <f>SUMIFS(Datos!$J$4:$J$1774,Datos!$C$4:$C$1774,"Shift4",Datos!$B$4:$B$1774,A21)</f>
        <v/>
      </c>
      <c r="F21" s="25">
        <f>D21+E21</f>
        <v/>
      </c>
    </row>
    <row r="22">
      <c r="A22" s="5" t="inlineStr">
        <is>
          <t>TOTAL</t>
        </is>
      </c>
      <c r="B22" s="18">
        <f>SUM(B6:B21)</f>
        <v/>
      </c>
      <c r="C22" s="18">
        <f>SUM(C6:C21)</f>
        <v/>
      </c>
      <c r="D22" s="18">
        <f>SUM(D6:D21)</f>
        <v/>
      </c>
      <c r="E22" s="18">
        <f>SUM(E6:E21)</f>
        <v/>
      </c>
      <c r="F22" s="18">
        <f>SUM(F6:F21)</f>
        <v/>
      </c>
    </row>
    <row r="25">
      <c r="A25" s="12" t="inlineStr">
        <is>
          <t>POR DÍA</t>
        </is>
      </c>
      <c r="B25" s="13" t="n"/>
      <c r="C25" s="13" t="n"/>
      <c r="D25" s="13" t="n"/>
      <c r="E25" s="13" t="n"/>
      <c r="F25" s="13" t="n"/>
    </row>
    <row r="26">
      <c r="A26" s="7" t="inlineStr">
        <is>
          <t>Fecha</t>
        </is>
      </c>
      <c r="B26" s="7" t="inlineStr">
        <is>
          <t>Ventas (€)</t>
        </is>
      </c>
      <c r="C26" s="7" t="inlineStr">
        <is>
          <t>Fee (€)</t>
        </is>
      </c>
      <c r="D26" s="7" t="inlineStr">
        <is>
          <t>Cobro (€)</t>
        </is>
      </c>
      <c r="E26" s="7" t="inlineStr">
        <is>
          <t>Payout (€)</t>
        </is>
      </c>
      <c r="F26" s="7" t="inlineStr">
        <is>
          <t>Retenido neto (€)</t>
        </is>
      </c>
    </row>
    <row r="27">
      <c r="A27" s="26" t="n">
        <v>46111</v>
      </c>
      <c r="B27" s="16">
        <f>SUMIFS(Datos!$H$4:$H$1774,Datos!$C$4:$C$1774,"Shift4",Datos!$A$4:$A$1774,A27)</f>
        <v/>
      </c>
      <c r="C27" s="16">
        <f>SUMIFS(Datos!$I$4:$I$1774,Datos!$C$4:$C$1774,"Shift4",Datos!$A$4:$A$1774,A27)</f>
        <v/>
      </c>
      <c r="D27" s="16">
        <f>B27+C27</f>
        <v/>
      </c>
      <c r="E27" s="16">
        <f>SUMIFS(Datos!$J$4:$J$1774,Datos!$C$4:$C$1774,"Shift4",Datos!$A$4:$A$1774,A27)</f>
        <v/>
      </c>
      <c r="F27" s="27">
        <f>D27+E27</f>
        <v/>
      </c>
    </row>
    <row r="28">
      <c r="A28" s="26" t="n">
        <v>46112</v>
      </c>
      <c r="B28" s="16">
        <f>SUMIFS(Datos!$H$4:$H$1774,Datos!$C$4:$C$1774,"Shift4",Datos!$A$4:$A$1774,A28)</f>
        <v/>
      </c>
      <c r="C28" s="16">
        <f>SUMIFS(Datos!$I$4:$I$1774,Datos!$C$4:$C$1774,"Shift4",Datos!$A$4:$A$1774,A28)</f>
        <v/>
      </c>
      <c r="D28" s="16">
        <f>B28+C28</f>
        <v/>
      </c>
      <c r="E28" s="16">
        <f>SUMIFS(Datos!$J$4:$J$1774,Datos!$C$4:$C$1774,"Shift4",Datos!$A$4:$A$1774,A28)</f>
        <v/>
      </c>
      <c r="F28" s="27">
        <f>D28+E28</f>
        <v/>
      </c>
    </row>
    <row r="29">
      <c r="A29" s="26" t="n">
        <v>46113</v>
      </c>
      <c r="B29" s="16">
        <f>SUMIFS(Datos!$H$4:$H$1774,Datos!$C$4:$C$1774,"Shift4",Datos!$A$4:$A$1774,A29)</f>
        <v/>
      </c>
      <c r="C29" s="16">
        <f>SUMIFS(Datos!$I$4:$I$1774,Datos!$C$4:$C$1774,"Shift4",Datos!$A$4:$A$1774,A29)</f>
        <v/>
      </c>
      <c r="D29" s="16">
        <f>B29+C29</f>
        <v/>
      </c>
      <c r="E29" s="16">
        <f>SUMIFS(Datos!$J$4:$J$1774,Datos!$C$4:$C$1774,"Shift4",Datos!$A$4:$A$1774,A29)</f>
        <v/>
      </c>
      <c r="F29" s="27">
        <f>D29+E29</f>
        <v/>
      </c>
    </row>
    <row r="30">
      <c r="A30" s="26" t="n">
        <v>46114</v>
      </c>
      <c r="B30" s="16">
        <f>SUMIFS(Datos!$H$4:$H$1774,Datos!$C$4:$C$1774,"Shift4",Datos!$A$4:$A$1774,A30)</f>
        <v/>
      </c>
      <c r="C30" s="16">
        <f>SUMIFS(Datos!$I$4:$I$1774,Datos!$C$4:$C$1774,"Shift4",Datos!$A$4:$A$1774,A30)</f>
        <v/>
      </c>
      <c r="D30" s="16">
        <f>B30+C30</f>
        <v/>
      </c>
      <c r="E30" s="16">
        <f>SUMIFS(Datos!$J$4:$J$1774,Datos!$C$4:$C$1774,"Shift4",Datos!$A$4:$A$1774,A30)</f>
        <v/>
      </c>
      <c r="F30" s="27">
        <f>D30+E30</f>
        <v/>
      </c>
    </row>
    <row r="31">
      <c r="A31" s="26" t="n">
        <v>46115</v>
      </c>
      <c r="B31" s="16">
        <f>SUMIFS(Datos!$H$4:$H$1774,Datos!$C$4:$C$1774,"Shift4",Datos!$A$4:$A$1774,A31)</f>
        <v/>
      </c>
      <c r="C31" s="16">
        <f>SUMIFS(Datos!$I$4:$I$1774,Datos!$C$4:$C$1774,"Shift4",Datos!$A$4:$A$1774,A31)</f>
        <v/>
      </c>
      <c r="D31" s="16">
        <f>B31+C31</f>
        <v/>
      </c>
      <c r="E31" s="16">
        <f>SUMIFS(Datos!$J$4:$J$1774,Datos!$C$4:$C$1774,"Shift4",Datos!$A$4:$A$1774,A31)</f>
        <v/>
      </c>
      <c r="F31" s="27">
        <f>D31+E31</f>
        <v/>
      </c>
    </row>
    <row r="32">
      <c r="A32" s="26" t="n">
        <v>46116</v>
      </c>
      <c r="B32" s="16">
        <f>SUMIFS(Datos!$H$4:$H$1774,Datos!$C$4:$C$1774,"Shift4",Datos!$A$4:$A$1774,A32)</f>
        <v/>
      </c>
      <c r="C32" s="16">
        <f>SUMIFS(Datos!$I$4:$I$1774,Datos!$C$4:$C$1774,"Shift4",Datos!$A$4:$A$1774,A32)</f>
        <v/>
      </c>
      <c r="D32" s="16">
        <f>B32+C32</f>
        <v/>
      </c>
      <c r="E32" s="16">
        <f>SUMIFS(Datos!$J$4:$J$1774,Datos!$C$4:$C$1774,"Shift4",Datos!$A$4:$A$1774,A32)</f>
        <v/>
      </c>
      <c r="F32" s="27">
        <f>D32+E32</f>
        <v/>
      </c>
    </row>
    <row r="33">
      <c r="A33" s="26" t="n">
        <v>46117</v>
      </c>
      <c r="B33" s="16">
        <f>SUMIFS(Datos!$H$4:$H$1774,Datos!$C$4:$C$1774,"Shift4",Datos!$A$4:$A$1774,A33)</f>
        <v/>
      </c>
      <c r="C33" s="16">
        <f>SUMIFS(Datos!$I$4:$I$1774,Datos!$C$4:$C$1774,"Shift4",Datos!$A$4:$A$1774,A33)</f>
        <v/>
      </c>
      <c r="D33" s="16">
        <f>B33+C33</f>
        <v/>
      </c>
      <c r="E33" s="16">
        <f>SUMIFS(Datos!$J$4:$J$1774,Datos!$C$4:$C$1774,"Shift4",Datos!$A$4:$A$1774,A33)</f>
        <v/>
      </c>
      <c r="F33" s="27">
        <f>D33+E33</f>
        <v/>
      </c>
    </row>
    <row r="34">
      <c r="A34" s="26" t="n">
        <v>46118</v>
      </c>
      <c r="B34" s="16">
        <f>SUMIFS(Datos!$H$4:$H$1774,Datos!$C$4:$C$1774,"Shift4",Datos!$A$4:$A$1774,A34)</f>
        <v/>
      </c>
      <c r="C34" s="16">
        <f>SUMIFS(Datos!$I$4:$I$1774,Datos!$C$4:$C$1774,"Shift4",Datos!$A$4:$A$1774,A34)</f>
        <v/>
      </c>
      <c r="D34" s="16">
        <f>B34+C34</f>
        <v/>
      </c>
      <c r="E34" s="16">
        <f>SUMIFS(Datos!$J$4:$J$1774,Datos!$C$4:$C$1774,"Shift4",Datos!$A$4:$A$1774,A34)</f>
        <v/>
      </c>
      <c r="F34" s="27">
        <f>D34+E34</f>
        <v/>
      </c>
    </row>
    <row r="35">
      <c r="A35" s="26" t="n">
        <v>46119</v>
      </c>
      <c r="B35" s="16">
        <f>SUMIFS(Datos!$H$4:$H$1774,Datos!$C$4:$C$1774,"Shift4",Datos!$A$4:$A$1774,A35)</f>
        <v/>
      </c>
      <c r="C35" s="16">
        <f>SUMIFS(Datos!$I$4:$I$1774,Datos!$C$4:$C$1774,"Shift4",Datos!$A$4:$A$1774,A35)</f>
        <v/>
      </c>
      <c r="D35" s="16">
        <f>B35+C35</f>
        <v/>
      </c>
      <c r="E35" s="16">
        <f>SUMIFS(Datos!$J$4:$J$1774,Datos!$C$4:$C$1774,"Shift4",Datos!$A$4:$A$1774,A35)</f>
        <v/>
      </c>
      <c r="F35" s="27">
        <f>D35+E35</f>
        <v/>
      </c>
    </row>
    <row r="36">
      <c r="A36" s="26" t="n">
        <v>46120</v>
      </c>
      <c r="B36" s="16">
        <f>SUMIFS(Datos!$H$4:$H$1774,Datos!$C$4:$C$1774,"Shift4",Datos!$A$4:$A$1774,A36)</f>
        <v/>
      </c>
      <c r="C36" s="16">
        <f>SUMIFS(Datos!$I$4:$I$1774,Datos!$C$4:$C$1774,"Shift4",Datos!$A$4:$A$1774,A36)</f>
        <v/>
      </c>
      <c r="D36" s="16">
        <f>B36+C36</f>
        <v/>
      </c>
      <c r="E36" s="16">
        <f>SUMIFS(Datos!$J$4:$J$1774,Datos!$C$4:$C$1774,"Shift4",Datos!$A$4:$A$1774,A36)</f>
        <v/>
      </c>
      <c r="F36" s="27">
        <f>D36+E36</f>
        <v/>
      </c>
    </row>
    <row r="37">
      <c r="A37" s="26" t="n">
        <v>46121</v>
      </c>
      <c r="B37" s="16">
        <f>SUMIFS(Datos!$H$4:$H$1774,Datos!$C$4:$C$1774,"Shift4",Datos!$A$4:$A$1774,A37)</f>
        <v/>
      </c>
      <c r="C37" s="16">
        <f>SUMIFS(Datos!$I$4:$I$1774,Datos!$C$4:$C$1774,"Shift4",Datos!$A$4:$A$1774,A37)</f>
        <v/>
      </c>
      <c r="D37" s="16">
        <f>B37+C37</f>
        <v/>
      </c>
      <c r="E37" s="16">
        <f>SUMIFS(Datos!$J$4:$J$1774,Datos!$C$4:$C$1774,"Shift4",Datos!$A$4:$A$1774,A37)</f>
        <v/>
      </c>
      <c r="F37" s="27">
        <f>D37+E37</f>
        <v/>
      </c>
    </row>
    <row r="38">
      <c r="A38" s="26" t="n">
        <v>46122</v>
      </c>
      <c r="B38" s="16">
        <f>SUMIFS(Datos!$H$4:$H$1774,Datos!$C$4:$C$1774,"Shift4",Datos!$A$4:$A$1774,A38)</f>
        <v/>
      </c>
      <c r="C38" s="16">
        <f>SUMIFS(Datos!$I$4:$I$1774,Datos!$C$4:$C$1774,"Shift4",Datos!$A$4:$A$1774,A38)</f>
        <v/>
      </c>
      <c r="D38" s="16">
        <f>B38+C38</f>
        <v/>
      </c>
      <c r="E38" s="16">
        <f>SUMIFS(Datos!$J$4:$J$1774,Datos!$C$4:$C$1774,"Shift4",Datos!$A$4:$A$1774,A38)</f>
        <v/>
      </c>
      <c r="F38" s="27">
        <f>D38+E38</f>
        <v/>
      </c>
    </row>
    <row r="39">
      <c r="A39" s="26" t="n">
        <v>46123</v>
      </c>
      <c r="B39" s="16">
        <f>SUMIFS(Datos!$H$4:$H$1774,Datos!$C$4:$C$1774,"Shift4",Datos!$A$4:$A$1774,A39)</f>
        <v/>
      </c>
      <c r="C39" s="16">
        <f>SUMIFS(Datos!$I$4:$I$1774,Datos!$C$4:$C$1774,"Shift4",Datos!$A$4:$A$1774,A39)</f>
        <v/>
      </c>
      <c r="D39" s="16">
        <f>B39+C39</f>
        <v/>
      </c>
      <c r="E39" s="16">
        <f>SUMIFS(Datos!$J$4:$J$1774,Datos!$C$4:$C$1774,"Shift4",Datos!$A$4:$A$1774,A39)</f>
        <v/>
      </c>
      <c r="F39" s="27">
        <f>D39+E39</f>
        <v/>
      </c>
    </row>
    <row r="40">
      <c r="A40" s="26" t="n">
        <v>46124</v>
      </c>
      <c r="B40" s="16">
        <f>SUMIFS(Datos!$H$4:$H$1774,Datos!$C$4:$C$1774,"Shift4",Datos!$A$4:$A$1774,A40)</f>
        <v/>
      </c>
      <c r="C40" s="16">
        <f>SUMIFS(Datos!$I$4:$I$1774,Datos!$C$4:$C$1774,"Shift4",Datos!$A$4:$A$1774,A40)</f>
        <v/>
      </c>
      <c r="D40" s="16">
        <f>B40+C40</f>
        <v/>
      </c>
      <c r="E40" s="16">
        <f>SUMIFS(Datos!$J$4:$J$1774,Datos!$C$4:$C$1774,"Shift4",Datos!$A$4:$A$1774,A40)</f>
        <v/>
      </c>
      <c r="F40" s="27">
        <f>D40+E40</f>
        <v/>
      </c>
    </row>
    <row r="41">
      <c r="A41" s="26" t="n">
        <v>46125</v>
      </c>
      <c r="B41" s="16">
        <f>SUMIFS(Datos!$H$4:$H$1774,Datos!$C$4:$C$1774,"Shift4",Datos!$A$4:$A$1774,A41)</f>
        <v/>
      </c>
      <c r="C41" s="16">
        <f>SUMIFS(Datos!$I$4:$I$1774,Datos!$C$4:$C$1774,"Shift4",Datos!$A$4:$A$1774,A41)</f>
        <v/>
      </c>
      <c r="D41" s="16">
        <f>B41+C41</f>
        <v/>
      </c>
      <c r="E41" s="16">
        <f>SUMIFS(Datos!$J$4:$J$1774,Datos!$C$4:$C$1774,"Shift4",Datos!$A$4:$A$1774,A41)</f>
        <v/>
      </c>
      <c r="F41" s="27">
        <f>D41+E41</f>
        <v/>
      </c>
    </row>
    <row r="42">
      <c r="A42" s="26" t="n">
        <v>46126</v>
      </c>
      <c r="B42" s="16">
        <f>SUMIFS(Datos!$H$4:$H$1774,Datos!$C$4:$C$1774,"Shift4",Datos!$A$4:$A$1774,A42)</f>
        <v/>
      </c>
      <c r="C42" s="16">
        <f>SUMIFS(Datos!$I$4:$I$1774,Datos!$C$4:$C$1774,"Shift4",Datos!$A$4:$A$1774,A42)</f>
        <v/>
      </c>
      <c r="D42" s="16">
        <f>B42+C42</f>
        <v/>
      </c>
      <c r="E42" s="16">
        <f>SUMIFS(Datos!$J$4:$J$1774,Datos!$C$4:$C$1774,"Shift4",Datos!$A$4:$A$1774,A42)</f>
        <v/>
      </c>
      <c r="F42" s="27">
        <f>D42+E42</f>
        <v/>
      </c>
    </row>
    <row r="43">
      <c r="A43" s="26" t="n">
        <v>46127</v>
      </c>
      <c r="B43" s="16">
        <f>SUMIFS(Datos!$H$4:$H$1774,Datos!$C$4:$C$1774,"Shift4",Datos!$A$4:$A$1774,A43)</f>
        <v/>
      </c>
      <c r="C43" s="16">
        <f>SUMIFS(Datos!$I$4:$I$1774,Datos!$C$4:$C$1774,"Shift4",Datos!$A$4:$A$1774,A43)</f>
        <v/>
      </c>
      <c r="D43" s="16">
        <f>B43+C43</f>
        <v/>
      </c>
      <c r="E43" s="16">
        <f>SUMIFS(Datos!$J$4:$J$1774,Datos!$C$4:$C$1774,"Shift4",Datos!$A$4:$A$1774,A43)</f>
        <v/>
      </c>
      <c r="F43" s="27">
        <f>D43+E43</f>
        <v/>
      </c>
    </row>
    <row r="44">
      <c r="A44" s="26" t="n">
        <v>46128</v>
      </c>
      <c r="B44" s="16">
        <f>SUMIFS(Datos!$H$4:$H$1774,Datos!$C$4:$C$1774,"Shift4",Datos!$A$4:$A$1774,A44)</f>
        <v/>
      </c>
      <c r="C44" s="16">
        <f>SUMIFS(Datos!$I$4:$I$1774,Datos!$C$4:$C$1774,"Shift4",Datos!$A$4:$A$1774,A44)</f>
        <v/>
      </c>
      <c r="D44" s="16">
        <f>B44+C44</f>
        <v/>
      </c>
      <c r="E44" s="16">
        <f>SUMIFS(Datos!$J$4:$J$1774,Datos!$C$4:$C$1774,"Shift4",Datos!$A$4:$A$1774,A44)</f>
        <v/>
      </c>
      <c r="F44" s="27">
        <f>D44+E44</f>
        <v/>
      </c>
    </row>
    <row r="45">
      <c r="A45" s="26" t="n">
        <v>46129</v>
      </c>
      <c r="B45" s="16">
        <f>SUMIFS(Datos!$H$4:$H$1774,Datos!$C$4:$C$1774,"Shift4",Datos!$A$4:$A$1774,A45)</f>
        <v/>
      </c>
      <c r="C45" s="16">
        <f>SUMIFS(Datos!$I$4:$I$1774,Datos!$C$4:$C$1774,"Shift4",Datos!$A$4:$A$1774,A45)</f>
        <v/>
      </c>
      <c r="D45" s="16">
        <f>B45+C45</f>
        <v/>
      </c>
      <c r="E45" s="16">
        <f>SUMIFS(Datos!$J$4:$J$1774,Datos!$C$4:$C$1774,"Shift4",Datos!$A$4:$A$1774,A45)</f>
        <v/>
      </c>
      <c r="F45" s="27">
        <f>D45+E45</f>
        <v/>
      </c>
    </row>
    <row r="46">
      <c r="A46" s="26" t="n">
        <v>46130</v>
      </c>
      <c r="B46" s="16">
        <f>SUMIFS(Datos!$H$4:$H$1774,Datos!$C$4:$C$1774,"Shift4",Datos!$A$4:$A$1774,A46)</f>
        <v/>
      </c>
      <c r="C46" s="16">
        <f>SUMIFS(Datos!$I$4:$I$1774,Datos!$C$4:$C$1774,"Shift4",Datos!$A$4:$A$1774,A46)</f>
        <v/>
      </c>
      <c r="D46" s="16">
        <f>B46+C46</f>
        <v/>
      </c>
      <c r="E46" s="16">
        <f>SUMIFS(Datos!$J$4:$J$1774,Datos!$C$4:$C$1774,"Shift4",Datos!$A$4:$A$1774,A46)</f>
        <v/>
      </c>
      <c r="F46" s="27">
        <f>D46+E46</f>
        <v/>
      </c>
    </row>
    <row r="47">
      <c r="A47" s="26" t="n">
        <v>46131</v>
      </c>
      <c r="B47" s="16">
        <f>SUMIFS(Datos!$H$4:$H$1774,Datos!$C$4:$C$1774,"Shift4",Datos!$A$4:$A$1774,A47)</f>
        <v/>
      </c>
      <c r="C47" s="16">
        <f>SUMIFS(Datos!$I$4:$I$1774,Datos!$C$4:$C$1774,"Shift4",Datos!$A$4:$A$1774,A47)</f>
        <v/>
      </c>
      <c r="D47" s="16">
        <f>B47+C47</f>
        <v/>
      </c>
      <c r="E47" s="16">
        <f>SUMIFS(Datos!$J$4:$J$1774,Datos!$C$4:$C$1774,"Shift4",Datos!$A$4:$A$1774,A47)</f>
        <v/>
      </c>
      <c r="F47" s="27">
        <f>D47+E47</f>
        <v/>
      </c>
    </row>
    <row r="48">
      <c r="A48" s="26" t="n">
        <v>46132</v>
      </c>
      <c r="B48" s="16">
        <f>SUMIFS(Datos!$H$4:$H$1774,Datos!$C$4:$C$1774,"Shift4",Datos!$A$4:$A$1774,A48)</f>
        <v/>
      </c>
      <c r="C48" s="16">
        <f>SUMIFS(Datos!$I$4:$I$1774,Datos!$C$4:$C$1774,"Shift4",Datos!$A$4:$A$1774,A48)</f>
        <v/>
      </c>
      <c r="D48" s="16">
        <f>B48+C48</f>
        <v/>
      </c>
      <c r="E48" s="16">
        <f>SUMIFS(Datos!$J$4:$J$1774,Datos!$C$4:$C$1774,"Shift4",Datos!$A$4:$A$1774,A48)</f>
        <v/>
      </c>
      <c r="F48" s="27">
        <f>D48+E48</f>
        <v/>
      </c>
    </row>
    <row r="49">
      <c r="A49" s="26" t="n">
        <v>46133</v>
      </c>
      <c r="B49" s="16">
        <f>SUMIFS(Datos!$H$4:$H$1774,Datos!$C$4:$C$1774,"Shift4",Datos!$A$4:$A$1774,A49)</f>
        <v/>
      </c>
      <c r="C49" s="16">
        <f>SUMIFS(Datos!$I$4:$I$1774,Datos!$C$4:$C$1774,"Shift4",Datos!$A$4:$A$1774,A49)</f>
        <v/>
      </c>
      <c r="D49" s="16">
        <f>B49+C49</f>
        <v/>
      </c>
      <c r="E49" s="16">
        <f>SUMIFS(Datos!$J$4:$J$1774,Datos!$C$4:$C$1774,"Shift4",Datos!$A$4:$A$1774,A49)</f>
        <v/>
      </c>
      <c r="F49" s="27">
        <f>D49+E49</f>
        <v/>
      </c>
    </row>
    <row r="50">
      <c r="A50" s="26" t="n">
        <v>46134</v>
      </c>
      <c r="B50" s="16">
        <f>SUMIFS(Datos!$H$4:$H$1774,Datos!$C$4:$C$1774,"Shift4",Datos!$A$4:$A$1774,A50)</f>
        <v/>
      </c>
      <c r="C50" s="16">
        <f>SUMIFS(Datos!$I$4:$I$1774,Datos!$C$4:$C$1774,"Shift4",Datos!$A$4:$A$1774,A50)</f>
        <v/>
      </c>
      <c r="D50" s="16">
        <f>B50+C50</f>
        <v/>
      </c>
      <c r="E50" s="16">
        <f>SUMIFS(Datos!$J$4:$J$1774,Datos!$C$4:$C$1774,"Shift4",Datos!$A$4:$A$1774,A50)</f>
        <v/>
      </c>
      <c r="F50" s="27">
        <f>D50+E50</f>
        <v/>
      </c>
    </row>
    <row r="51">
      <c r="A51" s="26" t="n">
        <v>46135</v>
      </c>
      <c r="B51" s="16">
        <f>SUMIFS(Datos!$H$4:$H$1774,Datos!$C$4:$C$1774,"Shift4",Datos!$A$4:$A$1774,A51)</f>
        <v/>
      </c>
      <c r="C51" s="16">
        <f>SUMIFS(Datos!$I$4:$I$1774,Datos!$C$4:$C$1774,"Shift4",Datos!$A$4:$A$1774,A51)</f>
        <v/>
      </c>
      <c r="D51" s="16">
        <f>B51+C51</f>
        <v/>
      </c>
      <c r="E51" s="16">
        <f>SUMIFS(Datos!$J$4:$J$1774,Datos!$C$4:$C$1774,"Shift4",Datos!$A$4:$A$1774,A51)</f>
        <v/>
      </c>
      <c r="F51" s="27">
        <f>D51+E51</f>
        <v/>
      </c>
    </row>
    <row r="52">
      <c r="A52" s="26" t="n">
        <v>46136</v>
      </c>
      <c r="B52" s="16">
        <f>SUMIFS(Datos!$H$4:$H$1774,Datos!$C$4:$C$1774,"Shift4",Datos!$A$4:$A$1774,A52)</f>
        <v/>
      </c>
      <c r="C52" s="16">
        <f>SUMIFS(Datos!$I$4:$I$1774,Datos!$C$4:$C$1774,"Shift4",Datos!$A$4:$A$1774,A52)</f>
        <v/>
      </c>
      <c r="D52" s="16">
        <f>B52+C52</f>
        <v/>
      </c>
      <c r="E52" s="16">
        <f>SUMIFS(Datos!$J$4:$J$1774,Datos!$C$4:$C$1774,"Shift4",Datos!$A$4:$A$1774,A52)</f>
        <v/>
      </c>
      <c r="F52" s="27">
        <f>D52+E52</f>
        <v/>
      </c>
    </row>
    <row r="53">
      <c r="A53" s="26" t="n">
        <v>46137</v>
      </c>
      <c r="B53" s="16">
        <f>SUMIFS(Datos!$H$4:$H$1774,Datos!$C$4:$C$1774,"Shift4",Datos!$A$4:$A$1774,A53)</f>
        <v/>
      </c>
      <c r="C53" s="16">
        <f>SUMIFS(Datos!$I$4:$I$1774,Datos!$C$4:$C$1774,"Shift4",Datos!$A$4:$A$1774,A53)</f>
        <v/>
      </c>
      <c r="D53" s="16">
        <f>B53+C53</f>
        <v/>
      </c>
      <c r="E53" s="16">
        <f>SUMIFS(Datos!$J$4:$J$1774,Datos!$C$4:$C$1774,"Shift4",Datos!$A$4:$A$1774,A53)</f>
        <v/>
      </c>
      <c r="F53" s="27">
        <f>D53+E53</f>
        <v/>
      </c>
    </row>
    <row r="54">
      <c r="A54" s="26" t="n">
        <v>46138</v>
      </c>
      <c r="B54" s="16">
        <f>SUMIFS(Datos!$H$4:$H$1774,Datos!$C$4:$C$1774,"Shift4",Datos!$A$4:$A$1774,A54)</f>
        <v/>
      </c>
      <c r="C54" s="16">
        <f>SUMIFS(Datos!$I$4:$I$1774,Datos!$C$4:$C$1774,"Shift4",Datos!$A$4:$A$1774,A54)</f>
        <v/>
      </c>
      <c r="D54" s="16">
        <f>B54+C54</f>
        <v/>
      </c>
      <c r="E54" s="16">
        <f>SUMIFS(Datos!$J$4:$J$1774,Datos!$C$4:$C$1774,"Shift4",Datos!$A$4:$A$1774,A54)</f>
        <v/>
      </c>
      <c r="F54" s="27">
        <f>D54+E54</f>
        <v/>
      </c>
    </row>
    <row r="55">
      <c r="A55" s="26" t="n">
        <v>46139</v>
      </c>
      <c r="B55" s="16">
        <f>SUMIFS(Datos!$H$4:$H$1774,Datos!$C$4:$C$1774,"Shift4",Datos!$A$4:$A$1774,A55)</f>
        <v/>
      </c>
      <c r="C55" s="16">
        <f>SUMIFS(Datos!$I$4:$I$1774,Datos!$C$4:$C$1774,"Shift4",Datos!$A$4:$A$1774,A55)</f>
        <v/>
      </c>
      <c r="D55" s="16">
        <f>B55+C55</f>
        <v/>
      </c>
      <c r="E55" s="16">
        <f>SUMIFS(Datos!$J$4:$J$1774,Datos!$C$4:$C$1774,"Shift4",Datos!$A$4:$A$1774,A55)</f>
        <v/>
      </c>
      <c r="F55" s="27">
        <f>D55+E55</f>
        <v/>
      </c>
    </row>
    <row r="56">
      <c r="A56" s="26" t="n">
        <v>46140</v>
      </c>
      <c r="B56" s="16">
        <f>SUMIFS(Datos!$H$4:$H$1774,Datos!$C$4:$C$1774,"Shift4",Datos!$A$4:$A$1774,A56)</f>
        <v/>
      </c>
      <c r="C56" s="16">
        <f>SUMIFS(Datos!$I$4:$I$1774,Datos!$C$4:$C$1774,"Shift4",Datos!$A$4:$A$1774,A56)</f>
        <v/>
      </c>
      <c r="D56" s="16">
        <f>B56+C56</f>
        <v/>
      </c>
      <c r="E56" s="16">
        <f>SUMIFS(Datos!$J$4:$J$1774,Datos!$C$4:$C$1774,"Shift4",Datos!$A$4:$A$1774,A56)</f>
        <v/>
      </c>
      <c r="F56" s="27">
        <f>D56+E56</f>
        <v/>
      </c>
    </row>
    <row r="57">
      <c r="A57" s="26" t="n">
        <v>46141</v>
      </c>
      <c r="B57" s="16">
        <f>SUMIFS(Datos!$H$4:$H$1774,Datos!$C$4:$C$1774,"Shift4",Datos!$A$4:$A$1774,A57)</f>
        <v/>
      </c>
      <c r="C57" s="16">
        <f>SUMIFS(Datos!$I$4:$I$1774,Datos!$C$4:$C$1774,"Shift4",Datos!$A$4:$A$1774,A57)</f>
        <v/>
      </c>
      <c r="D57" s="16">
        <f>B57+C57</f>
        <v/>
      </c>
      <c r="E57" s="16">
        <f>SUMIFS(Datos!$J$4:$J$1774,Datos!$C$4:$C$1774,"Shift4",Datos!$A$4:$A$1774,A57)</f>
        <v/>
      </c>
      <c r="F57" s="27">
        <f>D57+E57</f>
        <v/>
      </c>
    </row>
    <row r="58">
      <c r="A58" s="26" t="n">
        <v>46142</v>
      </c>
      <c r="B58" s="16">
        <f>SUMIFS(Datos!$H$4:$H$1774,Datos!$C$4:$C$1774,"Shift4",Datos!$A$4:$A$1774,A58)</f>
        <v/>
      </c>
      <c r="C58" s="16">
        <f>SUMIFS(Datos!$I$4:$I$1774,Datos!$C$4:$C$1774,"Shift4",Datos!$A$4:$A$1774,A58)</f>
        <v/>
      </c>
      <c r="D58" s="16">
        <f>B58+C58</f>
        <v/>
      </c>
      <c r="E58" s="16">
        <f>SUMIFS(Datos!$J$4:$J$1774,Datos!$C$4:$C$1774,"Shift4",Datos!$A$4:$A$1774,A58)</f>
        <v/>
      </c>
      <c r="F58" s="27">
        <f>D58+E58</f>
        <v/>
      </c>
    </row>
    <row r="59">
      <c r="A59" s="26" t="n">
        <v>46143</v>
      </c>
      <c r="B59" s="16">
        <f>SUMIFS(Datos!$H$4:$H$1774,Datos!$C$4:$C$1774,"Shift4",Datos!$A$4:$A$1774,A59)</f>
        <v/>
      </c>
      <c r="C59" s="16">
        <f>SUMIFS(Datos!$I$4:$I$1774,Datos!$C$4:$C$1774,"Shift4",Datos!$A$4:$A$1774,A59)</f>
        <v/>
      </c>
      <c r="D59" s="16">
        <f>B59+C59</f>
        <v/>
      </c>
      <c r="E59" s="16">
        <f>SUMIFS(Datos!$J$4:$J$1774,Datos!$C$4:$C$1774,"Shift4",Datos!$A$4:$A$1774,A59)</f>
        <v/>
      </c>
      <c r="F59" s="27">
        <f>D59+E59</f>
        <v/>
      </c>
    </row>
    <row r="60">
      <c r="A60" s="26" t="n">
        <v>46144</v>
      </c>
      <c r="B60" s="16">
        <f>SUMIFS(Datos!$H$4:$H$1774,Datos!$C$4:$C$1774,"Shift4",Datos!$A$4:$A$1774,A60)</f>
        <v/>
      </c>
      <c r="C60" s="16">
        <f>SUMIFS(Datos!$I$4:$I$1774,Datos!$C$4:$C$1774,"Shift4",Datos!$A$4:$A$1774,A60)</f>
        <v/>
      </c>
      <c r="D60" s="16">
        <f>B60+C60</f>
        <v/>
      </c>
      <c r="E60" s="16">
        <f>SUMIFS(Datos!$J$4:$J$1774,Datos!$C$4:$C$1774,"Shift4",Datos!$A$4:$A$1774,A60)</f>
        <v/>
      </c>
      <c r="F60" s="27">
        <f>D60+E60</f>
        <v/>
      </c>
    </row>
    <row r="61">
      <c r="A61" s="26" t="n">
        <v>46145</v>
      </c>
      <c r="B61" s="16">
        <f>SUMIFS(Datos!$H$4:$H$1774,Datos!$C$4:$C$1774,"Shift4",Datos!$A$4:$A$1774,A61)</f>
        <v/>
      </c>
      <c r="C61" s="16">
        <f>SUMIFS(Datos!$I$4:$I$1774,Datos!$C$4:$C$1774,"Shift4",Datos!$A$4:$A$1774,A61)</f>
        <v/>
      </c>
      <c r="D61" s="16">
        <f>B61+C61</f>
        <v/>
      </c>
      <c r="E61" s="16">
        <f>SUMIFS(Datos!$J$4:$J$1774,Datos!$C$4:$C$1774,"Shift4",Datos!$A$4:$A$1774,A61)</f>
        <v/>
      </c>
      <c r="F61" s="27">
        <f>D61+E61</f>
        <v/>
      </c>
    </row>
    <row r="62">
      <c r="A62" s="26" t="n">
        <v>46146</v>
      </c>
      <c r="B62" s="16">
        <f>SUMIFS(Datos!$H$4:$H$1774,Datos!$C$4:$C$1774,"Shift4",Datos!$A$4:$A$1774,A62)</f>
        <v/>
      </c>
      <c r="C62" s="16">
        <f>SUMIFS(Datos!$I$4:$I$1774,Datos!$C$4:$C$1774,"Shift4",Datos!$A$4:$A$1774,A62)</f>
        <v/>
      </c>
      <c r="D62" s="16">
        <f>B62+C62</f>
        <v/>
      </c>
      <c r="E62" s="16">
        <f>SUMIFS(Datos!$J$4:$J$1774,Datos!$C$4:$C$1774,"Shift4",Datos!$A$4:$A$1774,A62)</f>
        <v/>
      </c>
      <c r="F62" s="27">
        <f>D62+E62</f>
        <v/>
      </c>
    </row>
    <row r="63">
      <c r="A63" s="26" t="n">
        <v>46147</v>
      </c>
      <c r="B63" s="16">
        <f>SUMIFS(Datos!$H$4:$H$1774,Datos!$C$4:$C$1774,"Shift4",Datos!$A$4:$A$1774,A63)</f>
        <v/>
      </c>
      <c r="C63" s="16">
        <f>SUMIFS(Datos!$I$4:$I$1774,Datos!$C$4:$C$1774,"Shift4",Datos!$A$4:$A$1774,A63)</f>
        <v/>
      </c>
      <c r="D63" s="16">
        <f>B63+C63</f>
        <v/>
      </c>
      <c r="E63" s="16">
        <f>SUMIFS(Datos!$J$4:$J$1774,Datos!$C$4:$C$1774,"Shift4",Datos!$A$4:$A$1774,A63)</f>
        <v/>
      </c>
      <c r="F63" s="27">
        <f>D63+E63</f>
        <v/>
      </c>
    </row>
    <row r="64">
      <c r="A64" s="26" t="n">
        <v>46148</v>
      </c>
      <c r="B64" s="16">
        <f>SUMIFS(Datos!$H$4:$H$1774,Datos!$C$4:$C$1774,"Shift4",Datos!$A$4:$A$1774,A64)</f>
        <v/>
      </c>
      <c r="C64" s="16">
        <f>SUMIFS(Datos!$I$4:$I$1774,Datos!$C$4:$C$1774,"Shift4",Datos!$A$4:$A$1774,A64)</f>
        <v/>
      </c>
      <c r="D64" s="16">
        <f>B64+C64</f>
        <v/>
      </c>
      <c r="E64" s="16">
        <f>SUMIFS(Datos!$J$4:$J$1774,Datos!$C$4:$C$1774,"Shift4",Datos!$A$4:$A$1774,A64)</f>
        <v/>
      </c>
      <c r="F64" s="27">
        <f>D64+E64</f>
        <v/>
      </c>
    </row>
    <row r="65">
      <c r="A65" s="26" t="n">
        <v>46149</v>
      </c>
      <c r="B65" s="16">
        <f>SUMIFS(Datos!$H$4:$H$1774,Datos!$C$4:$C$1774,"Shift4",Datos!$A$4:$A$1774,A65)</f>
        <v/>
      </c>
      <c r="C65" s="16">
        <f>SUMIFS(Datos!$I$4:$I$1774,Datos!$C$4:$C$1774,"Shift4",Datos!$A$4:$A$1774,A65)</f>
        <v/>
      </c>
      <c r="D65" s="16">
        <f>B65+C65</f>
        <v/>
      </c>
      <c r="E65" s="16">
        <f>SUMIFS(Datos!$J$4:$J$1774,Datos!$C$4:$C$1774,"Shift4",Datos!$A$4:$A$1774,A65)</f>
        <v/>
      </c>
      <c r="F65" s="27">
        <f>D65+E65</f>
        <v/>
      </c>
    </row>
    <row r="66">
      <c r="A66" s="26" t="n">
        <v>46150</v>
      </c>
      <c r="B66" s="16">
        <f>SUMIFS(Datos!$H$4:$H$1774,Datos!$C$4:$C$1774,"Shift4",Datos!$A$4:$A$1774,A66)</f>
        <v/>
      </c>
      <c r="C66" s="16">
        <f>SUMIFS(Datos!$I$4:$I$1774,Datos!$C$4:$C$1774,"Shift4",Datos!$A$4:$A$1774,A66)</f>
        <v/>
      </c>
      <c r="D66" s="16">
        <f>B66+C66</f>
        <v/>
      </c>
      <c r="E66" s="16">
        <f>SUMIFS(Datos!$J$4:$J$1774,Datos!$C$4:$C$1774,"Shift4",Datos!$A$4:$A$1774,A66)</f>
        <v/>
      </c>
      <c r="F66" s="27">
        <f>D66+E66</f>
        <v/>
      </c>
    </row>
    <row r="67">
      <c r="A67" s="26" t="n">
        <v>46151</v>
      </c>
      <c r="B67" s="16">
        <f>SUMIFS(Datos!$H$4:$H$1774,Datos!$C$4:$C$1774,"Shift4",Datos!$A$4:$A$1774,A67)</f>
        <v/>
      </c>
      <c r="C67" s="16">
        <f>SUMIFS(Datos!$I$4:$I$1774,Datos!$C$4:$C$1774,"Shift4",Datos!$A$4:$A$1774,A67)</f>
        <v/>
      </c>
      <c r="D67" s="16">
        <f>B67+C67</f>
        <v/>
      </c>
      <c r="E67" s="16">
        <f>SUMIFS(Datos!$J$4:$J$1774,Datos!$C$4:$C$1774,"Shift4",Datos!$A$4:$A$1774,A67)</f>
        <v/>
      </c>
      <c r="F67" s="27">
        <f>D67+E67</f>
        <v/>
      </c>
    </row>
    <row r="68">
      <c r="A68" s="26" t="n">
        <v>46152</v>
      </c>
      <c r="B68" s="16">
        <f>SUMIFS(Datos!$H$4:$H$1774,Datos!$C$4:$C$1774,"Shift4",Datos!$A$4:$A$1774,A68)</f>
        <v/>
      </c>
      <c r="C68" s="16">
        <f>SUMIFS(Datos!$I$4:$I$1774,Datos!$C$4:$C$1774,"Shift4",Datos!$A$4:$A$1774,A68)</f>
        <v/>
      </c>
      <c r="D68" s="16">
        <f>B68+C68</f>
        <v/>
      </c>
      <c r="E68" s="16">
        <f>SUMIFS(Datos!$J$4:$J$1774,Datos!$C$4:$C$1774,"Shift4",Datos!$A$4:$A$1774,A68)</f>
        <v/>
      </c>
      <c r="F68" s="27">
        <f>D68+E68</f>
        <v/>
      </c>
    </row>
    <row r="69">
      <c r="A69" s="26" t="n">
        <v>46153</v>
      </c>
      <c r="B69" s="16">
        <f>SUMIFS(Datos!$H$4:$H$1774,Datos!$C$4:$C$1774,"Shift4",Datos!$A$4:$A$1774,A69)</f>
        <v/>
      </c>
      <c r="C69" s="16">
        <f>SUMIFS(Datos!$I$4:$I$1774,Datos!$C$4:$C$1774,"Shift4",Datos!$A$4:$A$1774,A69)</f>
        <v/>
      </c>
      <c r="D69" s="16">
        <f>B69+C69</f>
        <v/>
      </c>
      <c r="E69" s="16">
        <f>SUMIFS(Datos!$J$4:$J$1774,Datos!$C$4:$C$1774,"Shift4",Datos!$A$4:$A$1774,A69)</f>
        <v/>
      </c>
      <c r="F69" s="27">
        <f>D69+E69</f>
        <v/>
      </c>
    </row>
    <row r="70">
      <c r="A70" s="26" t="n">
        <v>46154</v>
      </c>
      <c r="B70" s="16">
        <f>SUMIFS(Datos!$H$4:$H$1774,Datos!$C$4:$C$1774,"Shift4",Datos!$A$4:$A$1774,A70)</f>
        <v/>
      </c>
      <c r="C70" s="16">
        <f>SUMIFS(Datos!$I$4:$I$1774,Datos!$C$4:$C$1774,"Shift4",Datos!$A$4:$A$1774,A70)</f>
        <v/>
      </c>
      <c r="D70" s="16">
        <f>B70+C70</f>
        <v/>
      </c>
      <c r="E70" s="16">
        <f>SUMIFS(Datos!$J$4:$J$1774,Datos!$C$4:$C$1774,"Shift4",Datos!$A$4:$A$1774,A70)</f>
        <v/>
      </c>
      <c r="F70" s="27">
        <f>D70+E70</f>
        <v/>
      </c>
    </row>
    <row r="71">
      <c r="A71" s="26" t="n">
        <v>46155</v>
      </c>
      <c r="B71" s="16">
        <f>SUMIFS(Datos!$H$4:$H$1774,Datos!$C$4:$C$1774,"Shift4",Datos!$A$4:$A$1774,A71)</f>
        <v/>
      </c>
      <c r="C71" s="16">
        <f>SUMIFS(Datos!$I$4:$I$1774,Datos!$C$4:$C$1774,"Shift4",Datos!$A$4:$A$1774,A71)</f>
        <v/>
      </c>
      <c r="D71" s="16">
        <f>B71+C71</f>
        <v/>
      </c>
      <c r="E71" s="16">
        <f>SUMIFS(Datos!$J$4:$J$1774,Datos!$C$4:$C$1774,"Shift4",Datos!$A$4:$A$1774,A71)</f>
        <v/>
      </c>
      <c r="F71" s="27">
        <f>D71+E71</f>
        <v/>
      </c>
    </row>
    <row r="72">
      <c r="A72" s="26" t="n">
        <v>46156</v>
      </c>
      <c r="B72" s="16">
        <f>SUMIFS(Datos!$H$4:$H$1774,Datos!$C$4:$C$1774,"Shift4",Datos!$A$4:$A$1774,A72)</f>
        <v/>
      </c>
      <c r="C72" s="16">
        <f>SUMIFS(Datos!$I$4:$I$1774,Datos!$C$4:$C$1774,"Shift4",Datos!$A$4:$A$1774,A72)</f>
        <v/>
      </c>
      <c r="D72" s="16">
        <f>B72+C72</f>
        <v/>
      </c>
      <c r="E72" s="16">
        <f>SUMIFS(Datos!$J$4:$J$1774,Datos!$C$4:$C$1774,"Shift4",Datos!$A$4:$A$1774,A72)</f>
        <v/>
      </c>
      <c r="F72" s="27">
        <f>D72+E72</f>
        <v/>
      </c>
    </row>
    <row r="73">
      <c r="A73" s="26" t="n">
        <v>46157</v>
      </c>
      <c r="B73" s="16">
        <f>SUMIFS(Datos!$H$4:$H$1774,Datos!$C$4:$C$1774,"Shift4",Datos!$A$4:$A$1774,A73)</f>
        <v/>
      </c>
      <c r="C73" s="16">
        <f>SUMIFS(Datos!$I$4:$I$1774,Datos!$C$4:$C$1774,"Shift4",Datos!$A$4:$A$1774,A73)</f>
        <v/>
      </c>
      <c r="D73" s="16">
        <f>B73+C73</f>
        <v/>
      </c>
      <c r="E73" s="16">
        <f>SUMIFS(Datos!$J$4:$J$1774,Datos!$C$4:$C$1774,"Shift4",Datos!$A$4:$A$1774,A73)</f>
        <v/>
      </c>
      <c r="F73" s="27">
        <f>D73+E73</f>
        <v/>
      </c>
    </row>
    <row r="74">
      <c r="A74" s="26" t="n">
        <v>46158</v>
      </c>
      <c r="B74" s="16">
        <f>SUMIFS(Datos!$H$4:$H$1774,Datos!$C$4:$C$1774,"Shift4",Datos!$A$4:$A$1774,A74)</f>
        <v/>
      </c>
      <c r="C74" s="16">
        <f>SUMIFS(Datos!$I$4:$I$1774,Datos!$C$4:$C$1774,"Shift4",Datos!$A$4:$A$1774,A74)</f>
        <v/>
      </c>
      <c r="D74" s="16">
        <f>B74+C74</f>
        <v/>
      </c>
      <c r="E74" s="16">
        <f>SUMIFS(Datos!$J$4:$J$1774,Datos!$C$4:$C$1774,"Shift4",Datos!$A$4:$A$1774,A74)</f>
        <v/>
      </c>
      <c r="F74" s="27">
        <f>D74+E74</f>
        <v/>
      </c>
    </row>
    <row r="75">
      <c r="A75" s="26" t="n">
        <v>46159</v>
      </c>
      <c r="B75" s="16">
        <f>SUMIFS(Datos!$H$4:$H$1774,Datos!$C$4:$C$1774,"Shift4",Datos!$A$4:$A$1774,A75)</f>
        <v/>
      </c>
      <c r="C75" s="16">
        <f>SUMIFS(Datos!$I$4:$I$1774,Datos!$C$4:$C$1774,"Shift4",Datos!$A$4:$A$1774,A75)</f>
        <v/>
      </c>
      <c r="D75" s="16">
        <f>B75+C75</f>
        <v/>
      </c>
      <c r="E75" s="16">
        <f>SUMIFS(Datos!$J$4:$J$1774,Datos!$C$4:$C$1774,"Shift4",Datos!$A$4:$A$1774,A75)</f>
        <v/>
      </c>
      <c r="F75" s="27">
        <f>D75+E75</f>
        <v/>
      </c>
    </row>
    <row r="76">
      <c r="A76" s="26" t="n">
        <v>46160</v>
      </c>
      <c r="B76" s="16">
        <f>SUMIFS(Datos!$H$4:$H$1774,Datos!$C$4:$C$1774,"Shift4",Datos!$A$4:$A$1774,A76)</f>
        <v/>
      </c>
      <c r="C76" s="16">
        <f>SUMIFS(Datos!$I$4:$I$1774,Datos!$C$4:$C$1774,"Shift4",Datos!$A$4:$A$1774,A76)</f>
        <v/>
      </c>
      <c r="D76" s="16">
        <f>B76+C76</f>
        <v/>
      </c>
      <c r="E76" s="16">
        <f>SUMIFS(Datos!$J$4:$J$1774,Datos!$C$4:$C$1774,"Shift4",Datos!$A$4:$A$1774,A76)</f>
        <v/>
      </c>
      <c r="F76" s="27">
        <f>D76+E76</f>
        <v/>
      </c>
    </row>
    <row r="77">
      <c r="A77" s="26" t="n">
        <v>46161</v>
      </c>
      <c r="B77" s="16">
        <f>SUMIFS(Datos!$H$4:$H$1774,Datos!$C$4:$C$1774,"Shift4",Datos!$A$4:$A$1774,A77)</f>
        <v/>
      </c>
      <c r="C77" s="16">
        <f>SUMIFS(Datos!$I$4:$I$1774,Datos!$C$4:$C$1774,"Shift4",Datos!$A$4:$A$1774,A77)</f>
        <v/>
      </c>
      <c r="D77" s="16">
        <f>B77+C77</f>
        <v/>
      </c>
      <c r="E77" s="16">
        <f>SUMIFS(Datos!$J$4:$J$1774,Datos!$C$4:$C$1774,"Shift4",Datos!$A$4:$A$1774,A77)</f>
        <v/>
      </c>
      <c r="F77" s="27">
        <f>D77+E77</f>
        <v/>
      </c>
    </row>
    <row r="78">
      <c r="A78" s="26" t="n">
        <v>46162</v>
      </c>
      <c r="B78" s="16">
        <f>SUMIFS(Datos!$H$4:$H$1774,Datos!$C$4:$C$1774,"Shift4",Datos!$A$4:$A$1774,A78)</f>
        <v/>
      </c>
      <c r="C78" s="16">
        <f>SUMIFS(Datos!$I$4:$I$1774,Datos!$C$4:$C$1774,"Shift4",Datos!$A$4:$A$1774,A78)</f>
        <v/>
      </c>
      <c r="D78" s="16">
        <f>B78+C78</f>
        <v/>
      </c>
      <c r="E78" s="16">
        <f>SUMIFS(Datos!$J$4:$J$1774,Datos!$C$4:$C$1774,"Shift4",Datos!$A$4:$A$1774,A78)</f>
        <v/>
      </c>
      <c r="F78" s="27">
        <f>D78+E78</f>
        <v/>
      </c>
    </row>
    <row r="79">
      <c r="A79" s="26" t="n">
        <v>46163</v>
      </c>
      <c r="B79" s="16">
        <f>SUMIFS(Datos!$H$4:$H$1774,Datos!$C$4:$C$1774,"Shift4",Datos!$A$4:$A$1774,A79)</f>
        <v/>
      </c>
      <c r="C79" s="16">
        <f>SUMIFS(Datos!$I$4:$I$1774,Datos!$C$4:$C$1774,"Shift4",Datos!$A$4:$A$1774,A79)</f>
        <v/>
      </c>
      <c r="D79" s="16">
        <f>B79+C79</f>
        <v/>
      </c>
      <c r="E79" s="16">
        <f>SUMIFS(Datos!$J$4:$J$1774,Datos!$C$4:$C$1774,"Shift4",Datos!$A$4:$A$1774,A79)</f>
        <v/>
      </c>
      <c r="F79" s="27">
        <f>D79+E79</f>
        <v/>
      </c>
    </row>
    <row r="80">
      <c r="A80" s="26" t="n">
        <v>46164</v>
      </c>
      <c r="B80" s="16">
        <f>SUMIFS(Datos!$H$4:$H$1774,Datos!$C$4:$C$1774,"Shift4",Datos!$A$4:$A$1774,A80)</f>
        <v/>
      </c>
      <c r="C80" s="16">
        <f>SUMIFS(Datos!$I$4:$I$1774,Datos!$C$4:$C$1774,"Shift4",Datos!$A$4:$A$1774,A80)</f>
        <v/>
      </c>
      <c r="D80" s="16">
        <f>B80+C80</f>
        <v/>
      </c>
      <c r="E80" s="16">
        <f>SUMIFS(Datos!$J$4:$J$1774,Datos!$C$4:$C$1774,"Shift4",Datos!$A$4:$A$1774,A80)</f>
        <v/>
      </c>
      <c r="F80" s="27">
        <f>D80+E80</f>
        <v/>
      </c>
    </row>
    <row r="81">
      <c r="A81" s="26" t="n">
        <v>46165</v>
      </c>
      <c r="B81" s="16">
        <f>SUMIFS(Datos!$H$4:$H$1774,Datos!$C$4:$C$1774,"Shift4",Datos!$A$4:$A$1774,A81)</f>
        <v/>
      </c>
      <c r="C81" s="16">
        <f>SUMIFS(Datos!$I$4:$I$1774,Datos!$C$4:$C$1774,"Shift4",Datos!$A$4:$A$1774,A81)</f>
        <v/>
      </c>
      <c r="D81" s="16">
        <f>B81+C81</f>
        <v/>
      </c>
      <c r="E81" s="16">
        <f>SUMIFS(Datos!$J$4:$J$1774,Datos!$C$4:$C$1774,"Shift4",Datos!$A$4:$A$1774,A81)</f>
        <v/>
      </c>
      <c r="F81" s="27">
        <f>D81+E81</f>
        <v/>
      </c>
    </row>
    <row r="82">
      <c r="A82" s="26" t="n">
        <v>46166</v>
      </c>
      <c r="B82" s="16">
        <f>SUMIFS(Datos!$H$4:$H$1774,Datos!$C$4:$C$1774,"Shift4",Datos!$A$4:$A$1774,A82)</f>
        <v/>
      </c>
      <c r="C82" s="16">
        <f>SUMIFS(Datos!$I$4:$I$1774,Datos!$C$4:$C$1774,"Shift4",Datos!$A$4:$A$1774,A82)</f>
        <v/>
      </c>
      <c r="D82" s="16">
        <f>B82+C82</f>
        <v/>
      </c>
      <c r="E82" s="16">
        <f>SUMIFS(Datos!$J$4:$J$1774,Datos!$C$4:$C$1774,"Shift4",Datos!$A$4:$A$1774,A82)</f>
        <v/>
      </c>
      <c r="F82" s="27">
        <f>D82+E82</f>
        <v/>
      </c>
    </row>
    <row r="83">
      <c r="A83" s="26" t="n">
        <v>46167</v>
      </c>
      <c r="B83" s="16">
        <f>SUMIFS(Datos!$H$4:$H$1774,Datos!$C$4:$C$1774,"Shift4",Datos!$A$4:$A$1774,A83)</f>
        <v/>
      </c>
      <c r="C83" s="16">
        <f>SUMIFS(Datos!$I$4:$I$1774,Datos!$C$4:$C$1774,"Shift4",Datos!$A$4:$A$1774,A83)</f>
        <v/>
      </c>
      <c r="D83" s="16">
        <f>B83+C83</f>
        <v/>
      </c>
      <c r="E83" s="16">
        <f>SUMIFS(Datos!$J$4:$J$1774,Datos!$C$4:$C$1774,"Shift4",Datos!$A$4:$A$1774,A83)</f>
        <v/>
      </c>
      <c r="F83" s="27">
        <f>D83+E83</f>
        <v/>
      </c>
    </row>
    <row r="84">
      <c r="A84" s="26" t="n">
        <v>46168</v>
      </c>
      <c r="B84" s="16">
        <f>SUMIFS(Datos!$H$4:$H$1774,Datos!$C$4:$C$1774,"Shift4",Datos!$A$4:$A$1774,A84)</f>
        <v/>
      </c>
      <c r="C84" s="16">
        <f>SUMIFS(Datos!$I$4:$I$1774,Datos!$C$4:$C$1774,"Shift4",Datos!$A$4:$A$1774,A84)</f>
        <v/>
      </c>
      <c r="D84" s="16">
        <f>B84+C84</f>
        <v/>
      </c>
      <c r="E84" s="16">
        <f>SUMIFS(Datos!$J$4:$J$1774,Datos!$C$4:$C$1774,"Shift4",Datos!$A$4:$A$1774,A84)</f>
        <v/>
      </c>
      <c r="F84" s="27">
        <f>D84+E84</f>
        <v/>
      </c>
    </row>
    <row r="85">
      <c r="A85" s="26" t="n">
        <v>46169</v>
      </c>
      <c r="B85" s="16">
        <f>SUMIFS(Datos!$H$4:$H$1774,Datos!$C$4:$C$1774,"Shift4",Datos!$A$4:$A$1774,A85)</f>
        <v/>
      </c>
      <c r="C85" s="16">
        <f>SUMIFS(Datos!$I$4:$I$1774,Datos!$C$4:$C$1774,"Shift4",Datos!$A$4:$A$1774,A85)</f>
        <v/>
      </c>
      <c r="D85" s="16">
        <f>B85+C85</f>
        <v/>
      </c>
      <c r="E85" s="16">
        <f>SUMIFS(Datos!$J$4:$J$1774,Datos!$C$4:$C$1774,"Shift4",Datos!$A$4:$A$1774,A85)</f>
        <v/>
      </c>
      <c r="F85" s="27">
        <f>D85+E85</f>
        <v/>
      </c>
    </row>
    <row r="86">
      <c r="A86" s="26" t="n">
        <v>46170</v>
      </c>
      <c r="B86" s="16">
        <f>SUMIFS(Datos!$H$4:$H$1774,Datos!$C$4:$C$1774,"Shift4",Datos!$A$4:$A$1774,A86)</f>
        <v/>
      </c>
      <c r="C86" s="16">
        <f>SUMIFS(Datos!$I$4:$I$1774,Datos!$C$4:$C$1774,"Shift4",Datos!$A$4:$A$1774,A86)</f>
        <v/>
      </c>
      <c r="D86" s="16">
        <f>B86+C86</f>
        <v/>
      </c>
      <c r="E86" s="16">
        <f>SUMIFS(Datos!$J$4:$J$1774,Datos!$C$4:$C$1774,"Shift4",Datos!$A$4:$A$1774,A86)</f>
        <v/>
      </c>
      <c r="F86" s="27">
        <f>D86+E86</f>
        <v/>
      </c>
    </row>
    <row r="87">
      <c r="A87" s="26" t="n">
        <v>46171</v>
      </c>
      <c r="B87" s="16">
        <f>SUMIFS(Datos!$H$4:$H$1774,Datos!$C$4:$C$1774,"Shift4",Datos!$A$4:$A$1774,A87)</f>
        <v/>
      </c>
      <c r="C87" s="16">
        <f>SUMIFS(Datos!$I$4:$I$1774,Datos!$C$4:$C$1774,"Shift4",Datos!$A$4:$A$1774,A87)</f>
        <v/>
      </c>
      <c r="D87" s="16">
        <f>B87+C87</f>
        <v/>
      </c>
      <c r="E87" s="16">
        <f>SUMIFS(Datos!$J$4:$J$1774,Datos!$C$4:$C$1774,"Shift4",Datos!$A$4:$A$1774,A87)</f>
        <v/>
      </c>
      <c r="F87" s="27">
        <f>D87+E87</f>
        <v/>
      </c>
    </row>
    <row r="88">
      <c r="A88" s="26" t="n">
        <v>46172</v>
      </c>
      <c r="B88" s="16">
        <f>SUMIFS(Datos!$H$4:$H$1774,Datos!$C$4:$C$1774,"Shift4",Datos!$A$4:$A$1774,A88)</f>
        <v/>
      </c>
      <c r="C88" s="16">
        <f>SUMIFS(Datos!$I$4:$I$1774,Datos!$C$4:$C$1774,"Shift4",Datos!$A$4:$A$1774,A88)</f>
        <v/>
      </c>
      <c r="D88" s="16">
        <f>B88+C88</f>
        <v/>
      </c>
      <c r="E88" s="16">
        <f>SUMIFS(Datos!$J$4:$J$1774,Datos!$C$4:$C$1774,"Shift4",Datos!$A$4:$A$1774,A88)</f>
        <v/>
      </c>
      <c r="F88" s="27">
        <f>D88+E88</f>
        <v/>
      </c>
    </row>
    <row r="89">
      <c r="A89" s="26" t="n">
        <v>46173</v>
      </c>
      <c r="B89" s="16">
        <f>SUMIFS(Datos!$H$4:$H$1774,Datos!$C$4:$C$1774,"Shift4",Datos!$A$4:$A$1774,A89)</f>
        <v/>
      </c>
      <c r="C89" s="16">
        <f>SUMIFS(Datos!$I$4:$I$1774,Datos!$C$4:$C$1774,"Shift4",Datos!$A$4:$A$1774,A89)</f>
        <v/>
      </c>
      <c r="D89" s="16">
        <f>B89+C89</f>
        <v/>
      </c>
      <c r="E89" s="16">
        <f>SUMIFS(Datos!$J$4:$J$1774,Datos!$C$4:$C$1774,"Shift4",Datos!$A$4:$A$1774,A89)</f>
        <v/>
      </c>
      <c r="F89" s="27">
        <f>D89+E89</f>
        <v/>
      </c>
    </row>
    <row r="90">
      <c r="A90" s="26" t="n">
        <v>46174</v>
      </c>
      <c r="B90" s="16">
        <f>SUMIFS(Datos!$H$4:$H$1774,Datos!$C$4:$C$1774,"Shift4",Datos!$A$4:$A$1774,A90)</f>
        <v/>
      </c>
      <c r="C90" s="16">
        <f>SUMIFS(Datos!$I$4:$I$1774,Datos!$C$4:$C$1774,"Shift4",Datos!$A$4:$A$1774,A90)</f>
        <v/>
      </c>
      <c r="D90" s="16">
        <f>B90+C90</f>
        <v/>
      </c>
      <c r="E90" s="16">
        <f>SUMIFS(Datos!$J$4:$J$1774,Datos!$C$4:$C$1774,"Shift4",Datos!$A$4:$A$1774,A90)</f>
        <v/>
      </c>
      <c r="F90" s="27">
        <f>D90+E90</f>
        <v/>
      </c>
    </row>
    <row r="91">
      <c r="A91" s="26" t="n">
        <v>46175</v>
      </c>
      <c r="B91" s="16">
        <f>SUMIFS(Datos!$H$4:$H$1774,Datos!$C$4:$C$1774,"Shift4",Datos!$A$4:$A$1774,A91)</f>
        <v/>
      </c>
      <c r="C91" s="16">
        <f>SUMIFS(Datos!$I$4:$I$1774,Datos!$C$4:$C$1774,"Shift4",Datos!$A$4:$A$1774,A91)</f>
        <v/>
      </c>
      <c r="D91" s="16">
        <f>B91+C91</f>
        <v/>
      </c>
      <c r="E91" s="16">
        <f>SUMIFS(Datos!$J$4:$J$1774,Datos!$C$4:$C$1774,"Shift4",Datos!$A$4:$A$1774,A91)</f>
        <v/>
      </c>
      <c r="F91" s="27">
        <f>D91+E91</f>
        <v/>
      </c>
    </row>
    <row r="92">
      <c r="A92" s="26" t="n">
        <v>46176</v>
      </c>
      <c r="B92" s="16">
        <f>SUMIFS(Datos!$H$4:$H$1774,Datos!$C$4:$C$1774,"Shift4",Datos!$A$4:$A$1774,A92)</f>
        <v/>
      </c>
      <c r="C92" s="16">
        <f>SUMIFS(Datos!$I$4:$I$1774,Datos!$C$4:$C$1774,"Shift4",Datos!$A$4:$A$1774,A92)</f>
        <v/>
      </c>
      <c r="D92" s="16">
        <f>B92+C92</f>
        <v/>
      </c>
      <c r="E92" s="16">
        <f>SUMIFS(Datos!$J$4:$J$1774,Datos!$C$4:$C$1774,"Shift4",Datos!$A$4:$A$1774,A92)</f>
        <v/>
      </c>
      <c r="F92" s="27">
        <f>D92+E92</f>
        <v/>
      </c>
    </row>
    <row r="93">
      <c r="A93" s="26" t="n">
        <v>46177</v>
      </c>
      <c r="B93" s="16">
        <f>SUMIFS(Datos!$H$4:$H$1774,Datos!$C$4:$C$1774,"Shift4",Datos!$A$4:$A$1774,A93)</f>
        <v/>
      </c>
      <c r="C93" s="16">
        <f>SUMIFS(Datos!$I$4:$I$1774,Datos!$C$4:$C$1774,"Shift4",Datos!$A$4:$A$1774,A93)</f>
        <v/>
      </c>
      <c r="D93" s="16">
        <f>B93+C93</f>
        <v/>
      </c>
      <c r="E93" s="16">
        <f>SUMIFS(Datos!$J$4:$J$1774,Datos!$C$4:$C$1774,"Shift4",Datos!$A$4:$A$1774,A93)</f>
        <v/>
      </c>
      <c r="F93" s="27">
        <f>D93+E93</f>
        <v/>
      </c>
    </row>
    <row r="94">
      <c r="A94" s="26" t="n">
        <v>46178</v>
      </c>
      <c r="B94" s="16">
        <f>SUMIFS(Datos!$H$4:$H$1774,Datos!$C$4:$C$1774,"Shift4",Datos!$A$4:$A$1774,A94)</f>
        <v/>
      </c>
      <c r="C94" s="16">
        <f>SUMIFS(Datos!$I$4:$I$1774,Datos!$C$4:$C$1774,"Shift4",Datos!$A$4:$A$1774,A94)</f>
        <v/>
      </c>
      <c r="D94" s="16">
        <f>B94+C94</f>
        <v/>
      </c>
      <c r="E94" s="16">
        <f>SUMIFS(Datos!$J$4:$J$1774,Datos!$C$4:$C$1774,"Shift4",Datos!$A$4:$A$1774,A94)</f>
        <v/>
      </c>
      <c r="F94" s="27">
        <f>D94+E94</f>
        <v/>
      </c>
    </row>
    <row r="95">
      <c r="A95" s="26" t="n">
        <v>46179</v>
      </c>
      <c r="B95" s="16">
        <f>SUMIFS(Datos!$H$4:$H$1774,Datos!$C$4:$C$1774,"Shift4",Datos!$A$4:$A$1774,A95)</f>
        <v/>
      </c>
      <c r="C95" s="16">
        <f>SUMIFS(Datos!$I$4:$I$1774,Datos!$C$4:$C$1774,"Shift4",Datos!$A$4:$A$1774,A95)</f>
        <v/>
      </c>
      <c r="D95" s="16">
        <f>B95+C95</f>
        <v/>
      </c>
      <c r="E95" s="16">
        <f>SUMIFS(Datos!$J$4:$J$1774,Datos!$C$4:$C$1774,"Shift4",Datos!$A$4:$A$1774,A95)</f>
        <v/>
      </c>
      <c r="F95" s="27">
        <f>D95+E95</f>
        <v/>
      </c>
    </row>
    <row r="96">
      <c r="A96" s="26" t="n">
        <v>46180</v>
      </c>
      <c r="B96" s="16">
        <f>SUMIFS(Datos!$H$4:$H$1774,Datos!$C$4:$C$1774,"Shift4",Datos!$A$4:$A$1774,A96)</f>
        <v/>
      </c>
      <c r="C96" s="16">
        <f>SUMIFS(Datos!$I$4:$I$1774,Datos!$C$4:$C$1774,"Shift4",Datos!$A$4:$A$1774,A96)</f>
        <v/>
      </c>
      <c r="D96" s="16">
        <f>B96+C96</f>
        <v/>
      </c>
      <c r="E96" s="16">
        <f>SUMIFS(Datos!$J$4:$J$1774,Datos!$C$4:$C$1774,"Shift4",Datos!$A$4:$A$1774,A96)</f>
        <v/>
      </c>
      <c r="F96" s="27">
        <f>D96+E96</f>
        <v/>
      </c>
    </row>
    <row r="97">
      <c r="A97" s="26" t="n">
        <v>46181</v>
      </c>
      <c r="B97" s="16">
        <f>SUMIFS(Datos!$H$4:$H$1774,Datos!$C$4:$C$1774,"Shift4",Datos!$A$4:$A$1774,A97)</f>
        <v/>
      </c>
      <c r="C97" s="16">
        <f>SUMIFS(Datos!$I$4:$I$1774,Datos!$C$4:$C$1774,"Shift4",Datos!$A$4:$A$1774,A97)</f>
        <v/>
      </c>
      <c r="D97" s="16">
        <f>B97+C97</f>
        <v/>
      </c>
      <c r="E97" s="16">
        <f>SUMIFS(Datos!$J$4:$J$1774,Datos!$C$4:$C$1774,"Shift4",Datos!$A$4:$A$1774,A97)</f>
        <v/>
      </c>
      <c r="F97" s="27">
        <f>D97+E97</f>
        <v/>
      </c>
    </row>
    <row r="98">
      <c r="A98" s="26" t="n">
        <v>46182</v>
      </c>
      <c r="B98" s="16">
        <f>SUMIFS(Datos!$H$4:$H$1774,Datos!$C$4:$C$1774,"Shift4",Datos!$A$4:$A$1774,A98)</f>
        <v/>
      </c>
      <c r="C98" s="16">
        <f>SUMIFS(Datos!$I$4:$I$1774,Datos!$C$4:$C$1774,"Shift4",Datos!$A$4:$A$1774,A98)</f>
        <v/>
      </c>
      <c r="D98" s="16">
        <f>B98+C98</f>
        <v/>
      </c>
      <c r="E98" s="16">
        <f>SUMIFS(Datos!$J$4:$J$1774,Datos!$C$4:$C$1774,"Shift4",Datos!$A$4:$A$1774,A98)</f>
        <v/>
      </c>
      <c r="F98" s="27">
        <f>D98+E98</f>
        <v/>
      </c>
    </row>
    <row r="99">
      <c r="A99" s="26" t="n">
        <v>46183</v>
      </c>
      <c r="B99" s="16">
        <f>SUMIFS(Datos!$H$4:$H$1774,Datos!$C$4:$C$1774,"Shift4",Datos!$A$4:$A$1774,A99)</f>
        <v/>
      </c>
      <c r="C99" s="16">
        <f>SUMIFS(Datos!$I$4:$I$1774,Datos!$C$4:$C$1774,"Shift4",Datos!$A$4:$A$1774,A99)</f>
        <v/>
      </c>
      <c r="D99" s="16">
        <f>B99+C99</f>
        <v/>
      </c>
      <c r="E99" s="16">
        <f>SUMIFS(Datos!$J$4:$J$1774,Datos!$C$4:$C$1774,"Shift4",Datos!$A$4:$A$1774,A99)</f>
        <v/>
      </c>
      <c r="F99" s="27">
        <f>D99+E99</f>
        <v/>
      </c>
    </row>
    <row r="100">
      <c r="A100" s="26" t="n">
        <v>46184</v>
      </c>
      <c r="B100" s="16">
        <f>SUMIFS(Datos!$H$4:$H$1774,Datos!$C$4:$C$1774,"Shift4",Datos!$A$4:$A$1774,A100)</f>
        <v/>
      </c>
      <c r="C100" s="16">
        <f>SUMIFS(Datos!$I$4:$I$1774,Datos!$C$4:$C$1774,"Shift4",Datos!$A$4:$A$1774,A100)</f>
        <v/>
      </c>
      <c r="D100" s="16">
        <f>B100+C100</f>
        <v/>
      </c>
      <c r="E100" s="16">
        <f>SUMIFS(Datos!$J$4:$J$1774,Datos!$C$4:$C$1774,"Shift4",Datos!$A$4:$A$1774,A100)</f>
        <v/>
      </c>
      <c r="F100" s="27">
        <f>D100+E100</f>
        <v/>
      </c>
    </row>
    <row r="101">
      <c r="A101" s="26" t="n">
        <v>46185</v>
      </c>
      <c r="B101" s="16">
        <f>SUMIFS(Datos!$H$4:$H$1774,Datos!$C$4:$C$1774,"Shift4",Datos!$A$4:$A$1774,A101)</f>
        <v/>
      </c>
      <c r="C101" s="16">
        <f>SUMIFS(Datos!$I$4:$I$1774,Datos!$C$4:$C$1774,"Shift4",Datos!$A$4:$A$1774,A101)</f>
        <v/>
      </c>
      <c r="D101" s="16">
        <f>B101+C101</f>
        <v/>
      </c>
      <c r="E101" s="16">
        <f>SUMIFS(Datos!$J$4:$J$1774,Datos!$C$4:$C$1774,"Shift4",Datos!$A$4:$A$1774,A101)</f>
        <v/>
      </c>
      <c r="F101" s="27">
        <f>D101+E101</f>
        <v/>
      </c>
    </row>
    <row r="102">
      <c r="A102" s="26" t="n">
        <v>46186</v>
      </c>
      <c r="B102" s="16">
        <f>SUMIFS(Datos!$H$4:$H$1774,Datos!$C$4:$C$1774,"Shift4",Datos!$A$4:$A$1774,A102)</f>
        <v/>
      </c>
      <c r="C102" s="16">
        <f>SUMIFS(Datos!$I$4:$I$1774,Datos!$C$4:$C$1774,"Shift4",Datos!$A$4:$A$1774,A102)</f>
        <v/>
      </c>
      <c r="D102" s="16">
        <f>B102+C102</f>
        <v/>
      </c>
      <c r="E102" s="16">
        <f>SUMIFS(Datos!$J$4:$J$1774,Datos!$C$4:$C$1774,"Shift4",Datos!$A$4:$A$1774,A102)</f>
        <v/>
      </c>
      <c r="F102" s="27">
        <f>D102+E102</f>
        <v/>
      </c>
    </row>
    <row r="103">
      <c r="A103" s="26" t="n">
        <v>46187</v>
      </c>
      <c r="B103" s="16">
        <f>SUMIFS(Datos!$H$4:$H$1774,Datos!$C$4:$C$1774,"Shift4",Datos!$A$4:$A$1774,A103)</f>
        <v/>
      </c>
      <c r="C103" s="16">
        <f>SUMIFS(Datos!$I$4:$I$1774,Datos!$C$4:$C$1774,"Shift4",Datos!$A$4:$A$1774,A103)</f>
        <v/>
      </c>
      <c r="D103" s="16">
        <f>B103+C103</f>
        <v/>
      </c>
      <c r="E103" s="16">
        <f>SUMIFS(Datos!$J$4:$J$1774,Datos!$C$4:$C$1774,"Shift4",Datos!$A$4:$A$1774,A103)</f>
        <v/>
      </c>
      <c r="F103" s="27">
        <f>D103+E103</f>
        <v/>
      </c>
    </row>
    <row r="104">
      <c r="A104" s="26" t="n">
        <v>46188</v>
      </c>
      <c r="B104" s="16">
        <f>SUMIFS(Datos!$H$4:$H$1774,Datos!$C$4:$C$1774,"Shift4",Datos!$A$4:$A$1774,A104)</f>
        <v/>
      </c>
      <c r="C104" s="16">
        <f>SUMIFS(Datos!$I$4:$I$1774,Datos!$C$4:$C$1774,"Shift4",Datos!$A$4:$A$1774,A104)</f>
        <v/>
      </c>
      <c r="D104" s="16">
        <f>B104+C104</f>
        <v/>
      </c>
      <c r="E104" s="16">
        <f>SUMIFS(Datos!$J$4:$J$1774,Datos!$C$4:$C$1774,"Shift4",Datos!$A$4:$A$1774,A104)</f>
        <v/>
      </c>
      <c r="F104" s="27">
        <f>D104+E104</f>
        <v/>
      </c>
    </row>
    <row r="105">
      <c r="A105" s="26" t="n">
        <v>46189</v>
      </c>
      <c r="B105" s="16">
        <f>SUMIFS(Datos!$H$4:$H$1774,Datos!$C$4:$C$1774,"Shift4",Datos!$A$4:$A$1774,A105)</f>
        <v/>
      </c>
      <c r="C105" s="16">
        <f>SUMIFS(Datos!$I$4:$I$1774,Datos!$C$4:$C$1774,"Shift4",Datos!$A$4:$A$1774,A105)</f>
        <v/>
      </c>
      <c r="D105" s="16">
        <f>B105+C105</f>
        <v/>
      </c>
      <c r="E105" s="16">
        <f>SUMIFS(Datos!$J$4:$J$1774,Datos!$C$4:$C$1774,"Shift4",Datos!$A$4:$A$1774,A105)</f>
        <v/>
      </c>
      <c r="F105" s="27">
        <f>D105+E105</f>
        <v/>
      </c>
    </row>
    <row r="106">
      <c r="A106" s="26" t="n">
        <v>46190</v>
      </c>
      <c r="B106" s="16">
        <f>SUMIFS(Datos!$H$4:$H$1774,Datos!$C$4:$C$1774,"Shift4",Datos!$A$4:$A$1774,A106)</f>
        <v/>
      </c>
      <c r="C106" s="16">
        <f>SUMIFS(Datos!$I$4:$I$1774,Datos!$C$4:$C$1774,"Shift4",Datos!$A$4:$A$1774,A106)</f>
        <v/>
      </c>
      <c r="D106" s="16">
        <f>B106+C106</f>
        <v/>
      </c>
      <c r="E106" s="16">
        <f>SUMIFS(Datos!$J$4:$J$1774,Datos!$C$4:$C$1774,"Shift4",Datos!$A$4:$A$1774,A106)</f>
        <v/>
      </c>
      <c r="F106" s="27">
        <f>D106+E106</f>
        <v/>
      </c>
    </row>
    <row r="107">
      <c r="A107" s="26" t="n">
        <v>46191</v>
      </c>
      <c r="B107" s="16">
        <f>SUMIFS(Datos!$H$4:$H$1774,Datos!$C$4:$C$1774,"Shift4",Datos!$A$4:$A$1774,A107)</f>
        <v/>
      </c>
      <c r="C107" s="16">
        <f>SUMIFS(Datos!$I$4:$I$1774,Datos!$C$4:$C$1774,"Shift4",Datos!$A$4:$A$1774,A107)</f>
        <v/>
      </c>
      <c r="D107" s="16">
        <f>B107+C107</f>
        <v/>
      </c>
      <c r="E107" s="16">
        <f>SUMIFS(Datos!$J$4:$J$1774,Datos!$C$4:$C$1774,"Shift4",Datos!$A$4:$A$1774,A107)</f>
        <v/>
      </c>
      <c r="F107" s="27">
        <f>D107+E107</f>
        <v/>
      </c>
    </row>
    <row r="108">
      <c r="A108" s="26" t="n">
        <v>46192</v>
      </c>
      <c r="B108" s="16">
        <f>SUMIFS(Datos!$H$4:$H$1774,Datos!$C$4:$C$1774,"Shift4",Datos!$A$4:$A$1774,A108)</f>
        <v/>
      </c>
      <c r="C108" s="16">
        <f>SUMIFS(Datos!$I$4:$I$1774,Datos!$C$4:$C$1774,"Shift4",Datos!$A$4:$A$1774,A108)</f>
        <v/>
      </c>
      <c r="D108" s="16">
        <f>B108+C108</f>
        <v/>
      </c>
      <c r="E108" s="16">
        <f>SUMIFS(Datos!$J$4:$J$1774,Datos!$C$4:$C$1774,"Shift4",Datos!$A$4:$A$1774,A108)</f>
        <v/>
      </c>
      <c r="F108" s="27">
        <f>D108+E108</f>
        <v/>
      </c>
    </row>
    <row r="109">
      <c r="A109" s="26" t="n">
        <v>46193</v>
      </c>
      <c r="B109" s="16">
        <f>SUMIFS(Datos!$H$4:$H$1774,Datos!$C$4:$C$1774,"Shift4",Datos!$A$4:$A$1774,A109)</f>
        <v/>
      </c>
      <c r="C109" s="16">
        <f>SUMIFS(Datos!$I$4:$I$1774,Datos!$C$4:$C$1774,"Shift4",Datos!$A$4:$A$1774,A109)</f>
        <v/>
      </c>
      <c r="D109" s="16">
        <f>B109+C109</f>
        <v/>
      </c>
      <c r="E109" s="16">
        <f>SUMIFS(Datos!$J$4:$J$1774,Datos!$C$4:$C$1774,"Shift4",Datos!$A$4:$A$1774,A109)</f>
        <v/>
      </c>
      <c r="F109" s="27">
        <f>D109+E109</f>
        <v/>
      </c>
    </row>
    <row r="110">
      <c r="A110" s="26" t="n">
        <v>46194</v>
      </c>
      <c r="B110" s="16">
        <f>SUMIFS(Datos!$H$4:$H$1774,Datos!$C$4:$C$1774,"Shift4",Datos!$A$4:$A$1774,A110)</f>
        <v/>
      </c>
      <c r="C110" s="16">
        <f>SUMIFS(Datos!$I$4:$I$1774,Datos!$C$4:$C$1774,"Shift4",Datos!$A$4:$A$1774,A110)</f>
        <v/>
      </c>
      <c r="D110" s="16">
        <f>B110+C110</f>
        <v/>
      </c>
      <c r="E110" s="16">
        <f>SUMIFS(Datos!$J$4:$J$1774,Datos!$C$4:$C$1774,"Shift4",Datos!$A$4:$A$1774,A110)</f>
        <v/>
      </c>
      <c r="F110" s="27">
        <f>D110+E110</f>
        <v/>
      </c>
    </row>
    <row r="111">
      <c r="A111" s="26" t="n">
        <v>46195</v>
      </c>
      <c r="B111" s="16">
        <f>SUMIFS(Datos!$H$4:$H$1774,Datos!$C$4:$C$1774,"Shift4",Datos!$A$4:$A$1774,A111)</f>
        <v/>
      </c>
      <c r="C111" s="16">
        <f>SUMIFS(Datos!$I$4:$I$1774,Datos!$C$4:$C$1774,"Shift4",Datos!$A$4:$A$1774,A111)</f>
        <v/>
      </c>
      <c r="D111" s="16">
        <f>B111+C111</f>
        <v/>
      </c>
      <c r="E111" s="16">
        <f>SUMIFS(Datos!$J$4:$J$1774,Datos!$C$4:$C$1774,"Shift4",Datos!$A$4:$A$1774,A111)</f>
        <v/>
      </c>
      <c r="F111" s="27">
        <f>D111+E111</f>
        <v/>
      </c>
    </row>
    <row r="112">
      <c r="A112" s="26" t="n">
        <v>46196</v>
      </c>
      <c r="B112" s="16">
        <f>SUMIFS(Datos!$H$4:$H$1774,Datos!$C$4:$C$1774,"Shift4",Datos!$A$4:$A$1774,A112)</f>
        <v/>
      </c>
      <c r="C112" s="16">
        <f>SUMIFS(Datos!$I$4:$I$1774,Datos!$C$4:$C$1774,"Shift4",Datos!$A$4:$A$1774,A112)</f>
        <v/>
      </c>
      <c r="D112" s="16">
        <f>B112+C112</f>
        <v/>
      </c>
      <c r="E112" s="16">
        <f>SUMIFS(Datos!$J$4:$J$1774,Datos!$C$4:$C$1774,"Shift4",Datos!$A$4:$A$1774,A112)</f>
        <v/>
      </c>
      <c r="F112" s="27">
        <f>D112+E112</f>
        <v/>
      </c>
    </row>
    <row r="113">
      <c r="A113" s="26" t="n">
        <v>46197</v>
      </c>
      <c r="B113" s="16">
        <f>SUMIFS(Datos!$H$4:$H$1774,Datos!$C$4:$C$1774,"Shift4",Datos!$A$4:$A$1774,A113)</f>
        <v/>
      </c>
      <c r="C113" s="16">
        <f>SUMIFS(Datos!$I$4:$I$1774,Datos!$C$4:$C$1774,"Shift4",Datos!$A$4:$A$1774,A113)</f>
        <v/>
      </c>
      <c r="D113" s="16">
        <f>B113+C113</f>
        <v/>
      </c>
      <c r="E113" s="16">
        <f>SUMIFS(Datos!$J$4:$J$1774,Datos!$C$4:$C$1774,"Shift4",Datos!$A$4:$A$1774,A113)</f>
        <v/>
      </c>
      <c r="F113" s="27">
        <f>D113+E113</f>
        <v/>
      </c>
    </row>
    <row r="114">
      <c r="A114" s="26" t="n">
        <v>46198</v>
      </c>
      <c r="B114" s="16">
        <f>SUMIFS(Datos!$H$4:$H$1774,Datos!$C$4:$C$1774,"Shift4",Datos!$A$4:$A$1774,A114)</f>
        <v/>
      </c>
      <c r="C114" s="16">
        <f>SUMIFS(Datos!$I$4:$I$1774,Datos!$C$4:$C$1774,"Shift4",Datos!$A$4:$A$1774,A114)</f>
        <v/>
      </c>
      <c r="D114" s="16">
        <f>B114+C114</f>
        <v/>
      </c>
      <c r="E114" s="16">
        <f>SUMIFS(Datos!$J$4:$J$1774,Datos!$C$4:$C$1774,"Shift4",Datos!$A$4:$A$1774,A114)</f>
        <v/>
      </c>
      <c r="F114" s="27">
        <f>D114+E114</f>
        <v/>
      </c>
    </row>
    <row r="115">
      <c r="A115" s="26" t="n">
        <v>46199</v>
      </c>
      <c r="B115" s="16">
        <f>SUMIFS(Datos!$H$4:$H$1774,Datos!$C$4:$C$1774,"Shift4",Datos!$A$4:$A$1774,A115)</f>
        <v/>
      </c>
      <c r="C115" s="16">
        <f>SUMIFS(Datos!$I$4:$I$1774,Datos!$C$4:$C$1774,"Shift4",Datos!$A$4:$A$1774,A115)</f>
        <v/>
      </c>
      <c r="D115" s="16">
        <f>B115+C115</f>
        <v/>
      </c>
      <c r="E115" s="16">
        <f>SUMIFS(Datos!$J$4:$J$1774,Datos!$C$4:$C$1774,"Shift4",Datos!$A$4:$A$1774,A115)</f>
        <v/>
      </c>
      <c r="F115" s="27">
        <f>D115+E115</f>
        <v/>
      </c>
    </row>
    <row r="116">
      <c r="A116" s="26" t="n">
        <v>46200</v>
      </c>
      <c r="B116" s="16">
        <f>SUMIFS(Datos!$H$4:$H$1774,Datos!$C$4:$C$1774,"Shift4",Datos!$A$4:$A$1774,A116)</f>
        <v/>
      </c>
      <c r="C116" s="16">
        <f>SUMIFS(Datos!$I$4:$I$1774,Datos!$C$4:$C$1774,"Shift4",Datos!$A$4:$A$1774,A116)</f>
        <v/>
      </c>
      <c r="D116" s="16">
        <f>B116+C116</f>
        <v/>
      </c>
      <c r="E116" s="16">
        <f>SUMIFS(Datos!$J$4:$J$1774,Datos!$C$4:$C$1774,"Shift4",Datos!$A$4:$A$1774,A116)</f>
        <v/>
      </c>
      <c r="F116" s="27">
        <f>D116+E116</f>
        <v/>
      </c>
    </row>
    <row r="117">
      <c r="A117" s="26" t="n">
        <v>46201</v>
      </c>
      <c r="B117" s="16">
        <f>SUMIFS(Datos!$H$4:$H$1774,Datos!$C$4:$C$1774,"Shift4",Datos!$A$4:$A$1774,A117)</f>
        <v/>
      </c>
      <c r="C117" s="16">
        <f>SUMIFS(Datos!$I$4:$I$1774,Datos!$C$4:$C$1774,"Shift4",Datos!$A$4:$A$1774,A117)</f>
        <v/>
      </c>
      <c r="D117" s="16">
        <f>B117+C117</f>
        <v/>
      </c>
      <c r="E117" s="16">
        <f>SUMIFS(Datos!$J$4:$J$1774,Datos!$C$4:$C$1774,"Shift4",Datos!$A$4:$A$1774,A117)</f>
        <v/>
      </c>
      <c r="F117" s="27">
        <f>D117+E117</f>
        <v/>
      </c>
    </row>
    <row r="118">
      <c r="A118" s="26" t="n">
        <v>46202</v>
      </c>
      <c r="B118" s="16">
        <f>SUMIFS(Datos!$H$4:$H$1774,Datos!$C$4:$C$1774,"Shift4",Datos!$A$4:$A$1774,A118)</f>
        <v/>
      </c>
      <c r="C118" s="16">
        <f>SUMIFS(Datos!$I$4:$I$1774,Datos!$C$4:$C$1774,"Shift4",Datos!$A$4:$A$1774,A118)</f>
        <v/>
      </c>
      <c r="D118" s="16">
        <f>B118+C118</f>
        <v/>
      </c>
      <c r="E118" s="16">
        <f>SUMIFS(Datos!$J$4:$J$1774,Datos!$C$4:$C$1774,"Shift4",Datos!$A$4:$A$1774,A118)</f>
        <v/>
      </c>
      <c r="F118" s="27">
        <f>D118+E118</f>
        <v/>
      </c>
    </row>
    <row r="119">
      <c r="A119" s="26" t="n">
        <v>46203</v>
      </c>
      <c r="B119" s="16">
        <f>SUMIFS(Datos!$H$4:$H$1774,Datos!$C$4:$C$1774,"Shift4",Datos!$A$4:$A$1774,A119)</f>
        <v/>
      </c>
      <c r="C119" s="16">
        <f>SUMIFS(Datos!$I$4:$I$1774,Datos!$C$4:$C$1774,"Shift4",Datos!$A$4:$A$1774,A119)</f>
        <v/>
      </c>
      <c r="D119" s="16">
        <f>B119+C119</f>
        <v/>
      </c>
      <c r="E119" s="16">
        <f>SUMIFS(Datos!$J$4:$J$1774,Datos!$C$4:$C$1774,"Shift4",Datos!$A$4:$A$1774,A119)</f>
        <v/>
      </c>
      <c r="F119" s="27">
        <f>D119+E119</f>
        <v/>
      </c>
    </row>
    <row r="120">
      <c r="A120" s="26" t="n">
        <v>46204</v>
      </c>
      <c r="B120" s="16">
        <f>SUMIFS(Datos!$H$4:$H$1774,Datos!$C$4:$C$1774,"Shift4",Datos!$A$4:$A$1774,A120)</f>
        <v/>
      </c>
      <c r="C120" s="16">
        <f>SUMIFS(Datos!$I$4:$I$1774,Datos!$C$4:$C$1774,"Shift4",Datos!$A$4:$A$1774,A120)</f>
        <v/>
      </c>
      <c r="D120" s="16">
        <f>B120+C120</f>
        <v/>
      </c>
      <c r="E120" s="16">
        <f>SUMIFS(Datos!$J$4:$J$1774,Datos!$C$4:$C$1774,"Shift4",Datos!$A$4:$A$1774,A120)</f>
        <v/>
      </c>
      <c r="F120" s="27">
        <f>D120+E120</f>
        <v/>
      </c>
    </row>
    <row r="121">
      <c r="A121" s="26" t="n">
        <v>46205</v>
      </c>
      <c r="B121" s="16">
        <f>SUMIFS(Datos!$H$4:$H$1774,Datos!$C$4:$C$1774,"Shift4",Datos!$A$4:$A$1774,A121)</f>
        <v/>
      </c>
      <c r="C121" s="16">
        <f>SUMIFS(Datos!$I$4:$I$1774,Datos!$C$4:$C$1774,"Shift4",Datos!$A$4:$A$1774,A121)</f>
        <v/>
      </c>
      <c r="D121" s="16">
        <f>B121+C121</f>
        <v/>
      </c>
      <c r="E121" s="16">
        <f>SUMIFS(Datos!$J$4:$J$1774,Datos!$C$4:$C$1774,"Shift4",Datos!$A$4:$A$1774,A121)</f>
        <v/>
      </c>
      <c r="F121" s="27">
        <f>D121+E121</f>
        <v/>
      </c>
    </row>
    <row r="122">
      <c r="A122" s="26" t="n">
        <v>46206</v>
      </c>
      <c r="B122" s="16">
        <f>SUMIFS(Datos!$H$4:$H$1774,Datos!$C$4:$C$1774,"Shift4",Datos!$A$4:$A$1774,A122)</f>
        <v/>
      </c>
      <c r="C122" s="16">
        <f>SUMIFS(Datos!$I$4:$I$1774,Datos!$C$4:$C$1774,"Shift4",Datos!$A$4:$A$1774,A122)</f>
        <v/>
      </c>
      <c r="D122" s="16">
        <f>B122+C122</f>
        <v/>
      </c>
      <c r="E122" s="16">
        <f>SUMIFS(Datos!$J$4:$J$1774,Datos!$C$4:$C$1774,"Shift4",Datos!$A$4:$A$1774,A122)</f>
        <v/>
      </c>
      <c r="F122" s="27">
        <f>D122+E122</f>
        <v/>
      </c>
    </row>
    <row r="123">
      <c r="A123" s="26" t="n">
        <v>46207</v>
      </c>
      <c r="B123" s="16">
        <f>SUMIFS(Datos!$H$4:$H$1774,Datos!$C$4:$C$1774,"Shift4",Datos!$A$4:$A$1774,A123)</f>
        <v/>
      </c>
      <c r="C123" s="16">
        <f>SUMIFS(Datos!$I$4:$I$1774,Datos!$C$4:$C$1774,"Shift4",Datos!$A$4:$A$1774,A123)</f>
        <v/>
      </c>
      <c r="D123" s="16">
        <f>B123+C123</f>
        <v/>
      </c>
      <c r="E123" s="16">
        <f>SUMIFS(Datos!$J$4:$J$1774,Datos!$C$4:$C$1774,"Shift4",Datos!$A$4:$A$1774,A123)</f>
        <v/>
      </c>
      <c r="F123" s="27">
        <f>D123+E123</f>
        <v/>
      </c>
    </row>
    <row r="124">
      <c r="A124" s="26" t="n">
        <v>46208</v>
      </c>
      <c r="B124" s="16">
        <f>SUMIFS(Datos!$H$4:$H$1774,Datos!$C$4:$C$1774,"Shift4",Datos!$A$4:$A$1774,A124)</f>
        <v/>
      </c>
      <c r="C124" s="16">
        <f>SUMIFS(Datos!$I$4:$I$1774,Datos!$C$4:$C$1774,"Shift4",Datos!$A$4:$A$1774,A124)</f>
        <v/>
      </c>
      <c r="D124" s="16">
        <f>B124+C124</f>
        <v/>
      </c>
      <c r="E124" s="16">
        <f>SUMIFS(Datos!$J$4:$J$1774,Datos!$C$4:$C$1774,"Shift4",Datos!$A$4:$A$1774,A124)</f>
        <v/>
      </c>
      <c r="F124" s="27">
        <f>D124+E124</f>
        <v/>
      </c>
    </row>
    <row r="125">
      <c r="A125" s="26" t="n">
        <v>46209</v>
      </c>
      <c r="B125" s="16">
        <f>SUMIFS(Datos!$H$4:$H$1774,Datos!$C$4:$C$1774,"Shift4",Datos!$A$4:$A$1774,A125)</f>
        <v/>
      </c>
      <c r="C125" s="16">
        <f>SUMIFS(Datos!$I$4:$I$1774,Datos!$C$4:$C$1774,"Shift4",Datos!$A$4:$A$1774,A125)</f>
        <v/>
      </c>
      <c r="D125" s="16">
        <f>B125+C125</f>
        <v/>
      </c>
      <c r="E125" s="16">
        <f>SUMIFS(Datos!$J$4:$J$1774,Datos!$C$4:$C$1774,"Shift4",Datos!$A$4:$A$1774,A125)</f>
        <v/>
      </c>
      <c r="F125" s="27">
        <f>D125+E125</f>
        <v/>
      </c>
    </row>
    <row r="126">
      <c r="A126" s="26" t="n">
        <v>46210</v>
      </c>
      <c r="B126" s="16">
        <f>SUMIFS(Datos!$H$4:$H$1774,Datos!$C$4:$C$1774,"Shift4",Datos!$A$4:$A$1774,A126)</f>
        <v/>
      </c>
      <c r="C126" s="16">
        <f>SUMIFS(Datos!$I$4:$I$1774,Datos!$C$4:$C$1774,"Shift4",Datos!$A$4:$A$1774,A126)</f>
        <v/>
      </c>
      <c r="D126" s="16">
        <f>B126+C126</f>
        <v/>
      </c>
      <c r="E126" s="16">
        <f>SUMIFS(Datos!$J$4:$J$1774,Datos!$C$4:$C$1774,"Shift4",Datos!$A$4:$A$1774,A126)</f>
        <v/>
      </c>
      <c r="F126" s="27">
        <f>D126+E126</f>
        <v/>
      </c>
    </row>
    <row r="127">
      <c r="A127" s="26" t="n">
        <v>46211</v>
      </c>
      <c r="B127" s="16">
        <f>SUMIFS(Datos!$H$4:$H$1774,Datos!$C$4:$C$1774,"Shift4",Datos!$A$4:$A$1774,A127)</f>
        <v/>
      </c>
      <c r="C127" s="16">
        <f>SUMIFS(Datos!$I$4:$I$1774,Datos!$C$4:$C$1774,"Shift4",Datos!$A$4:$A$1774,A127)</f>
        <v/>
      </c>
      <c r="D127" s="16">
        <f>B127+C127</f>
        <v/>
      </c>
      <c r="E127" s="16">
        <f>SUMIFS(Datos!$J$4:$J$1774,Datos!$C$4:$C$1774,"Shift4",Datos!$A$4:$A$1774,A127)</f>
        <v/>
      </c>
      <c r="F127" s="27">
        <f>D127+E127</f>
        <v/>
      </c>
    </row>
    <row r="128">
      <c r="A128" s="26" t="n">
        <v>46212</v>
      </c>
      <c r="B128" s="16">
        <f>SUMIFS(Datos!$H$4:$H$1774,Datos!$C$4:$C$1774,"Shift4",Datos!$A$4:$A$1774,A128)</f>
        <v/>
      </c>
      <c r="C128" s="16">
        <f>SUMIFS(Datos!$I$4:$I$1774,Datos!$C$4:$C$1774,"Shift4",Datos!$A$4:$A$1774,A128)</f>
        <v/>
      </c>
      <c r="D128" s="16">
        <f>B128+C128</f>
        <v/>
      </c>
      <c r="E128" s="16">
        <f>SUMIFS(Datos!$J$4:$J$1774,Datos!$C$4:$C$1774,"Shift4",Datos!$A$4:$A$1774,A128)</f>
        <v/>
      </c>
      <c r="F128" s="27">
        <f>D128+E128</f>
        <v/>
      </c>
    </row>
    <row r="129">
      <c r="A129" s="26" t="n">
        <v>46213</v>
      </c>
      <c r="B129" s="16">
        <f>SUMIFS(Datos!$H$4:$H$1774,Datos!$C$4:$C$1774,"Shift4",Datos!$A$4:$A$1774,A129)</f>
        <v/>
      </c>
      <c r="C129" s="16">
        <f>SUMIFS(Datos!$I$4:$I$1774,Datos!$C$4:$C$1774,"Shift4",Datos!$A$4:$A$1774,A129)</f>
        <v/>
      </c>
      <c r="D129" s="16">
        <f>B129+C129</f>
        <v/>
      </c>
      <c r="E129" s="16">
        <f>SUMIFS(Datos!$J$4:$J$1774,Datos!$C$4:$C$1774,"Shift4",Datos!$A$4:$A$1774,A129)</f>
        <v/>
      </c>
      <c r="F129" s="27">
        <f>D129+E129</f>
        <v/>
      </c>
    </row>
    <row r="130">
      <c r="A130" s="26" t="n">
        <v>46214</v>
      </c>
      <c r="B130" s="16">
        <f>SUMIFS(Datos!$H$4:$H$1774,Datos!$C$4:$C$1774,"Shift4",Datos!$A$4:$A$1774,A130)</f>
        <v/>
      </c>
      <c r="C130" s="16">
        <f>SUMIFS(Datos!$I$4:$I$1774,Datos!$C$4:$C$1774,"Shift4",Datos!$A$4:$A$1774,A130)</f>
        <v/>
      </c>
      <c r="D130" s="16">
        <f>B130+C130</f>
        <v/>
      </c>
      <c r="E130" s="16">
        <f>SUMIFS(Datos!$J$4:$J$1774,Datos!$C$4:$C$1774,"Shift4",Datos!$A$4:$A$1774,A130)</f>
        <v/>
      </c>
      <c r="F130" s="27">
        <f>D130+E130</f>
        <v/>
      </c>
    </row>
    <row r="131">
      <c r="A131" s="26" t="n">
        <v>46215</v>
      </c>
      <c r="B131" s="16">
        <f>SUMIFS(Datos!$H$4:$H$1774,Datos!$C$4:$C$1774,"Shift4",Datos!$A$4:$A$1774,A131)</f>
        <v/>
      </c>
      <c r="C131" s="16">
        <f>SUMIFS(Datos!$I$4:$I$1774,Datos!$C$4:$C$1774,"Shift4",Datos!$A$4:$A$1774,A131)</f>
        <v/>
      </c>
      <c r="D131" s="16">
        <f>B131+C131</f>
        <v/>
      </c>
      <c r="E131" s="16">
        <f>SUMIFS(Datos!$J$4:$J$1774,Datos!$C$4:$C$1774,"Shift4",Datos!$A$4:$A$1774,A131)</f>
        <v/>
      </c>
      <c r="F131" s="27">
        <f>D131+E131</f>
        <v/>
      </c>
    </row>
    <row r="132">
      <c r="A132" s="26" t="n">
        <v>46216</v>
      </c>
      <c r="B132" s="16">
        <f>SUMIFS(Datos!$H$4:$H$1774,Datos!$C$4:$C$1774,"Shift4",Datos!$A$4:$A$1774,A132)</f>
        <v/>
      </c>
      <c r="C132" s="16">
        <f>SUMIFS(Datos!$I$4:$I$1774,Datos!$C$4:$C$1774,"Shift4",Datos!$A$4:$A$1774,A132)</f>
        <v/>
      </c>
      <c r="D132" s="16">
        <f>B132+C132</f>
        <v/>
      </c>
      <c r="E132" s="16">
        <f>SUMIFS(Datos!$J$4:$J$1774,Datos!$C$4:$C$1774,"Shift4",Datos!$A$4:$A$1774,A132)</f>
        <v/>
      </c>
      <c r="F132" s="27">
        <f>D132+E132</f>
        <v/>
      </c>
    </row>
    <row r="133">
      <c r="A133" s="26" t="n">
        <v>46217</v>
      </c>
      <c r="B133" s="16">
        <f>SUMIFS(Datos!$H$4:$H$1774,Datos!$C$4:$C$1774,"Shift4",Datos!$A$4:$A$1774,A133)</f>
        <v/>
      </c>
      <c r="C133" s="16">
        <f>SUMIFS(Datos!$I$4:$I$1774,Datos!$C$4:$C$1774,"Shift4",Datos!$A$4:$A$1774,A133)</f>
        <v/>
      </c>
      <c r="D133" s="16">
        <f>B133+C133</f>
        <v/>
      </c>
      <c r="E133" s="16">
        <f>SUMIFS(Datos!$J$4:$J$1774,Datos!$C$4:$C$1774,"Shift4",Datos!$A$4:$A$1774,A133)</f>
        <v/>
      </c>
      <c r="F133" s="27">
        <f>D133+E133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28" t="inlineStr">
        <is>
          <t>NUVEI — Ventas, Fee, Cobro y Retenido</t>
        </is>
      </c>
      <c r="B1" s="29" t="n"/>
      <c r="C1" s="29" t="n"/>
      <c r="D1" s="29" t="n"/>
      <c r="E1" s="29" t="n"/>
      <c r="F1" s="29" t="n"/>
    </row>
    <row r="3">
      <c r="A3" s="12" t="inlineStr">
        <is>
          <t>POR SEMANA</t>
        </is>
      </c>
      <c r="B3" s="13" t="n"/>
      <c r="C3" s="13" t="n"/>
      <c r="D3" s="13" t="n"/>
      <c r="E3" s="13" t="n"/>
      <c r="F3" s="13" t="n"/>
    </row>
    <row r="4">
      <c r="A4" s="7" t="inlineStr">
        <is>
          <t>Semana</t>
        </is>
      </c>
      <c r="B4" s="7" t="inlineStr">
        <is>
          <t>Ventas (€)</t>
        </is>
      </c>
      <c r="C4" s="7" t="inlineStr">
        <is>
          <t>Fee (€)</t>
        </is>
      </c>
      <c r="D4" s="7" t="inlineStr">
        <is>
          <t>Cobro (€)</t>
        </is>
      </c>
      <c r="E4" s="7" t="inlineStr">
        <is>
          <t>Payout (€)</t>
        </is>
      </c>
      <c r="F4" s="7" t="inlineStr">
        <is>
          <t>Retenido neto (€)</t>
        </is>
      </c>
    </row>
    <row r="6">
      <c r="A6" s="15" t="inlineStr">
        <is>
          <t>2025-W39</t>
        </is>
      </c>
      <c r="B6" s="16">
        <f>SUMIFS(Datos!$H$4:$H$1774,Datos!$C$4:$C$1774,"Nuvei",Datos!$B$4:$B$1774,A6)</f>
        <v/>
      </c>
      <c r="C6" s="16">
        <f>SUMIFS(Datos!$I$4:$I$1774,Datos!$C$4:$C$1774,"Nuvei",Datos!$B$4:$B$1774,A6)</f>
        <v/>
      </c>
      <c r="D6" s="16">
        <f>B6+C6</f>
        <v/>
      </c>
      <c r="E6" s="16">
        <f>SUMIFS(Datos!$J$4:$J$1774,Datos!$C$4:$C$1774,"Nuvei",Datos!$B$4:$B$1774,A6)</f>
        <v/>
      </c>
      <c r="F6" s="25">
        <f>D6+E6</f>
        <v/>
      </c>
    </row>
    <row r="7">
      <c r="A7" s="15" t="inlineStr">
        <is>
          <t>2025-W40</t>
        </is>
      </c>
      <c r="B7" s="16">
        <f>SUMIFS(Datos!$H$4:$H$1774,Datos!$C$4:$C$1774,"Nuvei",Datos!$B$4:$B$1774,A7)</f>
        <v/>
      </c>
      <c r="C7" s="16">
        <f>SUMIFS(Datos!$I$4:$I$1774,Datos!$C$4:$C$1774,"Nuvei",Datos!$B$4:$B$1774,A7)</f>
        <v/>
      </c>
      <c r="D7" s="16">
        <f>B7+C7</f>
        <v/>
      </c>
      <c r="E7" s="16">
        <f>SUMIFS(Datos!$J$4:$J$1774,Datos!$C$4:$C$1774,"Nuvei",Datos!$B$4:$B$1774,A7)</f>
        <v/>
      </c>
      <c r="F7" s="25">
        <f>D7+E7</f>
        <v/>
      </c>
    </row>
    <row r="8">
      <c r="A8" s="15" t="inlineStr">
        <is>
          <t>2025-W41</t>
        </is>
      </c>
      <c r="B8" s="16">
        <f>SUMIFS(Datos!$H$4:$H$1774,Datos!$C$4:$C$1774,"Nuvei",Datos!$B$4:$B$1774,A8)</f>
        <v/>
      </c>
      <c r="C8" s="16">
        <f>SUMIFS(Datos!$I$4:$I$1774,Datos!$C$4:$C$1774,"Nuvei",Datos!$B$4:$B$1774,A8)</f>
        <v/>
      </c>
      <c r="D8" s="16">
        <f>B8+C8</f>
        <v/>
      </c>
      <c r="E8" s="16">
        <f>SUMIFS(Datos!$J$4:$J$1774,Datos!$C$4:$C$1774,"Nuvei",Datos!$B$4:$B$1774,A8)</f>
        <v/>
      </c>
      <c r="F8" s="25">
        <f>D8+E8</f>
        <v/>
      </c>
    </row>
    <row r="9">
      <c r="A9" s="15" t="inlineStr">
        <is>
          <t>2025-W42</t>
        </is>
      </c>
      <c r="B9" s="16">
        <f>SUMIFS(Datos!$H$4:$H$1774,Datos!$C$4:$C$1774,"Nuvei",Datos!$B$4:$B$1774,A9)</f>
        <v/>
      </c>
      <c r="C9" s="16">
        <f>SUMIFS(Datos!$I$4:$I$1774,Datos!$C$4:$C$1774,"Nuvei",Datos!$B$4:$B$1774,A9)</f>
        <v/>
      </c>
      <c r="D9" s="16">
        <f>B9+C9</f>
        <v/>
      </c>
      <c r="E9" s="16">
        <f>SUMIFS(Datos!$J$4:$J$1774,Datos!$C$4:$C$1774,"Nuvei",Datos!$B$4:$B$1774,A9)</f>
        <v/>
      </c>
      <c r="F9" s="25">
        <f>D9+E9</f>
        <v/>
      </c>
    </row>
    <row r="10">
      <c r="A10" s="15" t="inlineStr">
        <is>
          <t>2025-W43</t>
        </is>
      </c>
      <c r="B10" s="16">
        <f>SUMIFS(Datos!$H$4:$H$1774,Datos!$C$4:$C$1774,"Nuvei",Datos!$B$4:$B$1774,A10)</f>
        <v/>
      </c>
      <c r="C10" s="16">
        <f>SUMIFS(Datos!$I$4:$I$1774,Datos!$C$4:$C$1774,"Nuvei",Datos!$B$4:$B$1774,A10)</f>
        <v/>
      </c>
      <c r="D10" s="16">
        <f>B10+C10</f>
        <v/>
      </c>
      <c r="E10" s="16">
        <f>SUMIFS(Datos!$J$4:$J$1774,Datos!$C$4:$C$1774,"Nuvei",Datos!$B$4:$B$1774,A10)</f>
        <v/>
      </c>
      <c r="F10" s="25">
        <f>D10+E10</f>
        <v/>
      </c>
    </row>
    <row r="11">
      <c r="A11" s="15" t="inlineStr">
        <is>
          <t>2025-W44</t>
        </is>
      </c>
      <c r="B11" s="16">
        <f>SUMIFS(Datos!$H$4:$H$1774,Datos!$C$4:$C$1774,"Nuvei",Datos!$B$4:$B$1774,A11)</f>
        <v/>
      </c>
      <c r="C11" s="16">
        <f>SUMIFS(Datos!$I$4:$I$1774,Datos!$C$4:$C$1774,"Nuvei",Datos!$B$4:$B$1774,A11)</f>
        <v/>
      </c>
      <c r="D11" s="16">
        <f>B11+C11</f>
        <v/>
      </c>
      <c r="E11" s="16">
        <f>SUMIFS(Datos!$J$4:$J$1774,Datos!$C$4:$C$1774,"Nuvei",Datos!$B$4:$B$1774,A11)</f>
        <v/>
      </c>
      <c r="F11" s="25">
        <f>D11+E11</f>
        <v/>
      </c>
    </row>
    <row r="12">
      <c r="A12" s="15" t="inlineStr">
        <is>
          <t>2025-W45</t>
        </is>
      </c>
      <c r="B12" s="16">
        <f>SUMIFS(Datos!$H$4:$H$1774,Datos!$C$4:$C$1774,"Nuvei",Datos!$B$4:$B$1774,A12)</f>
        <v/>
      </c>
      <c r="C12" s="16">
        <f>SUMIFS(Datos!$I$4:$I$1774,Datos!$C$4:$C$1774,"Nuvei",Datos!$B$4:$B$1774,A12)</f>
        <v/>
      </c>
      <c r="D12" s="16">
        <f>B12+C12</f>
        <v/>
      </c>
      <c r="E12" s="16">
        <f>SUMIFS(Datos!$J$4:$J$1774,Datos!$C$4:$C$1774,"Nuvei",Datos!$B$4:$B$1774,A12)</f>
        <v/>
      </c>
      <c r="F12" s="25">
        <f>D12+E12</f>
        <v/>
      </c>
    </row>
    <row r="13">
      <c r="A13" s="15" t="inlineStr">
        <is>
          <t>2025-W46</t>
        </is>
      </c>
      <c r="B13" s="16">
        <f>SUMIFS(Datos!$H$4:$H$1774,Datos!$C$4:$C$1774,"Nuvei",Datos!$B$4:$B$1774,A13)</f>
        <v/>
      </c>
      <c r="C13" s="16">
        <f>SUMIFS(Datos!$I$4:$I$1774,Datos!$C$4:$C$1774,"Nuvei",Datos!$B$4:$B$1774,A13)</f>
        <v/>
      </c>
      <c r="D13" s="16">
        <f>B13+C13</f>
        <v/>
      </c>
      <c r="E13" s="16">
        <f>SUMIFS(Datos!$J$4:$J$1774,Datos!$C$4:$C$1774,"Nuvei",Datos!$B$4:$B$1774,A13)</f>
        <v/>
      </c>
      <c r="F13" s="25">
        <f>D13+E13</f>
        <v/>
      </c>
    </row>
    <row r="14">
      <c r="A14" s="15" t="inlineStr">
        <is>
          <t>2025-W47</t>
        </is>
      </c>
      <c r="B14" s="16">
        <f>SUMIFS(Datos!$H$4:$H$1774,Datos!$C$4:$C$1774,"Nuvei",Datos!$B$4:$B$1774,A14)</f>
        <v/>
      </c>
      <c r="C14" s="16">
        <f>SUMIFS(Datos!$I$4:$I$1774,Datos!$C$4:$C$1774,"Nuvei",Datos!$B$4:$B$1774,A14)</f>
        <v/>
      </c>
      <c r="D14" s="16">
        <f>B14+C14</f>
        <v/>
      </c>
      <c r="E14" s="16">
        <f>SUMIFS(Datos!$J$4:$J$1774,Datos!$C$4:$C$1774,"Nuvei",Datos!$B$4:$B$1774,A14)</f>
        <v/>
      </c>
      <c r="F14" s="25">
        <f>D14+E14</f>
        <v/>
      </c>
    </row>
    <row r="15">
      <c r="A15" s="15" t="inlineStr">
        <is>
          <t>2025-W48</t>
        </is>
      </c>
      <c r="B15" s="16">
        <f>SUMIFS(Datos!$H$4:$H$1774,Datos!$C$4:$C$1774,"Nuvei",Datos!$B$4:$B$1774,A15)</f>
        <v/>
      </c>
      <c r="C15" s="16">
        <f>SUMIFS(Datos!$I$4:$I$1774,Datos!$C$4:$C$1774,"Nuvei",Datos!$B$4:$B$1774,A15)</f>
        <v/>
      </c>
      <c r="D15" s="16">
        <f>B15+C15</f>
        <v/>
      </c>
      <c r="E15" s="16">
        <f>SUMIFS(Datos!$J$4:$J$1774,Datos!$C$4:$C$1774,"Nuvei",Datos!$B$4:$B$1774,A15)</f>
        <v/>
      </c>
      <c r="F15" s="25">
        <f>D15+E15</f>
        <v/>
      </c>
    </row>
    <row r="16">
      <c r="A16" s="15" t="inlineStr">
        <is>
          <t>2025-W49</t>
        </is>
      </c>
      <c r="B16" s="16">
        <f>SUMIFS(Datos!$H$4:$H$1774,Datos!$C$4:$C$1774,"Nuvei",Datos!$B$4:$B$1774,A16)</f>
        <v/>
      </c>
      <c r="C16" s="16">
        <f>SUMIFS(Datos!$I$4:$I$1774,Datos!$C$4:$C$1774,"Nuvei",Datos!$B$4:$B$1774,A16)</f>
        <v/>
      </c>
      <c r="D16" s="16">
        <f>B16+C16</f>
        <v/>
      </c>
      <c r="E16" s="16">
        <f>SUMIFS(Datos!$J$4:$J$1774,Datos!$C$4:$C$1774,"Nuvei",Datos!$B$4:$B$1774,A16)</f>
        <v/>
      </c>
      <c r="F16" s="25">
        <f>D16+E16</f>
        <v/>
      </c>
    </row>
    <row r="17">
      <c r="A17" s="15" t="inlineStr">
        <is>
          <t>2025-W50</t>
        </is>
      </c>
      <c r="B17" s="16">
        <f>SUMIFS(Datos!$H$4:$H$1774,Datos!$C$4:$C$1774,"Nuvei",Datos!$B$4:$B$1774,A17)</f>
        <v/>
      </c>
      <c r="C17" s="16">
        <f>SUMIFS(Datos!$I$4:$I$1774,Datos!$C$4:$C$1774,"Nuvei",Datos!$B$4:$B$1774,A17)</f>
        <v/>
      </c>
      <c r="D17" s="16">
        <f>B17+C17</f>
        <v/>
      </c>
      <c r="E17" s="16">
        <f>SUMIFS(Datos!$J$4:$J$1774,Datos!$C$4:$C$1774,"Nuvei",Datos!$B$4:$B$1774,A17)</f>
        <v/>
      </c>
      <c r="F17" s="25">
        <f>D17+E17</f>
        <v/>
      </c>
    </row>
    <row r="18">
      <c r="A18" s="15" t="inlineStr">
        <is>
          <t>2025-W51</t>
        </is>
      </c>
      <c r="B18" s="16">
        <f>SUMIFS(Datos!$H$4:$H$1774,Datos!$C$4:$C$1774,"Nuvei",Datos!$B$4:$B$1774,A18)</f>
        <v/>
      </c>
      <c r="C18" s="16">
        <f>SUMIFS(Datos!$I$4:$I$1774,Datos!$C$4:$C$1774,"Nuvei",Datos!$B$4:$B$1774,A18)</f>
        <v/>
      </c>
      <c r="D18" s="16">
        <f>B18+C18</f>
        <v/>
      </c>
      <c r="E18" s="16">
        <f>SUMIFS(Datos!$J$4:$J$1774,Datos!$C$4:$C$1774,"Nuvei",Datos!$B$4:$B$1774,A18)</f>
        <v/>
      </c>
      <c r="F18" s="25">
        <f>D18+E18</f>
        <v/>
      </c>
    </row>
    <row r="19">
      <c r="A19" s="15" t="inlineStr">
        <is>
          <t>2025-W52</t>
        </is>
      </c>
      <c r="B19" s="16">
        <f>SUMIFS(Datos!$H$4:$H$1774,Datos!$C$4:$C$1774,"Nuvei",Datos!$B$4:$B$1774,A19)</f>
        <v/>
      </c>
      <c r="C19" s="16">
        <f>SUMIFS(Datos!$I$4:$I$1774,Datos!$C$4:$C$1774,"Nuvei",Datos!$B$4:$B$1774,A19)</f>
        <v/>
      </c>
      <c r="D19" s="16">
        <f>B19+C19</f>
        <v/>
      </c>
      <c r="E19" s="16">
        <f>SUMIFS(Datos!$J$4:$J$1774,Datos!$C$4:$C$1774,"Nuvei",Datos!$B$4:$B$1774,A19)</f>
        <v/>
      </c>
      <c r="F19" s="25">
        <f>D19+E19</f>
        <v/>
      </c>
    </row>
    <row r="20">
      <c r="A20" s="15" t="inlineStr">
        <is>
          <t>2026-W01</t>
        </is>
      </c>
      <c r="B20" s="16">
        <f>SUMIFS(Datos!$H$4:$H$1774,Datos!$C$4:$C$1774,"Nuvei",Datos!$B$4:$B$1774,A20)</f>
        <v/>
      </c>
      <c r="C20" s="16">
        <f>SUMIFS(Datos!$I$4:$I$1774,Datos!$C$4:$C$1774,"Nuvei",Datos!$B$4:$B$1774,A20)</f>
        <v/>
      </c>
      <c r="D20" s="16">
        <f>B20+C20</f>
        <v/>
      </c>
      <c r="E20" s="16">
        <f>SUMIFS(Datos!$J$4:$J$1774,Datos!$C$4:$C$1774,"Nuvei",Datos!$B$4:$B$1774,A20)</f>
        <v/>
      </c>
      <c r="F20" s="25">
        <f>D20+E20</f>
        <v/>
      </c>
    </row>
    <row r="21">
      <c r="A21" s="15" t="inlineStr">
        <is>
          <t>2026-W02</t>
        </is>
      </c>
      <c r="B21" s="16">
        <f>SUMIFS(Datos!$H$4:$H$1774,Datos!$C$4:$C$1774,"Nuvei",Datos!$B$4:$B$1774,A21)</f>
        <v/>
      </c>
      <c r="C21" s="16">
        <f>SUMIFS(Datos!$I$4:$I$1774,Datos!$C$4:$C$1774,"Nuvei",Datos!$B$4:$B$1774,A21)</f>
        <v/>
      </c>
      <c r="D21" s="16">
        <f>B21+C21</f>
        <v/>
      </c>
      <c r="E21" s="16">
        <f>SUMIFS(Datos!$J$4:$J$1774,Datos!$C$4:$C$1774,"Nuvei",Datos!$B$4:$B$1774,A21)</f>
        <v/>
      </c>
      <c r="F21" s="25">
        <f>D21+E21</f>
        <v/>
      </c>
    </row>
    <row r="22">
      <c r="A22" s="15" t="inlineStr">
        <is>
          <t>2026-W03</t>
        </is>
      </c>
      <c r="B22" s="16">
        <f>SUMIFS(Datos!$H$4:$H$1774,Datos!$C$4:$C$1774,"Nuvei",Datos!$B$4:$B$1774,A22)</f>
        <v/>
      </c>
      <c r="C22" s="16">
        <f>SUMIFS(Datos!$I$4:$I$1774,Datos!$C$4:$C$1774,"Nuvei",Datos!$B$4:$B$1774,A22)</f>
        <v/>
      </c>
      <c r="D22" s="16">
        <f>B22+C22</f>
        <v/>
      </c>
      <c r="E22" s="16">
        <f>SUMIFS(Datos!$J$4:$J$1774,Datos!$C$4:$C$1774,"Nuvei",Datos!$B$4:$B$1774,A22)</f>
        <v/>
      </c>
      <c r="F22" s="25">
        <f>D22+E22</f>
        <v/>
      </c>
    </row>
    <row r="23">
      <c r="A23" s="15" t="inlineStr">
        <is>
          <t>2026-W04</t>
        </is>
      </c>
      <c r="B23" s="16">
        <f>SUMIFS(Datos!$H$4:$H$1774,Datos!$C$4:$C$1774,"Nuvei",Datos!$B$4:$B$1774,A23)</f>
        <v/>
      </c>
      <c r="C23" s="16">
        <f>SUMIFS(Datos!$I$4:$I$1774,Datos!$C$4:$C$1774,"Nuvei",Datos!$B$4:$B$1774,A23)</f>
        <v/>
      </c>
      <c r="D23" s="16">
        <f>B23+C23</f>
        <v/>
      </c>
      <c r="E23" s="16">
        <f>SUMIFS(Datos!$J$4:$J$1774,Datos!$C$4:$C$1774,"Nuvei",Datos!$B$4:$B$1774,A23)</f>
        <v/>
      </c>
      <c r="F23" s="25">
        <f>D23+E23</f>
        <v/>
      </c>
    </row>
    <row r="24">
      <c r="A24" s="15" t="inlineStr">
        <is>
          <t>2026-W05</t>
        </is>
      </c>
      <c r="B24" s="16">
        <f>SUMIFS(Datos!$H$4:$H$1774,Datos!$C$4:$C$1774,"Nuvei",Datos!$B$4:$B$1774,A24)</f>
        <v/>
      </c>
      <c r="C24" s="16">
        <f>SUMIFS(Datos!$I$4:$I$1774,Datos!$C$4:$C$1774,"Nuvei",Datos!$B$4:$B$1774,A24)</f>
        <v/>
      </c>
      <c r="D24" s="16">
        <f>B24+C24</f>
        <v/>
      </c>
      <c r="E24" s="16">
        <f>SUMIFS(Datos!$J$4:$J$1774,Datos!$C$4:$C$1774,"Nuvei",Datos!$B$4:$B$1774,A24)</f>
        <v/>
      </c>
      <c r="F24" s="25">
        <f>D24+E24</f>
        <v/>
      </c>
    </row>
    <row r="25">
      <c r="A25" s="15" t="inlineStr">
        <is>
          <t>2026-W06</t>
        </is>
      </c>
      <c r="B25" s="16">
        <f>SUMIFS(Datos!$H$4:$H$1774,Datos!$C$4:$C$1774,"Nuvei",Datos!$B$4:$B$1774,A25)</f>
        <v/>
      </c>
      <c r="C25" s="16">
        <f>SUMIFS(Datos!$I$4:$I$1774,Datos!$C$4:$C$1774,"Nuvei",Datos!$B$4:$B$1774,A25)</f>
        <v/>
      </c>
      <c r="D25" s="16">
        <f>B25+C25</f>
        <v/>
      </c>
      <c r="E25" s="16">
        <f>SUMIFS(Datos!$J$4:$J$1774,Datos!$C$4:$C$1774,"Nuvei",Datos!$B$4:$B$1774,A25)</f>
        <v/>
      </c>
      <c r="F25" s="25">
        <f>D25+E25</f>
        <v/>
      </c>
    </row>
    <row r="26">
      <c r="A26" s="15" t="inlineStr">
        <is>
          <t>2026-W07</t>
        </is>
      </c>
      <c r="B26" s="16">
        <f>SUMIFS(Datos!$H$4:$H$1774,Datos!$C$4:$C$1774,"Nuvei",Datos!$B$4:$B$1774,A26)</f>
        <v/>
      </c>
      <c r="C26" s="16">
        <f>SUMIFS(Datos!$I$4:$I$1774,Datos!$C$4:$C$1774,"Nuvei",Datos!$B$4:$B$1774,A26)</f>
        <v/>
      </c>
      <c r="D26" s="16">
        <f>B26+C26</f>
        <v/>
      </c>
      <c r="E26" s="16">
        <f>SUMIFS(Datos!$J$4:$J$1774,Datos!$C$4:$C$1774,"Nuvei",Datos!$B$4:$B$1774,A26)</f>
        <v/>
      </c>
      <c r="F26" s="25">
        <f>D26+E26</f>
        <v/>
      </c>
    </row>
    <row r="27">
      <c r="A27" s="15" t="inlineStr">
        <is>
          <t>2026-W08</t>
        </is>
      </c>
      <c r="B27" s="16">
        <f>SUMIFS(Datos!$H$4:$H$1774,Datos!$C$4:$C$1774,"Nuvei",Datos!$B$4:$B$1774,A27)</f>
        <v/>
      </c>
      <c r="C27" s="16">
        <f>SUMIFS(Datos!$I$4:$I$1774,Datos!$C$4:$C$1774,"Nuvei",Datos!$B$4:$B$1774,A27)</f>
        <v/>
      </c>
      <c r="D27" s="16">
        <f>B27+C27</f>
        <v/>
      </c>
      <c r="E27" s="16">
        <f>SUMIFS(Datos!$J$4:$J$1774,Datos!$C$4:$C$1774,"Nuvei",Datos!$B$4:$B$1774,A27)</f>
        <v/>
      </c>
      <c r="F27" s="25">
        <f>D27+E27</f>
        <v/>
      </c>
    </row>
    <row r="28">
      <c r="A28" s="15" t="inlineStr">
        <is>
          <t>2026-W09</t>
        </is>
      </c>
      <c r="B28" s="16">
        <f>SUMIFS(Datos!$H$4:$H$1774,Datos!$C$4:$C$1774,"Nuvei",Datos!$B$4:$B$1774,A28)</f>
        <v/>
      </c>
      <c r="C28" s="16">
        <f>SUMIFS(Datos!$I$4:$I$1774,Datos!$C$4:$C$1774,"Nuvei",Datos!$B$4:$B$1774,A28)</f>
        <v/>
      </c>
      <c r="D28" s="16">
        <f>B28+C28</f>
        <v/>
      </c>
      <c r="E28" s="16">
        <f>SUMIFS(Datos!$J$4:$J$1774,Datos!$C$4:$C$1774,"Nuvei",Datos!$B$4:$B$1774,A28)</f>
        <v/>
      </c>
      <c r="F28" s="25">
        <f>D28+E28</f>
        <v/>
      </c>
    </row>
    <row r="29">
      <c r="A29" s="15" t="inlineStr">
        <is>
          <t>2026-W10</t>
        </is>
      </c>
      <c r="B29" s="16">
        <f>SUMIFS(Datos!$H$4:$H$1774,Datos!$C$4:$C$1774,"Nuvei",Datos!$B$4:$B$1774,A29)</f>
        <v/>
      </c>
      <c r="C29" s="16">
        <f>SUMIFS(Datos!$I$4:$I$1774,Datos!$C$4:$C$1774,"Nuvei",Datos!$B$4:$B$1774,A29)</f>
        <v/>
      </c>
      <c r="D29" s="16">
        <f>B29+C29</f>
        <v/>
      </c>
      <c r="E29" s="16">
        <f>SUMIFS(Datos!$J$4:$J$1774,Datos!$C$4:$C$1774,"Nuvei",Datos!$B$4:$B$1774,A29)</f>
        <v/>
      </c>
      <c r="F29" s="25">
        <f>D29+E29</f>
        <v/>
      </c>
    </row>
    <row r="30">
      <c r="A30" s="15" t="inlineStr">
        <is>
          <t>2026-W11</t>
        </is>
      </c>
      <c r="B30" s="16">
        <f>SUMIFS(Datos!$H$4:$H$1774,Datos!$C$4:$C$1774,"Nuvei",Datos!$B$4:$B$1774,A30)</f>
        <v/>
      </c>
      <c r="C30" s="16">
        <f>SUMIFS(Datos!$I$4:$I$1774,Datos!$C$4:$C$1774,"Nuvei",Datos!$B$4:$B$1774,A30)</f>
        <v/>
      </c>
      <c r="D30" s="16">
        <f>B30+C30</f>
        <v/>
      </c>
      <c r="E30" s="16">
        <f>SUMIFS(Datos!$J$4:$J$1774,Datos!$C$4:$C$1774,"Nuvei",Datos!$B$4:$B$1774,A30)</f>
        <v/>
      </c>
      <c r="F30" s="25">
        <f>D30+E30</f>
        <v/>
      </c>
    </row>
    <row r="31">
      <c r="A31" s="15" t="inlineStr">
        <is>
          <t>2026-W12</t>
        </is>
      </c>
      <c r="B31" s="16">
        <f>SUMIFS(Datos!$H$4:$H$1774,Datos!$C$4:$C$1774,"Nuvei",Datos!$B$4:$B$1774,A31)</f>
        <v/>
      </c>
      <c r="C31" s="16">
        <f>SUMIFS(Datos!$I$4:$I$1774,Datos!$C$4:$C$1774,"Nuvei",Datos!$B$4:$B$1774,A31)</f>
        <v/>
      </c>
      <c r="D31" s="16">
        <f>B31+C31</f>
        <v/>
      </c>
      <c r="E31" s="16">
        <f>SUMIFS(Datos!$J$4:$J$1774,Datos!$C$4:$C$1774,"Nuvei",Datos!$B$4:$B$1774,A31)</f>
        <v/>
      </c>
      <c r="F31" s="25">
        <f>D31+E31</f>
        <v/>
      </c>
    </row>
    <row r="32">
      <c r="A32" s="15" t="inlineStr">
        <is>
          <t>2026-W13</t>
        </is>
      </c>
      <c r="B32" s="16">
        <f>SUMIFS(Datos!$H$4:$H$1774,Datos!$C$4:$C$1774,"Nuvei",Datos!$B$4:$B$1774,A32)</f>
        <v/>
      </c>
      <c r="C32" s="16">
        <f>SUMIFS(Datos!$I$4:$I$1774,Datos!$C$4:$C$1774,"Nuvei",Datos!$B$4:$B$1774,A32)</f>
        <v/>
      </c>
      <c r="D32" s="16">
        <f>B32+C32</f>
        <v/>
      </c>
      <c r="E32" s="16">
        <f>SUMIFS(Datos!$J$4:$J$1774,Datos!$C$4:$C$1774,"Nuvei",Datos!$B$4:$B$1774,A32)</f>
        <v/>
      </c>
      <c r="F32" s="25">
        <f>D32+E32</f>
        <v/>
      </c>
    </row>
    <row r="33">
      <c r="A33" s="15" t="inlineStr">
        <is>
          <t>2026-W14</t>
        </is>
      </c>
      <c r="B33" s="16">
        <f>SUMIFS(Datos!$H$4:$H$1774,Datos!$C$4:$C$1774,"Nuvei",Datos!$B$4:$B$1774,A33)</f>
        <v/>
      </c>
      <c r="C33" s="16">
        <f>SUMIFS(Datos!$I$4:$I$1774,Datos!$C$4:$C$1774,"Nuvei",Datos!$B$4:$B$1774,A33)</f>
        <v/>
      </c>
      <c r="D33" s="16">
        <f>B33+C33</f>
        <v/>
      </c>
      <c r="E33" s="16">
        <f>SUMIFS(Datos!$J$4:$J$1774,Datos!$C$4:$C$1774,"Nuvei",Datos!$B$4:$B$1774,A33)</f>
        <v/>
      </c>
      <c r="F33" s="25">
        <f>D33+E33</f>
        <v/>
      </c>
    </row>
    <row r="34">
      <c r="A34" s="15" t="inlineStr">
        <is>
          <t>2026-W15</t>
        </is>
      </c>
      <c r="B34" s="16">
        <f>SUMIFS(Datos!$H$4:$H$1774,Datos!$C$4:$C$1774,"Nuvei",Datos!$B$4:$B$1774,A34)</f>
        <v/>
      </c>
      <c r="C34" s="16">
        <f>SUMIFS(Datos!$I$4:$I$1774,Datos!$C$4:$C$1774,"Nuvei",Datos!$B$4:$B$1774,A34)</f>
        <v/>
      </c>
      <c r="D34" s="16">
        <f>B34+C34</f>
        <v/>
      </c>
      <c r="E34" s="16">
        <f>SUMIFS(Datos!$J$4:$J$1774,Datos!$C$4:$C$1774,"Nuvei",Datos!$B$4:$B$1774,A34)</f>
        <v/>
      </c>
      <c r="F34" s="25">
        <f>D34+E34</f>
        <v/>
      </c>
    </row>
    <row r="35">
      <c r="A35" s="15" t="inlineStr">
        <is>
          <t>2026-W16</t>
        </is>
      </c>
      <c r="B35" s="16">
        <f>SUMIFS(Datos!$H$4:$H$1774,Datos!$C$4:$C$1774,"Nuvei",Datos!$B$4:$B$1774,A35)</f>
        <v/>
      </c>
      <c r="C35" s="16">
        <f>SUMIFS(Datos!$I$4:$I$1774,Datos!$C$4:$C$1774,"Nuvei",Datos!$B$4:$B$1774,A35)</f>
        <v/>
      </c>
      <c r="D35" s="16">
        <f>B35+C35</f>
        <v/>
      </c>
      <c r="E35" s="16">
        <f>SUMIFS(Datos!$J$4:$J$1774,Datos!$C$4:$C$1774,"Nuvei",Datos!$B$4:$B$1774,A35)</f>
        <v/>
      </c>
      <c r="F35" s="25">
        <f>D35+E35</f>
        <v/>
      </c>
    </row>
    <row r="36">
      <c r="A36" s="15" t="inlineStr">
        <is>
          <t>2026-W17</t>
        </is>
      </c>
      <c r="B36" s="16">
        <f>SUMIFS(Datos!$H$4:$H$1774,Datos!$C$4:$C$1774,"Nuvei",Datos!$B$4:$B$1774,A36)</f>
        <v/>
      </c>
      <c r="C36" s="16">
        <f>SUMIFS(Datos!$I$4:$I$1774,Datos!$C$4:$C$1774,"Nuvei",Datos!$B$4:$B$1774,A36)</f>
        <v/>
      </c>
      <c r="D36" s="16">
        <f>B36+C36</f>
        <v/>
      </c>
      <c r="E36" s="16">
        <f>SUMIFS(Datos!$J$4:$J$1774,Datos!$C$4:$C$1774,"Nuvei",Datos!$B$4:$B$1774,A36)</f>
        <v/>
      </c>
      <c r="F36" s="25">
        <f>D36+E36</f>
        <v/>
      </c>
    </row>
    <row r="37">
      <c r="A37" s="15" t="inlineStr">
        <is>
          <t>2026-W18</t>
        </is>
      </c>
      <c r="B37" s="16">
        <f>SUMIFS(Datos!$H$4:$H$1774,Datos!$C$4:$C$1774,"Nuvei",Datos!$B$4:$B$1774,A37)</f>
        <v/>
      </c>
      <c r="C37" s="16">
        <f>SUMIFS(Datos!$I$4:$I$1774,Datos!$C$4:$C$1774,"Nuvei",Datos!$B$4:$B$1774,A37)</f>
        <v/>
      </c>
      <c r="D37" s="16">
        <f>B37+C37</f>
        <v/>
      </c>
      <c r="E37" s="16">
        <f>SUMIFS(Datos!$J$4:$J$1774,Datos!$C$4:$C$1774,"Nuvei",Datos!$B$4:$B$1774,A37)</f>
        <v/>
      </c>
      <c r="F37" s="25">
        <f>D37+E37</f>
        <v/>
      </c>
    </row>
    <row r="38">
      <c r="A38" s="15" t="inlineStr">
        <is>
          <t>2026-W19</t>
        </is>
      </c>
      <c r="B38" s="16">
        <f>SUMIFS(Datos!$H$4:$H$1774,Datos!$C$4:$C$1774,"Nuvei",Datos!$B$4:$B$1774,A38)</f>
        <v/>
      </c>
      <c r="C38" s="16">
        <f>SUMIFS(Datos!$I$4:$I$1774,Datos!$C$4:$C$1774,"Nuvei",Datos!$B$4:$B$1774,A38)</f>
        <v/>
      </c>
      <c r="D38" s="16">
        <f>B38+C38</f>
        <v/>
      </c>
      <c r="E38" s="16">
        <f>SUMIFS(Datos!$J$4:$J$1774,Datos!$C$4:$C$1774,"Nuvei",Datos!$B$4:$B$1774,A38)</f>
        <v/>
      </c>
      <c r="F38" s="25">
        <f>D38+E38</f>
        <v/>
      </c>
    </row>
    <row r="39">
      <c r="A39" s="15" t="inlineStr">
        <is>
          <t>2026-W20</t>
        </is>
      </c>
      <c r="B39" s="16">
        <f>SUMIFS(Datos!$H$4:$H$1774,Datos!$C$4:$C$1774,"Nuvei",Datos!$B$4:$B$1774,A39)</f>
        <v/>
      </c>
      <c r="C39" s="16">
        <f>SUMIFS(Datos!$I$4:$I$1774,Datos!$C$4:$C$1774,"Nuvei",Datos!$B$4:$B$1774,A39)</f>
        <v/>
      </c>
      <c r="D39" s="16">
        <f>B39+C39</f>
        <v/>
      </c>
      <c r="E39" s="16">
        <f>SUMIFS(Datos!$J$4:$J$1774,Datos!$C$4:$C$1774,"Nuvei",Datos!$B$4:$B$1774,A39)</f>
        <v/>
      </c>
      <c r="F39" s="25">
        <f>D39+E39</f>
        <v/>
      </c>
    </row>
    <row r="40">
      <c r="A40" s="15" t="inlineStr">
        <is>
          <t>2026-W21</t>
        </is>
      </c>
      <c r="B40" s="16">
        <f>SUMIFS(Datos!$H$4:$H$1774,Datos!$C$4:$C$1774,"Nuvei",Datos!$B$4:$B$1774,A40)</f>
        <v/>
      </c>
      <c r="C40" s="16">
        <f>SUMIFS(Datos!$I$4:$I$1774,Datos!$C$4:$C$1774,"Nuvei",Datos!$B$4:$B$1774,A40)</f>
        <v/>
      </c>
      <c r="D40" s="16">
        <f>B40+C40</f>
        <v/>
      </c>
      <c r="E40" s="16">
        <f>SUMIFS(Datos!$J$4:$J$1774,Datos!$C$4:$C$1774,"Nuvei",Datos!$B$4:$B$1774,A40)</f>
        <v/>
      </c>
      <c r="F40" s="25">
        <f>D40+E40</f>
        <v/>
      </c>
    </row>
    <row r="41">
      <c r="A41" s="15" t="inlineStr">
        <is>
          <t>2026-W22</t>
        </is>
      </c>
      <c r="B41" s="16">
        <f>SUMIFS(Datos!$H$4:$H$1774,Datos!$C$4:$C$1774,"Nuvei",Datos!$B$4:$B$1774,A41)</f>
        <v/>
      </c>
      <c r="C41" s="16">
        <f>SUMIFS(Datos!$I$4:$I$1774,Datos!$C$4:$C$1774,"Nuvei",Datos!$B$4:$B$1774,A41)</f>
        <v/>
      </c>
      <c r="D41" s="16">
        <f>B41+C41</f>
        <v/>
      </c>
      <c r="E41" s="16">
        <f>SUMIFS(Datos!$J$4:$J$1774,Datos!$C$4:$C$1774,"Nuvei",Datos!$B$4:$B$1774,A41)</f>
        <v/>
      </c>
      <c r="F41" s="25">
        <f>D41+E41</f>
        <v/>
      </c>
    </row>
    <row r="42">
      <c r="A42" s="15" t="inlineStr">
        <is>
          <t>2026-W23</t>
        </is>
      </c>
      <c r="B42" s="16">
        <f>SUMIFS(Datos!$H$4:$H$1774,Datos!$C$4:$C$1774,"Nuvei",Datos!$B$4:$B$1774,A42)</f>
        <v/>
      </c>
      <c r="C42" s="16">
        <f>SUMIFS(Datos!$I$4:$I$1774,Datos!$C$4:$C$1774,"Nuvei",Datos!$B$4:$B$1774,A42)</f>
        <v/>
      </c>
      <c r="D42" s="16">
        <f>B42+C42</f>
        <v/>
      </c>
      <c r="E42" s="16">
        <f>SUMIFS(Datos!$J$4:$J$1774,Datos!$C$4:$C$1774,"Nuvei",Datos!$B$4:$B$1774,A42)</f>
        <v/>
      </c>
      <c r="F42" s="25">
        <f>D42+E42</f>
        <v/>
      </c>
    </row>
    <row r="43">
      <c r="A43" s="15" t="inlineStr">
        <is>
          <t>2026-W24</t>
        </is>
      </c>
      <c r="B43" s="16">
        <f>SUMIFS(Datos!$H$4:$H$1774,Datos!$C$4:$C$1774,"Nuvei",Datos!$B$4:$B$1774,A43)</f>
        <v/>
      </c>
      <c r="C43" s="16">
        <f>SUMIFS(Datos!$I$4:$I$1774,Datos!$C$4:$C$1774,"Nuvei",Datos!$B$4:$B$1774,A43)</f>
        <v/>
      </c>
      <c r="D43" s="16">
        <f>B43+C43</f>
        <v/>
      </c>
      <c r="E43" s="16">
        <f>SUMIFS(Datos!$J$4:$J$1774,Datos!$C$4:$C$1774,"Nuvei",Datos!$B$4:$B$1774,A43)</f>
        <v/>
      </c>
      <c r="F43" s="25">
        <f>D43+E43</f>
        <v/>
      </c>
    </row>
    <row r="44">
      <c r="A44" s="15" t="inlineStr">
        <is>
          <t>2026-W25</t>
        </is>
      </c>
      <c r="B44" s="16">
        <f>SUMIFS(Datos!$H$4:$H$1774,Datos!$C$4:$C$1774,"Nuvei",Datos!$B$4:$B$1774,A44)</f>
        <v/>
      </c>
      <c r="C44" s="16">
        <f>SUMIFS(Datos!$I$4:$I$1774,Datos!$C$4:$C$1774,"Nuvei",Datos!$B$4:$B$1774,A44)</f>
        <v/>
      </c>
      <c r="D44" s="16">
        <f>B44+C44</f>
        <v/>
      </c>
      <c r="E44" s="16">
        <f>SUMIFS(Datos!$J$4:$J$1774,Datos!$C$4:$C$1774,"Nuvei",Datos!$B$4:$B$1774,A44)</f>
        <v/>
      </c>
      <c r="F44" s="25">
        <f>D44+E44</f>
        <v/>
      </c>
    </row>
    <row r="45">
      <c r="A45" s="15" t="inlineStr">
        <is>
          <t>2026-W26</t>
        </is>
      </c>
      <c r="B45" s="16">
        <f>SUMIFS(Datos!$H$4:$H$1774,Datos!$C$4:$C$1774,"Nuvei",Datos!$B$4:$B$1774,A45)</f>
        <v/>
      </c>
      <c r="C45" s="16">
        <f>SUMIFS(Datos!$I$4:$I$1774,Datos!$C$4:$C$1774,"Nuvei",Datos!$B$4:$B$1774,A45)</f>
        <v/>
      </c>
      <c r="D45" s="16">
        <f>B45+C45</f>
        <v/>
      </c>
      <c r="E45" s="16">
        <f>SUMIFS(Datos!$J$4:$J$1774,Datos!$C$4:$C$1774,"Nuvei",Datos!$B$4:$B$1774,A45)</f>
        <v/>
      </c>
      <c r="F45" s="25">
        <f>D45+E45</f>
        <v/>
      </c>
    </row>
    <row r="46">
      <c r="A46" s="15" t="inlineStr">
        <is>
          <t>2026-W27</t>
        </is>
      </c>
      <c r="B46" s="16">
        <f>SUMIFS(Datos!$H$4:$H$1774,Datos!$C$4:$C$1774,"Nuvei",Datos!$B$4:$B$1774,A46)</f>
        <v/>
      </c>
      <c r="C46" s="16">
        <f>SUMIFS(Datos!$I$4:$I$1774,Datos!$C$4:$C$1774,"Nuvei",Datos!$B$4:$B$1774,A46)</f>
        <v/>
      </c>
      <c r="D46" s="16">
        <f>B46+C46</f>
        <v/>
      </c>
      <c r="E46" s="16">
        <f>SUMIFS(Datos!$J$4:$J$1774,Datos!$C$4:$C$1774,"Nuvei",Datos!$B$4:$B$1774,A46)</f>
        <v/>
      </c>
      <c r="F46" s="25">
        <f>D46+E46</f>
        <v/>
      </c>
    </row>
    <row r="47">
      <c r="A47" s="15" t="inlineStr">
        <is>
          <t>2026-W28</t>
        </is>
      </c>
      <c r="B47" s="16">
        <f>SUMIFS(Datos!$H$4:$H$1774,Datos!$C$4:$C$1774,"Nuvei",Datos!$B$4:$B$1774,A47)</f>
        <v/>
      </c>
      <c r="C47" s="16">
        <f>SUMIFS(Datos!$I$4:$I$1774,Datos!$C$4:$C$1774,"Nuvei",Datos!$B$4:$B$1774,A47)</f>
        <v/>
      </c>
      <c r="D47" s="16">
        <f>B47+C47</f>
        <v/>
      </c>
      <c r="E47" s="16">
        <f>SUMIFS(Datos!$J$4:$J$1774,Datos!$C$4:$C$1774,"Nuvei",Datos!$B$4:$B$1774,A47)</f>
        <v/>
      </c>
      <c r="F47" s="25">
        <f>D47+E47</f>
        <v/>
      </c>
    </row>
    <row r="48">
      <c r="A48" s="15" t="inlineStr">
        <is>
          <t>2026-W29</t>
        </is>
      </c>
      <c r="B48" s="16">
        <f>SUMIFS(Datos!$H$4:$H$1774,Datos!$C$4:$C$1774,"Nuvei",Datos!$B$4:$B$1774,A48)</f>
        <v/>
      </c>
      <c r="C48" s="16">
        <f>SUMIFS(Datos!$I$4:$I$1774,Datos!$C$4:$C$1774,"Nuvei",Datos!$B$4:$B$1774,A48)</f>
        <v/>
      </c>
      <c r="D48" s="16">
        <f>B48+C48</f>
        <v/>
      </c>
      <c r="E48" s="16">
        <f>SUMIFS(Datos!$J$4:$J$1774,Datos!$C$4:$C$1774,"Nuvei",Datos!$B$4:$B$1774,A48)</f>
        <v/>
      </c>
      <c r="F48" s="25">
        <f>D48+E48</f>
        <v/>
      </c>
    </row>
    <row r="49">
      <c r="A49" s="5" t="inlineStr">
        <is>
          <t>TOTAL</t>
        </is>
      </c>
      <c r="B49" s="18">
        <f>SUM(B6:B48)</f>
        <v/>
      </c>
      <c r="C49" s="18">
        <f>SUM(C6:C48)</f>
        <v/>
      </c>
      <c r="D49" s="18">
        <f>SUM(D6:D48)</f>
        <v/>
      </c>
      <c r="E49" s="18">
        <f>SUM(E6:E48)</f>
        <v/>
      </c>
      <c r="F49" s="18">
        <f>SUM(F6:F48)</f>
        <v/>
      </c>
    </row>
    <row r="52">
      <c r="A52" s="12" t="inlineStr">
        <is>
          <t>POR DÍA</t>
        </is>
      </c>
      <c r="B52" s="13" t="n"/>
      <c r="C52" s="13" t="n"/>
      <c r="D52" s="13" t="n"/>
      <c r="E52" s="13" t="n"/>
      <c r="F52" s="13" t="n"/>
    </row>
    <row r="53">
      <c r="A53" s="7" t="inlineStr">
        <is>
          <t>Fecha</t>
        </is>
      </c>
      <c r="B53" s="7" t="inlineStr">
        <is>
          <t>Ventas (€)</t>
        </is>
      </c>
      <c r="C53" s="7" t="inlineStr">
        <is>
          <t>Fee (€)</t>
        </is>
      </c>
      <c r="D53" s="7" t="inlineStr">
        <is>
          <t>Cobro (€)</t>
        </is>
      </c>
      <c r="E53" s="7" t="inlineStr">
        <is>
          <t>Payout (€)</t>
        </is>
      </c>
      <c r="F53" s="7" t="inlineStr">
        <is>
          <t>Retenido neto (€)</t>
        </is>
      </c>
    </row>
    <row r="54">
      <c r="A54" s="26" t="n">
        <v>45922</v>
      </c>
      <c r="B54" s="16">
        <f>SUMIFS(Datos!$H$4:$H$1774,Datos!$C$4:$C$1774,"Nuvei",Datos!$A$4:$A$1774,A54)</f>
        <v/>
      </c>
      <c r="C54" s="16">
        <f>SUMIFS(Datos!$I$4:$I$1774,Datos!$C$4:$C$1774,"Nuvei",Datos!$A$4:$A$1774,A54)</f>
        <v/>
      </c>
      <c r="D54" s="16">
        <f>B54+C54</f>
        <v/>
      </c>
      <c r="E54" s="16">
        <f>SUMIFS(Datos!$J$4:$J$1774,Datos!$C$4:$C$1774,"Nuvei",Datos!$A$4:$A$1774,A54)</f>
        <v/>
      </c>
      <c r="F54" s="27">
        <f>D54+E54</f>
        <v/>
      </c>
    </row>
    <row r="55">
      <c r="A55" s="26" t="n">
        <v>45923</v>
      </c>
      <c r="B55" s="16">
        <f>SUMIFS(Datos!$H$4:$H$1774,Datos!$C$4:$C$1774,"Nuvei",Datos!$A$4:$A$1774,A55)</f>
        <v/>
      </c>
      <c r="C55" s="16">
        <f>SUMIFS(Datos!$I$4:$I$1774,Datos!$C$4:$C$1774,"Nuvei",Datos!$A$4:$A$1774,A55)</f>
        <v/>
      </c>
      <c r="D55" s="16">
        <f>B55+C55</f>
        <v/>
      </c>
      <c r="E55" s="16">
        <f>SUMIFS(Datos!$J$4:$J$1774,Datos!$C$4:$C$1774,"Nuvei",Datos!$A$4:$A$1774,A55)</f>
        <v/>
      </c>
      <c r="F55" s="27">
        <f>D55+E55</f>
        <v/>
      </c>
    </row>
    <row r="56">
      <c r="A56" s="26" t="n">
        <v>45924</v>
      </c>
      <c r="B56" s="16">
        <f>SUMIFS(Datos!$H$4:$H$1774,Datos!$C$4:$C$1774,"Nuvei",Datos!$A$4:$A$1774,A56)</f>
        <v/>
      </c>
      <c r="C56" s="16">
        <f>SUMIFS(Datos!$I$4:$I$1774,Datos!$C$4:$C$1774,"Nuvei",Datos!$A$4:$A$1774,A56)</f>
        <v/>
      </c>
      <c r="D56" s="16">
        <f>B56+C56</f>
        <v/>
      </c>
      <c r="E56" s="16">
        <f>SUMIFS(Datos!$J$4:$J$1774,Datos!$C$4:$C$1774,"Nuvei",Datos!$A$4:$A$1774,A56)</f>
        <v/>
      </c>
      <c r="F56" s="27">
        <f>D56+E56</f>
        <v/>
      </c>
    </row>
    <row r="57">
      <c r="A57" s="26" t="n">
        <v>45925</v>
      </c>
      <c r="B57" s="16">
        <f>SUMIFS(Datos!$H$4:$H$1774,Datos!$C$4:$C$1774,"Nuvei",Datos!$A$4:$A$1774,A57)</f>
        <v/>
      </c>
      <c r="C57" s="16">
        <f>SUMIFS(Datos!$I$4:$I$1774,Datos!$C$4:$C$1774,"Nuvei",Datos!$A$4:$A$1774,A57)</f>
        <v/>
      </c>
      <c r="D57" s="16">
        <f>B57+C57</f>
        <v/>
      </c>
      <c r="E57" s="16">
        <f>SUMIFS(Datos!$J$4:$J$1774,Datos!$C$4:$C$1774,"Nuvei",Datos!$A$4:$A$1774,A57)</f>
        <v/>
      </c>
      <c r="F57" s="27">
        <f>D57+E57</f>
        <v/>
      </c>
    </row>
    <row r="58">
      <c r="A58" s="26" t="n">
        <v>45926</v>
      </c>
      <c r="B58" s="16">
        <f>SUMIFS(Datos!$H$4:$H$1774,Datos!$C$4:$C$1774,"Nuvei",Datos!$A$4:$A$1774,A58)</f>
        <v/>
      </c>
      <c r="C58" s="16">
        <f>SUMIFS(Datos!$I$4:$I$1774,Datos!$C$4:$C$1774,"Nuvei",Datos!$A$4:$A$1774,A58)</f>
        <v/>
      </c>
      <c r="D58" s="16">
        <f>B58+C58</f>
        <v/>
      </c>
      <c r="E58" s="16">
        <f>SUMIFS(Datos!$J$4:$J$1774,Datos!$C$4:$C$1774,"Nuvei",Datos!$A$4:$A$1774,A58)</f>
        <v/>
      </c>
      <c r="F58" s="27">
        <f>D58+E58</f>
        <v/>
      </c>
    </row>
    <row r="59">
      <c r="A59" s="26" t="n">
        <v>45927</v>
      </c>
      <c r="B59" s="16">
        <f>SUMIFS(Datos!$H$4:$H$1774,Datos!$C$4:$C$1774,"Nuvei",Datos!$A$4:$A$1774,A59)</f>
        <v/>
      </c>
      <c r="C59" s="16">
        <f>SUMIFS(Datos!$I$4:$I$1774,Datos!$C$4:$C$1774,"Nuvei",Datos!$A$4:$A$1774,A59)</f>
        <v/>
      </c>
      <c r="D59" s="16">
        <f>B59+C59</f>
        <v/>
      </c>
      <c r="E59" s="16">
        <f>SUMIFS(Datos!$J$4:$J$1774,Datos!$C$4:$C$1774,"Nuvei",Datos!$A$4:$A$1774,A59)</f>
        <v/>
      </c>
      <c r="F59" s="27">
        <f>D59+E59</f>
        <v/>
      </c>
    </row>
    <row r="60">
      <c r="A60" s="26" t="n">
        <v>45928</v>
      </c>
      <c r="B60" s="16">
        <f>SUMIFS(Datos!$H$4:$H$1774,Datos!$C$4:$C$1774,"Nuvei",Datos!$A$4:$A$1774,A60)</f>
        <v/>
      </c>
      <c r="C60" s="16">
        <f>SUMIFS(Datos!$I$4:$I$1774,Datos!$C$4:$C$1774,"Nuvei",Datos!$A$4:$A$1774,A60)</f>
        <v/>
      </c>
      <c r="D60" s="16">
        <f>B60+C60</f>
        <v/>
      </c>
      <c r="E60" s="16">
        <f>SUMIFS(Datos!$J$4:$J$1774,Datos!$C$4:$C$1774,"Nuvei",Datos!$A$4:$A$1774,A60)</f>
        <v/>
      </c>
      <c r="F60" s="27">
        <f>D60+E60</f>
        <v/>
      </c>
    </row>
    <row r="61">
      <c r="A61" s="26" t="n">
        <v>45929</v>
      </c>
      <c r="B61" s="16">
        <f>SUMIFS(Datos!$H$4:$H$1774,Datos!$C$4:$C$1774,"Nuvei",Datos!$A$4:$A$1774,A61)</f>
        <v/>
      </c>
      <c r="C61" s="16">
        <f>SUMIFS(Datos!$I$4:$I$1774,Datos!$C$4:$C$1774,"Nuvei",Datos!$A$4:$A$1774,A61)</f>
        <v/>
      </c>
      <c r="D61" s="16">
        <f>B61+C61</f>
        <v/>
      </c>
      <c r="E61" s="16">
        <f>SUMIFS(Datos!$J$4:$J$1774,Datos!$C$4:$C$1774,"Nuvei",Datos!$A$4:$A$1774,A61)</f>
        <v/>
      </c>
      <c r="F61" s="27">
        <f>D61+E61</f>
        <v/>
      </c>
    </row>
    <row r="62">
      <c r="A62" s="26" t="n">
        <v>45930</v>
      </c>
      <c r="B62" s="16">
        <f>SUMIFS(Datos!$H$4:$H$1774,Datos!$C$4:$C$1774,"Nuvei",Datos!$A$4:$A$1774,A62)</f>
        <v/>
      </c>
      <c r="C62" s="16">
        <f>SUMIFS(Datos!$I$4:$I$1774,Datos!$C$4:$C$1774,"Nuvei",Datos!$A$4:$A$1774,A62)</f>
        <v/>
      </c>
      <c r="D62" s="16">
        <f>B62+C62</f>
        <v/>
      </c>
      <c r="E62" s="16">
        <f>SUMIFS(Datos!$J$4:$J$1774,Datos!$C$4:$C$1774,"Nuvei",Datos!$A$4:$A$1774,A62)</f>
        <v/>
      </c>
      <c r="F62" s="27">
        <f>D62+E62</f>
        <v/>
      </c>
    </row>
    <row r="63">
      <c r="A63" s="26" t="n">
        <v>45931</v>
      </c>
      <c r="B63" s="16">
        <f>SUMIFS(Datos!$H$4:$H$1774,Datos!$C$4:$C$1774,"Nuvei",Datos!$A$4:$A$1774,A63)</f>
        <v/>
      </c>
      <c r="C63" s="16">
        <f>SUMIFS(Datos!$I$4:$I$1774,Datos!$C$4:$C$1774,"Nuvei",Datos!$A$4:$A$1774,A63)</f>
        <v/>
      </c>
      <c r="D63" s="16">
        <f>B63+C63</f>
        <v/>
      </c>
      <c r="E63" s="16">
        <f>SUMIFS(Datos!$J$4:$J$1774,Datos!$C$4:$C$1774,"Nuvei",Datos!$A$4:$A$1774,A63)</f>
        <v/>
      </c>
      <c r="F63" s="27">
        <f>D63+E63</f>
        <v/>
      </c>
    </row>
    <row r="64">
      <c r="A64" s="26" t="n">
        <v>45932</v>
      </c>
      <c r="B64" s="16">
        <f>SUMIFS(Datos!$H$4:$H$1774,Datos!$C$4:$C$1774,"Nuvei",Datos!$A$4:$A$1774,A64)</f>
        <v/>
      </c>
      <c r="C64" s="16">
        <f>SUMIFS(Datos!$I$4:$I$1774,Datos!$C$4:$C$1774,"Nuvei",Datos!$A$4:$A$1774,A64)</f>
        <v/>
      </c>
      <c r="D64" s="16">
        <f>B64+C64</f>
        <v/>
      </c>
      <c r="E64" s="16">
        <f>SUMIFS(Datos!$J$4:$J$1774,Datos!$C$4:$C$1774,"Nuvei",Datos!$A$4:$A$1774,A64)</f>
        <v/>
      </c>
      <c r="F64" s="27">
        <f>D64+E64</f>
        <v/>
      </c>
    </row>
    <row r="65">
      <c r="A65" s="26" t="n">
        <v>45933</v>
      </c>
      <c r="B65" s="16">
        <f>SUMIFS(Datos!$H$4:$H$1774,Datos!$C$4:$C$1774,"Nuvei",Datos!$A$4:$A$1774,A65)</f>
        <v/>
      </c>
      <c r="C65" s="16">
        <f>SUMIFS(Datos!$I$4:$I$1774,Datos!$C$4:$C$1774,"Nuvei",Datos!$A$4:$A$1774,A65)</f>
        <v/>
      </c>
      <c r="D65" s="16">
        <f>B65+C65</f>
        <v/>
      </c>
      <c r="E65" s="16">
        <f>SUMIFS(Datos!$J$4:$J$1774,Datos!$C$4:$C$1774,"Nuvei",Datos!$A$4:$A$1774,A65)</f>
        <v/>
      </c>
      <c r="F65" s="27">
        <f>D65+E65</f>
        <v/>
      </c>
    </row>
    <row r="66">
      <c r="A66" s="26" t="n">
        <v>45934</v>
      </c>
      <c r="B66" s="16">
        <f>SUMIFS(Datos!$H$4:$H$1774,Datos!$C$4:$C$1774,"Nuvei",Datos!$A$4:$A$1774,A66)</f>
        <v/>
      </c>
      <c r="C66" s="16">
        <f>SUMIFS(Datos!$I$4:$I$1774,Datos!$C$4:$C$1774,"Nuvei",Datos!$A$4:$A$1774,A66)</f>
        <v/>
      </c>
      <c r="D66" s="16">
        <f>B66+C66</f>
        <v/>
      </c>
      <c r="E66" s="16">
        <f>SUMIFS(Datos!$J$4:$J$1774,Datos!$C$4:$C$1774,"Nuvei",Datos!$A$4:$A$1774,A66)</f>
        <v/>
      </c>
      <c r="F66" s="27">
        <f>D66+E66</f>
        <v/>
      </c>
    </row>
    <row r="67">
      <c r="A67" s="26" t="n">
        <v>45935</v>
      </c>
      <c r="B67" s="16">
        <f>SUMIFS(Datos!$H$4:$H$1774,Datos!$C$4:$C$1774,"Nuvei",Datos!$A$4:$A$1774,A67)</f>
        <v/>
      </c>
      <c r="C67" s="16">
        <f>SUMIFS(Datos!$I$4:$I$1774,Datos!$C$4:$C$1774,"Nuvei",Datos!$A$4:$A$1774,A67)</f>
        <v/>
      </c>
      <c r="D67" s="16">
        <f>B67+C67</f>
        <v/>
      </c>
      <c r="E67" s="16">
        <f>SUMIFS(Datos!$J$4:$J$1774,Datos!$C$4:$C$1774,"Nuvei",Datos!$A$4:$A$1774,A67)</f>
        <v/>
      </c>
      <c r="F67" s="27">
        <f>D67+E67</f>
        <v/>
      </c>
    </row>
    <row r="68">
      <c r="A68" s="26" t="n">
        <v>45936</v>
      </c>
      <c r="B68" s="16">
        <f>SUMIFS(Datos!$H$4:$H$1774,Datos!$C$4:$C$1774,"Nuvei",Datos!$A$4:$A$1774,A68)</f>
        <v/>
      </c>
      <c r="C68" s="16">
        <f>SUMIFS(Datos!$I$4:$I$1774,Datos!$C$4:$C$1774,"Nuvei",Datos!$A$4:$A$1774,A68)</f>
        <v/>
      </c>
      <c r="D68" s="16">
        <f>B68+C68</f>
        <v/>
      </c>
      <c r="E68" s="16">
        <f>SUMIFS(Datos!$J$4:$J$1774,Datos!$C$4:$C$1774,"Nuvei",Datos!$A$4:$A$1774,A68)</f>
        <v/>
      </c>
      <c r="F68" s="27">
        <f>D68+E68</f>
        <v/>
      </c>
    </row>
    <row r="69">
      <c r="A69" s="26" t="n">
        <v>45937</v>
      </c>
      <c r="B69" s="16">
        <f>SUMIFS(Datos!$H$4:$H$1774,Datos!$C$4:$C$1774,"Nuvei",Datos!$A$4:$A$1774,A69)</f>
        <v/>
      </c>
      <c r="C69" s="16">
        <f>SUMIFS(Datos!$I$4:$I$1774,Datos!$C$4:$C$1774,"Nuvei",Datos!$A$4:$A$1774,A69)</f>
        <v/>
      </c>
      <c r="D69" s="16">
        <f>B69+C69</f>
        <v/>
      </c>
      <c r="E69" s="16">
        <f>SUMIFS(Datos!$J$4:$J$1774,Datos!$C$4:$C$1774,"Nuvei",Datos!$A$4:$A$1774,A69)</f>
        <v/>
      </c>
      <c r="F69" s="27">
        <f>D69+E69</f>
        <v/>
      </c>
    </row>
    <row r="70">
      <c r="A70" s="26" t="n">
        <v>45938</v>
      </c>
      <c r="B70" s="16">
        <f>SUMIFS(Datos!$H$4:$H$1774,Datos!$C$4:$C$1774,"Nuvei",Datos!$A$4:$A$1774,A70)</f>
        <v/>
      </c>
      <c r="C70" s="16">
        <f>SUMIFS(Datos!$I$4:$I$1774,Datos!$C$4:$C$1774,"Nuvei",Datos!$A$4:$A$1774,A70)</f>
        <v/>
      </c>
      <c r="D70" s="16">
        <f>B70+C70</f>
        <v/>
      </c>
      <c r="E70" s="16">
        <f>SUMIFS(Datos!$J$4:$J$1774,Datos!$C$4:$C$1774,"Nuvei",Datos!$A$4:$A$1774,A70)</f>
        <v/>
      </c>
      <c r="F70" s="27">
        <f>D70+E70</f>
        <v/>
      </c>
    </row>
    <row r="71">
      <c r="A71" s="26" t="n">
        <v>45939</v>
      </c>
      <c r="B71" s="16">
        <f>SUMIFS(Datos!$H$4:$H$1774,Datos!$C$4:$C$1774,"Nuvei",Datos!$A$4:$A$1774,A71)</f>
        <v/>
      </c>
      <c r="C71" s="16">
        <f>SUMIFS(Datos!$I$4:$I$1774,Datos!$C$4:$C$1774,"Nuvei",Datos!$A$4:$A$1774,A71)</f>
        <v/>
      </c>
      <c r="D71" s="16">
        <f>B71+C71</f>
        <v/>
      </c>
      <c r="E71" s="16">
        <f>SUMIFS(Datos!$J$4:$J$1774,Datos!$C$4:$C$1774,"Nuvei",Datos!$A$4:$A$1774,A71)</f>
        <v/>
      </c>
      <c r="F71" s="27">
        <f>D71+E71</f>
        <v/>
      </c>
    </row>
    <row r="72">
      <c r="A72" s="26" t="n">
        <v>45940</v>
      </c>
      <c r="B72" s="16">
        <f>SUMIFS(Datos!$H$4:$H$1774,Datos!$C$4:$C$1774,"Nuvei",Datos!$A$4:$A$1774,A72)</f>
        <v/>
      </c>
      <c r="C72" s="16">
        <f>SUMIFS(Datos!$I$4:$I$1774,Datos!$C$4:$C$1774,"Nuvei",Datos!$A$4:$A$1774,A72)</f>
        <v/>
      </c>
      <c r="D72" s="16">
        <f>B72+C72</f>
        <v/>
      </c>
      <c r="E72" s="16">
        <f>SUMIFS(Datos!$J$4:$J$1774,Datos!$C$4:$C$1774,"Nuvei",Datos!$A$4:$A$1774,A72)</f>
        <v/>
      </c>
      <c r="F72" s="27">
        <f>D72+E72</f>
        <v/>
      </c>
    </row>
    <row r="73">
      <c r="A73" s="26" t="n">
        <v>45941</v>
      </c>
      <c r="B73" s="16">
        <f>SUMIFS(Datos!$H$4:$H$1774,Datos!$C$4:$C$1774,"Nuvei",Datos!$A$4:$A$1774,A73)</f>
        <v/>
      </c>
      <c r="C73" s="16">
        <f>SUMIFS(Datos!$I$4:$I$1774,Datos!$C$4:$C$1774,"Nuvei",Datos!$A$4:$A$1774,A73)</f>
        <v/>
      </c>
      <c r="D73" s="16">
        <f>B73+C73</f>
        <v/>
      </c>
      <c r="E73" s="16">
        <f>SUMIFS(Datos!$J$4:$J$1774,Datos!$C$4:$C$1774,"Nuvei",Datos!$A$4:$A$1774,A73)</f>
        <v/>
      </c>
      <c r="F73" s="27">
        <f>D73+E73</f>
        <v/>
      </c>
    </row>
    <row r="74">
      <c r="A74" s="26" t="n">
        <v>45942</v>
      </c>
      <c r="B74" s="16">
        <f>SUMIFS(Datos!$H$4:$H$1774,Datos!$C$4:$C$1774,"Nuvei",Datos!$A$4:$A$1774,A74)</f>
        <v/>
      </c>
      <c r="C74" s="16">
        <f>SUMIFS(Datos!$I$4:$I$1774,Datos!$C$4:$C$1774,"Nuvei",Datos!$A$4:$A$1774,A74)</f>
        <v/>
      </c>
      <c r="D74" s="16">
        <f>B74+C74</f>
        <v/>
      </c>
      <c r="E74" s="16">
        <f>SUMIFS(Datos!$J$4:$J$1774,Datos!$C$4:$C$1774,"Nuvei",Datos!$A$4:$A$1774,A74)</f>
        <v/>
      </c>
      <c r="F74" s="27">
        <f>D74+E74</f>
        <v/>
      </c>
    </row>
    <row r="75">
      <c r="A75" s="26" t="n">
        <v>45943</v>
      </c>
      <c r="B75" s="16">
        <f>SUMIFS(Datos!$H$4:$H$1774,Datos!$C$4:$C$1774,"Nuvei",Datos!$A$4:$A$1774,A75)</f>
        <v/>
      </c>
      <c r="C75" s="16">
        <f>SUMIFS(Datos!$I$4:$I$1774,Datos!$C$4:$C$1774,"Nuvei",Datos!$A$4:$A$1774,A75)</f>
        <v/>
      </c>
      <c r="D75" s="16">
        <f>B75+C75</f>
        <v/>
      </c>
      <c r="E75" s="16">
        <f>SUMIFS(Datos!$J$4:$J$1774,Datos!$C$4:$C$1774,"Nuvei",Datos!$A$4:$A$1774,A75)</f>
        <v/>
      </c>
      <c r="F75" s="27">
        <f>D75+E75</f>
        <v/>
      </c>
    </row>
    <row r="76">
      <c r="A76" s="26" t="n">
        <v>45944</v>
      </c>
      <c r="B76" s="16">
        <f>SUMIFS(Datos!$H$4:$H$1774,Datos!$C$4:$C$1774,"Nuvei",Datos!$A$4:$A$1774,A76)</f>
        <v/>
      </c>
      <c r="C76" s="16">
        <f>SUMIFS(Datos!$I$4:$I$1774,Datos!$C$4:$C$1774,"Nuvei",Datos!$A$4:$A$1774,A76)</f>
        <v/>
      </c>
      <c r="D76" s="16">
        <f>B76+C76</f>
        <v/>
      </c>
      <c r="E76" s="16">
        <f>SUMIFS(Datos!$J$4:$J$1774,Datos!$C$4:$C$1774,"Nuvei",Datos!$A$4:$A$1774,A76)</f>
        <v/>
      </c>
      <c r="F76" s="27">
        <f>D76+E76</f>
        <v/>
      </c>
    </row>
    <row r="77">
      <c r="A77" s="26" t="n">
        <v>45945</v>
      </c>
      <c r="B77" s="16">
        <f>SUMIFS(Datos!$H$4:$H$1774,Datos!$C$4:$C$1774,"Nuvei",Datos!$A$4:$A$1774,A77)</f>
        <v/>
      </c>
      <c r="C77" s="16">
        <f>SUMIFS(Datos!$I$4:$I$1774,Datos!$C$4:$C$1774,"Nuvei",Datos!$A$4:$A$1774,A77)</f>
        <v/>
      </c>
      <c r="D77" s="16">
        <f>B77+C77</f>
        <v/>
      </c>
      <c r="E77" s="16">
        <f>SUMIFS(Datos!$J$4:$J$1774,Datos!$C$4:$C$1774,"Nuvei",Datos!$A$4:$A$1774,A77)</f>
        <v/>
      </c>
      <c r="F77" s="27">
        <f>D77+E77</f>
        <v/>
      </c>
    </row>
    <row r="78">
      <c r="A78" s="26" t="n">
        <v>45946</v>
      </c>
      <c r="B78" s="16">
        <f>SUMIFS(Datos!$H$4:$H$1774,Datos!$C$4:$C$1774,"Nuvei",Datos!$A$4:$A$1774,A78)</f>
        <v/>
      </c>
      <c r="C78" s="16">
        <f>SUMIFS(Datos!$I$4:$I$1774,Datos!$C$4:$C$1774,"Nuvei",Datos!$A$4:$A$1774,A78)</f>
        <v/>
      </c>
      <c r="D78" s="16">
        <f>B78+C78</f>
        <v/>
      </c>
      <c r="E78" s="16">
        <f>SUMIFS(Datos!$J$4:$J$1774,Datos!$C$4:$C$1774,"Nuvei",Datos!$A$4:$A$1774,A78)</f>
        <v/>
      </c>
      <c r="F78" s="27">
        <f>D78+E78</f>
        <v/>
      </c>
    </row>
    <row r="79">
      <c r="A79" s="26" t="n">
        <v>45947</v>
      </c>
      <c r="B79" s="16">
        <f>SUMIFS(Datos!$H$4:$H$1774,Datos!$C$4:$C$1774,"Nuvei",Datos!$A$4:$A$1774,A79)</f>
        <v/>
      </c>
      <c r="C79" s="16">
        <f>SUMIFS(Datos!$I$4:$I$1774,Datos!$C$4:$C$1774,"Nuvei",Datos!$A$4:$A$1774,A79)</f>
        <v/>
      </c>
      <c r="D79" s="16">
        <f>B79+C79</f>
        <v/>
      </c>
      <c r="E79" s="16">
        <f>SUMIFS(Datos!$J$4:$J$1774,Datos!$C$4:$C$1774,"Nuvei",Datos!$A$4:$A$1774,A79)</f>
        <v/>
      </c>
      <c r="F79" s="27">
        <f>D79+E79</f>
        <v/>
      </c>
    </row>
    <row r="80">
      <c r="A80" s="26" t="n">
        <v>45948</v>
      </c>
      <c r="B80" s="16">
        <f>SUMIFS(Datos!$H$4:$H$1774,Datos!$C$4:$C$1774,"Nuvei",Datos!$A$4:$A$1774,A80)</f>
        <v/>
      </c>
      <c r="C80" s="16">
        <f>SUMIFS(Datos!$I$4:$I$1774,Datos!$C$4:$C$1774,"Nuvei",Datos!$A$4:$A$1774,A80)</f>
        <v/>
      </c>
      <c r="D80" s="16">
        <f>B80+C80</f>
        <v/>
      </c>
      <c r="E80" s="16">
        <f>SUMIFS(Datos!$J$4:$J$1774,Datos!$C$4:$C$1774,"Nuvei",Datos!$A$4:$A$1774,A80)</f>
        <v/>
      </c>
      <c r="F80" s="27">
        <f>D80+E80</f>
        <v/>
      </c>
    </row>
    <row r="81">
      <c r="A81" s="26" t="n">
        <v>45949</v>
      </c>
      <c r="B81" s="16">
        <f>SUMIFS(Datos!$H$4:$H$1774,Datos!$C$4:$C$1774,"Nuvei",Datos!$A$4:$A$1774,A81)</f>
        <v/>
      </c>
      <c r="C81" s="16">
        <f>SUMIFS(Datos!$I$4:$I$1774,Datos!$C$4:$C$1774,"Nuvei",Datos!$A$4:$A$1774,A81)</f>
        <v/>
      </c>
      <c r="D81" s="16">
        <f>B81+C81</f>
        <v/>
      </c>
      <c r="E81" s="16">
        <f>SUMIFS(Datos!$J$4:$J$1774,Datos!$C$4:$C$1774,"Nuvei",Datos!$A$4:$A$1774,A81)</f>
        <v/>
      </c>
      <c r="F81" s="27">
        <f>D81+E81</f>
        <v/>
      </c>
    </row>
    <row r="82">
      <c r="A82" s="26" t="n">
        <v>45950</v>
      </c>
      <c r="B82" s="16">
        <f>SUMIFS(Datos!$H$4:$H$1774,Datos!$C$4:$C$1774,"Nuvei",Datos!$A$4:$A$1774,A82)</f>
        <v/>
      </c>
      <c r="C82" s="16">
        <f>SUMIFS(Datos!$I$4:$I$1774,Datos!$C$4:$C$1774,"Nuvei",Datos!$A$4:$A$1774,A82)</f>
        <v/>
      </c>
      <c r="D82" s="16">
        <f>B82+C82</f>
        <v/>
      </c>
      <c r="E82" s="16">
        <f>SUMIFS(Datos!$J$4:$J$1774,Datos!$C$4:$C$1774,"Nuvei",Datos!$A$4:$A$1774,A82)</f>
        <v/>
      </c>
      <c r="F82" s="27">
        <f>D82+E82</f>
        <v/>
      </c>
    </row>
    <row r="83">
      <c r="A83" s="26" t="n">
        <v>45951</v>
      </c>
      <c r="B83" s="16">
        <f>SUMIFS(Datos!$H$4:$H$1774,Datos!$C$4:$C$1774,"Nuvei",Datos!$A$4:$A$1774,A83)</f>
        <v/>
      </c>
      <c r="C83" s="16">
        <f>SUMIFS(Datos!$I$4:$I$1774,Datos!$C$4:$C$1774,"Nuvei",Datos!$A$4:$A$1774,A83)</f>
        <v/>
      </c>
      <c r="D83" s="16">
        <f>B83+C83</f>
        <v/>
      </c>
      <c r="E83" s="16">
        <f>SUMIFS(Datos!$J$4:$J$1774,Datos!$C$4:$C$1774,"Nuvei",Datos!$A$4:$A$1774,A83)</f>
        <v/>
      </c>
      <c r="F83" s="27">
        <f>D83+E83</f>
        <v/>
      </c>
    </row>
    <row r="84">
      <c r="A84" s="26" t="n">
        <v>45952</v>
      </c>
      <c r="B84" s="16">
        <f>SUMIFS(Datos!$H$4:$H$1774,Datos!$C$4:$C$1774,"Nuvei",Datos!$A$4:$A$1774,A84)</f>
        <v/>
      </c>
      <c r="C84" s="16">
        <f>SUMIFS(Datos!$I$4:$I$1774,Datos!$C$4:$C$1774,"Nuvei",Datos!$A$4:$A$1774,A84)</f>
        <v/>
      </c>
      <c r="D84" s="16">
        <f>B84+C84</f>
        <v/>
      </c>
      <c r="E84" s="16">
        <f>SUMIFS(Datos!$J$4:$J$1774,Datos!$C$4:$C$1774,"Nuvei",Datos!$A$4:$A$1774,A84)</f>
        <v/>
      </c>
      <c r="F84" s="27">
        <f>D84+E84</f>
        <v/>
      </c>
    </row>
    <row r="85">
      <c r="A85" s="26" t="n">
        <v>45953</v>
      </c>
      <c r="B85" s="16">
        <f>SUMIFS(Datos!$H$4:$H$1774,Datos!$C$4:$C$1774,"Nuvei",Datos!$A$4:$A$1774,A85)</f>
        <v/>
      </c>
      <c r="C85" s="16">
        <f>SUMIFS(Datos!$I$4:$I$1774,Datos!$C$4:$C$1774,"Nuvei",Datos!$A$4:$A$1774,A85)</f>
        <v/>
      </c>
      <c r="D85" s="16">
        <f>B85+C85</f>
        <v/>
      </c>
      <c r="E85" s="16">
        <f>SUMIFS(Datos!$J$4:$J$1774,Datos!$C$4:$C$1774,"Nuvei",Datos!$A$4:$A$1774,A85)</f>
        <v/>
      </c>
      <c r="F85" s="27">
        <f>D85+E85</f>
        <v/>
      </c>
    </row>
    <row r="86">
      <c r="A86" s="26" t="n">
        <v>45954</v>
      </c>
      <c r="B86" s="16">
        <f>SUMIFS(Datos!$H$4:$H$1774,Datos!$C$4:$C$1774,"Nuvei",Datos!$A$4:$A$1774,A86)</f>
        <v/>
      </c>
      <c r="C86" s="16">
        <f>SUMIFS(Datos!$I$4:$I$1774,Datos!$C$4:$C$1774,"Nuvei",Datos!$A$4:$A$1774,A86)</f>
        <v/>
      </c>
      <c r="D86" s="16">
        <f>B86+C86</f>
        <v/>
      </c>
      <c r="E86" s="16">
        <f>SUMIFS(Datos!$J$4:$J$1774,Datos!$C$4:$C$1774,"Nuvei",Datos!$A$4:$A$1774,A86)</f>
        <v/>
      </c>
      <c r="F86" s="27">
        <f>D86+E86</f>
        <v/>
      </c>
    </row>
    <row r="87">
      <c r="A87" s="26" t="n">
        <v>45955</v>
      </c>
      <c r="B87" s="16">
        <f>SUMIFS(Datos!$H$4:$H$1774,Datos!$C$4:$C$1774,"Nuvei",Datos!$A$4:$A$1774,A87)</f>
        <v/>
      </c>
      <c r="C87" s="16">
        <f>SUMIFS(Datos!$I$4:$I$1774,Datos!$C$4:$C$1774,"Nuvei",Datos!$A$4:$A$1774,A87)</f>
        <v/>
      </c>
      <c r="D87" s="16">
        <f>B87+C87</f>
        <v/>
      </c>
      <c r="E87" s="16">
        <f>SUMIFS(Datos!$J$4:$J$1774,Datos!$C$4:$C$1774,"Nuvei",Datos!$A$4:$A$1774,A87)</f>
        <v/>
      </c>
      <c r="F87" s="27">
        <f>D87+E87</f>
        <v/>
      </c>
    </row>
    <row r="88">
      <c r="A88" s="26" t="n">
        <v>45956</v>
      </c>
      <c r="B88" s="16">
        <f>SUMIFS(Datos!$H$4:$H$1774,Datos!$C$4:$C$1774,"Nuvei",Datos!$A$4:$A$1774,A88)</f>
        <v/>
      </c>
      <c r="C88" s="16">
        <f>SUMIFS(Datos!$I$4:$I$1774,Datos!$C$4:$C$1774,"Nuvei",Datos!$A$4:$A$1774,A88)</f>
        <v/>
      </c>
      <c r="D88" s="16">
        <f>B88+C88</f>
        <v/>
      </c>
      <c r="E88" s="16">
        <f>SUMIFS(Datos!$J$4:$J$1774,Datos!$C$4:$C$1774,"Nuvei",Datos!$A$4:$A$1774,A88)</f>
        <v/>
      </c>
      <c r="F88" s="27">
        <f>D88+E88</f>
        <v/>
      </c>
    </row>
    <row r="89">
      <c r="A89" s="26" t="n">
        <v>45957</v>
      </c>
      <c r="B89" s="16">
        <f>SUMIFS(Datos!$H$4:$H$1774,Datos!$C$4:$C$1774,"Nuvei",Datos!$A$4:$A$1774,A89)</f>
        <v/>
      </c>
      <c r="C89" s="16">
        <f>SUMIFS(Datos!$I$4:$I$1774,Datos!$C$4:$C$1774,"Nuvei",Datos!$A$4:$A$1774,A89)</f>
        <v/>
      </c>
      <c r="D89" s="16">
        <f>B89+C89</f>
        <v/>
      </c>
      <c r="E89" s="16">
        <f>SUMIFS(Datos!$J$4:$J$1774,Datos!$C$4:$C$1774,"Nuvei",Datos!$A$4:$A$1774,A89)</f>
        <v/>
      </c>
      <c r="F89" s="27">
        <f>D89+E89</f>
        <v/>
      </c>
    </row>
    <row r="90">
      <c r="A90" s="26" t="n">
        <v>45958</v>
      </c>
      <c r="B90" s="16">
        <f>SUMIFS(Datos!$H$4:$H$1774,Datos!$C$4:$C$1774,"Nuvei",Datos!$A$4:$A$1774,A90)</f>
        <v/>
      </c>
      <c r="C90" s="16">
        <f>SUMIFS(Datos!$I$4:$I$1774,Datos!$C$4:$C$1774,"Nuvei",Datos!$A$4:$A$1774,A90)</f>
        <v/>
      </c>
      <c r="D90" s="16">
        <f>B90+C90</f>
        <v/>
      </c>
      <c r="E90" s="16">
        <f>SUMIFS(Datos!$J$4:$J$1774,Datos!$C$4:$C$1774,"Nuvei",Datos!$A$4:$A$1774,A90)</f>
        <v/>
      </c>
      <c r="F90" s="27">
        <f>D90+E90</f>
        <v/>
      </c>
    </row>
    <row r="91">
      <c r="A91" s="26" t="n">
        <v>45959</v>
      </c>
      <c r="B91" s="16">
        <f>SUMIFS(Datos!$H$4:$H$1774,Datos!$C$4:$C$1774,"Nuvei",Datos!$A$4:$A$1774,A91)</f>
        <v/>
      </c>
      <c r="C91" s="16">
        <f>SUMIFS(Datos!$I$4:$I$1774,Datos!$C$4:$C$1774,"Nuvei",Datos!$A$4:$A$1774,A91)</f>
        <v/>
      </c>
      <c r="D91" s="16">
        <f>B91+C91</f>
        <v/>
      </c>
      <c r="E91" s="16">
        <f>SUMIFS(Datos!$J$4:$J$1774,Datos!$C$4:$C$1774,"Nuvei",Datos!$A$4:$A$1774,A91)</f>
        <v/>
      </c>
      <c r="F91" s="27">
        <f>D91+E91</f>
        <v/>
      </c>
    </row>
    <row r="92">
      <c r="A92" s="26" t="n">
        <v>45960</v>
      </c>
      <c r="B92" s="16">
        <f>SUMIFS(Datos!$H$4:$H$1774,Datos!$C$4:$C$1774,"Nuvei",Datos!$A$4:$A$1774,A92)</f>
        <v/>
      </c>
      <c r="C92" s="16">
        <f>SUMIFS(Datos!$I$4:$I$1774,Datos!$C$4:$C$1774,"Nuvei",Datos!$A$4:$A$1774,A92)</f>
        <v/>
      </c>
      <c r="D92" s="16">
        <f>B92+C92</f>
        <v/>
      </c>
      <c r="E92" s="16">
        <f>SUMIFS(Datos!$J$4:$J$1774,Datos!$C$4:$C$1774,"Nuvei",Datos!$A$4:$A$1774,A92)</f>
        <v/>
      </c>
      <c r="F92" s="27">
        <f>D92+E92</f>
        <v/>
      </c>
    </row>
    <row r="93">
      <c r="A93" s="26" t="n">
        <v>45961</v>
      </c>
      <c r="B93" s="16">
        <f>SUMIFS(Datos!$H$4:$H$1774,Datos!$C$4:$C$1774,"Nuvei",Datos!$A$4:$A$1774,A93)</f>
        <v/>
      </c>
      <c r="C93" s="16">
        <f>SUMIFS(Datos!$I$4:$I$1774,Datos!$C$4:$C$1774,"Nuvei",Datos!$A$4:$A$1774,A93)</f>
        <v/>
      </c>
      <c r="D93" s="16">
        <f>B93+C93</f>
        <v/>
      </c>
      <c r="E93" s="16">
        <f>SUMIFS(Datos!$J$4:$J$1774,Datos!$C$4:$C$1774,"Nuvei",Datos!$A$4:$A$1774,A93)</f>
        <v/>
      </c>
      <c r="F93" s="27">
        <f>D93+E93</f>
        <v/>
      </c>
    </row>
    <row r="94">
      <c r="A94" s="26" t="n">
        <v>45962</v>
      </c>
      <c r="B94" s="16">
        <f>SUMIFS(Datos!$H$4:$H$1774,Datos!$C$4:$C$1774,"Nuvei",Datos!$A$4:$A$1774,A94)</f>
        <v/>
      </c>
      <c r="C94" s="16">
        <f>SUMIFS(Datos!$I$4:$I$1774,Datos!$C$4:$C$1774,"Nuvei",Datos!$A$4:$A$1774,A94)</f>
        <v/>
      </c>
      <c r="D94" s="16">
        <f>B94+C94</f>
        <v/>
      </c>
      <c r="E94" s="16">
        <f>SUMIFS(Datos!$J$4:$J$1774,Datos!$C$4:$C$1774,"Nuvei",Datos!$A$4:$A$1774,A94)</f>
        <v/>
      </c>
      <c r="F94" s="27">
        <f>D94+E94</f>
        <v/>
      </c>
    </row>
    <row r="95">
      <c r="A95" s="26" t="n">
        <v>45963</v>
      </c>
      <c r="B95" s="16">
        <f>SUMIFS(Datos!$H$4:$H$1774,Datos!$C$4:$C$1774,"Nuvei",Datos!$A$4:$A$1774,A95)</f>
        <v/>
      </c>
      <c r="C95" s="16">
        <f>SUMIFS(Datos!$I$4:$I$1774,Datos!$C$4:$C$1774,"Nuvei",Datos!$A$4:$A$1774,A95)</f>
        <v/>
      </c>
      <c r="D95" s="16">
        <f>B95+C95</f>
        <v/>
      </c>
      <c r="E95" s="16">
        <f>SUMIFS(Datos!$J$4:$J$1774,Datos!$C$4:$C$1774,"Nuvei",Datos!$A$4:$A$1774,A95)</f>
        <v/>
      </c>
      <c r="F95" s="27">
        <f>D95+E95</f>
        <v/>
      </c>
    </row>
    <row r="96">
      <c r="A96" s="26" t="n">
        <v>45964</v>
      </c>
      <c r="B96" s="16">
        <f>SUMIFS(Datos!$H$4:$H$1774,Datos!$C$4:$C$1774,"Nuvei",Datos!$A$4:$A$1774,A96)</f>
        <v/>
      </c>
      <c r="C96" s="16">
        <f>SUMIFS(Datos!$I$4:$I$1774,Datos!$C$4:$C$1774,"Nuvei",Datos!$A$4:$A$1774,A96)</f>
        <v/>
      </c>
      <c r="D96" s="16">
        <f>B96+C96</f>
        <v/>
      </c>
      <c r="E96" s="16">
        <f>SUMIFS(Datos!$J$4:$J$1774,Datos!$C$4:$C$1774,"Nuvei",Datos!$A$4:$A$1774,A96)</f>
        <v/>
      </c>
      <c r="F96" s="27">
        <f>D96+E96</f>
        <v/>
      </c>
    </row>
    <row r="97">
      <c r="A97" s="26" t="n">
        <v>45965</v>
      </c>
      <c r="B97" s="16">
        <f>SUMIFS(Datos!$H$4:$H$1774,Datos!$C$4:$C$1774,"Nuvei",Datos!$A$4:$A$1774,A97)</f>
        <v/>
      </c>
      <c r="C97" s="16">
        <f>SUMIFS(Datos!$I$4:$I$1774,Datos!$C$4:$C$1774,"Nuvei",Datos!$A$4:$A$1774,A97)</f>
        <v/>
      </c>
      <c r="D97" s="16">
        <f>B97+C97</f>
        <v/>
      </c>
      <c r="E97" s="16">
        <f>SUMIFS(Datos!$J$4:$J$1774,Datos!$C$4:$C$1774,"Nuvei",Datos!$A$4:$A$1774,A97)</f>
        <v/>
      </c>
      <c r="F97" s="27">
        <f>D97+E97</f>
        <v/>
      </c>
    </row>
    <row r="98">
      <c r="A98" s="26" t="n">
        <v>45966</v>
      </c>
      <c r="B98" s="16">
        <f>SUMIFS(Datos!$H$4:$H$1774,Datos!$C$4:$C$1774,"Nuvei",Datos!$A$4:$A$1774,A98)</f>
        <v/>
      </c>
      <c r="C98" s="16">
        <f>SUMIFS(Datos!$I$4:$I$1774,Datos!$C$4:$C$1774,"Nuvei",Datos!$A$4:$A$1774,A98)</f>
        <v/>
      </c>
      <c r="D98" s="16">
        <f>B98+C98</f>
        <v/>
      </c>
      <c r="E98" s="16">
        <f>SUMIFS(Datos!$J$4:$J$1774,Datos!$C$4:$C$1774,"Nuvei",Datos!$A$4:$A$1774,A98)</f>
        <v/>
      </c>
      <c r="F98" s="27">
        <f>D98+E98</f>
        <v/>
      </c>
    </row>
    <row r="99">
      <c r="A99" s="26" t="n">
        <v>45967</v>
      </c>
      <c r="B99" s="16">
        <f>SUMIFS(Datos!$H$4:$H$1774,Datos!$C$4:$C$1774,"Nuvei",Datos!$A$4:$A$1774,A99)</f>
        <v/>
      </c>
      <c r="C99" s="16">
        <f>SUMIFS(Datos!$I$4:$I$1774,Datos!$C$4:$C$1774,"Nuvei",Datos!$A$4:$A$1774,A99)</f>
        <v/>
      </c>
      <c r="D99" s="16">
        <f>B99+C99</f>
        <v/>
      </c>
      <c r="E99" s="16">
        <f>SUMIFS(Datos!$J$4:$J$1774,Datos!$C$4:$C$1774,"Nuvei",Datos!$A$4:$A$1774,A99)</f>
        <v/>
      </c>
      <c r="F99" s="27">
        <f>D99+E99</f>
        <v/>
      </c>
    </row>
    <row r="100">
      <c r="A100" s="26" t="n">
        <v>45968</v>
      </c>
      <c r="B100" s="16">
        <f>SUMIFS(Datos!$H$4:$H$1774,Datos!$C$4:$C$1774,"Nuvei",Datos!$A$4:$A$1774,A100)</f>
        <v/>
      </c>
      <c r="C100" s="16">
        <f>SUMIFS(Datos!$I$4:$I$1774,Datos!$C$4:$C$1774,"Nuvei",Datos!$A$4:$A$1774,A100)</f>
        <v/>
      </c>
      <c r="D100" s="16">
        <f>B100+C100</f>
        <v/>
      </c>
      <c r="E100" s="16">
        <f>SUMIFS(Datos!$J$4:$J$1774,Datos!$C$4:$C$1774,"Nuvei",Datos!$A$4:$A$1774,A100)</f>
        <v/>
      </c>
      <c r="F100" s="27">
        <f>D100+E100</f>
        <v/>
      </c>
    </row>
    <row r="101">
      <c r="A101" s="26" t="n">
        <v>45969</v>
      </c>
      <c r="B101" s="16">
        <f>SUMIFS(Datos!$H$4:$H$1774,Datos!$C$4:$C$1774,"Nuvei",Datos!$A$4:$A$1774,A101)</f>
        <v/>
      </c>
      <c r="C101" s="16">
        <f>SUMIFS(Datos!$I$4:$I$1774,Datos!$C$4:$C$1774,"Nuvei",Datos!$A$4:$A$1774,A101)</f>
        <v/>
      </c>
      <c r="D101" s="16">
        <f>B101+C101</f>
        <v/>
      </c>
      <c r="E101" s="16">
        <f>SUMIFS(Datos!$J$4:$J$1774,Datos!$C$4:$C$1774,"Nuvei",Datos!$A$4:$A$1774,A101)</f>
        <v/>
      </c>
      <c r="F101" s="27">
        <f>D101+E101</f>
        <v/>
      </c>
    </row>
    <row r="102">
      <c r="A102" s="26" t="n">
        <v>45970</v>
      </c>
      <c r="B102" s="16">
        <f>SUMIFS(Datos!$H$4:$H$1774,Datos!$C$4:$C$1774,"Nuvei",Datos!$A$4:$A$1774,A102)</f>
        <v/>
      </c>
      <c r="C102" s="16">
        <f>SUMIFS(Datos!$I$4:$I$1774,Datos!$C$4:$C$1774,"Nuvei",Datos!$A$4:$A$1774,A102)</f>
        <v/>
      </c>
      <c r="D102" s="16">
        <f>B102+C102</f>
        <v/>
      </c>
      <c r="E102" s="16">
        <f>SUMIFS(Datos!$J$4:$J$1774,Datos!$C$4:$C$1774,"Nuvei",Datos!$A$4:$A$1774,A102)</f>
        <v/>
      </c>
      <c r="F102" s="27">
        <f>D102+E102</f>
        <v/>
      </c>
    </row>
    <row r="103">
      <c r="A103" s="26" t="n">
        <v>45971</v>
      </c>
      <c r="B103" s="16">
        <f>SUMIFS(Datos!$H$4:$H$1774,Datos!$C$4:$C$1774,"Nuvei",Datos!$A$4:$A$1774,A103)</f>
        <v/>
      </c>
      <c r="C103" s="16">
        <f>SUMIFS(Datos!$I$4:$I$1774,Datos!$C$4:$C$1774,"Nuvei",Datos!$A$4:$A$1774,A103)</f>
        <v/>
      </c>
      <c r="D103" s="16">
        <f>B103+C103</f>
        <v/>
      </c>
      <c r="E103" s="16">
        <f>SUMIFS(Datos!$J$4:$J$1774,Datos!$C$4:$C$1774,"Nuvei",Datos!$A$4:$A$1774,A103)</f>
        <v/>
      </c>
      <c r="F103" s="27">
        <f>D103+E103</f>
        <v/>
      </c>
    </row>
    <row r="104">
      <c r="A104" s="26" t="n">
        <v>45972</v>
      </c>
      <c r="B104" s="16">
        <f>SUMIFS(Datos!$H$4:$H$1774,Datos!$C$4:$C$1774,"Nuvei",Datos!$A$4:$A$1774,A104)</f>
        <v/>
      </c>
      <c r="C104" s="16">
        <f>SUMIFS(Datos!$I$4:$I$1774,Datos!$C$4:$C$1774,"Nuvei",Datos!$A$4:$A$1774,A104)</f>
        <v/>
      </c>
      <c r="D104" s="16">
        <f>B104+C104</f>
        <v/>
      </c>
      <c r="E104" s="16">
        <f>SUMIFS(Datos!$J$4:$J$1774,Datos!$C$4:$C$1774,"Nuvei",Datos!$A$4:$A$1774,A104)</f>
        <v/>
      </c>
      <c r="F104" s="27">
        <f>D104+E104</f>
        <v/>
      </c>
    </row>
    <row r="105">
      <c r="A105" s="26" t="n">
        <v>45973</v>
      </c>
      <c r="B105" s="16">
        <f>SUMIFS(Datos!$H$4:$H$1774,Datos!$C$4:$C$1774,"Nuvei",Datos!$A$4:$A$1774,A105)</f>
        <v/>
      </c>
      <c r="C105" s="16">
        <f>SUMIFS(Datos!$I$4:$I$1774,Datos!$C$4:$C$1774,"Nuvei",Datos!$A$4:$A$1774,A105)</f>
        <v/>
      </c>
      <c r="D105" s="16">
        <f>B105+C105</f>
        <v/>
      </c>
      <c r="E105" s="16">
        <f>SUMIFS(Datos!$J$4:$J$1774,Datos!$C$4:$C$1774,"Nuvei",Datos!$A$4:$A$1774,A105)</f>
        <v/>
      </c>
      <c r="F105" s="27">
        <f>D105+E105</f>
        <v/>
      </c>
    </row>
    <row r="106">
      <c r="A106" s="26" t="n">
        <v>45974</v>
      </c>
      <c r="B106" s="16">
        <f>SUMIFS(Datos!$H$4:$H$1774,Datos!$C$4:$C$1774,"Nuvei",Datos!$A$4:$A$1774,A106)</f>
        <v/>
      </c>
      <c r="C106" s="16">
        <f>SUMIFS(Datos!$I$4:$I$1774,Datos!$C$4:$C$1774,"Nuvei",Datos!$A$4:$A$1774,A106)</f>
        <v/>
      </c>
      <c r="D106" s="16">
        <f>B106+C106</f>
        <v/>
      </c>
      <c r="E106" s="16">
        <f>SUMIFS(Datos!$J$4:$J$1774,Datos!$C$4:$C$1774,"Nuvei",Datos!$A$4:$A$1774,A106)</f>
        <v/>
      </c>
      <c r="F106" s="27">
        <f>D106+E106</f>
        <v/>
      </c>
    </row>
    <row r="107">
      <c r="A107" s="26" t="n">
        <v>45975</v>
      </c>
      <c r="B107" s="16">
        <f>SUMIFS(Datos!$H$4:$H$1774,Datos!$C$4:$C$1774,"Nuvei",Datos!$A$4:$A$1774,A107)</f>
        <v/>
      </c>
      <c r="C107" s="16">
        <f>SUMIFS(Datos!$I$4:$I$1774,Datos!$C$4:$C$1774,"Nuvei",Datos!$A$4:$A$1774,A107)</f>
        <v/>
      </c>
      <c r="D107" s="16">
        <f>B107+C107</f>
        <v/>
      </c>
      <c r="E107" s="16">
        <f>SUMIFS(Datos!$J$4:$J$1774,Datos!$C$4:$C$1774,"Nuvei",Datos!$A$4:$A$1774,A107)</f>
        <v/>
      </c>
      <c r="F107" s="27">
        <f>D107+E107</f>
        <v/>
      </c>
    </row>
    <row r="108">
      <c r="A108" s="26" t="n">
        <v>45976</v>
      </c>
      <c r="B108" s="16">
        <f>SUMIFS(Datos!$H$4:$H$1774,Datos!$C$4:$C$1774,"Nuvei",Datos!$A$4:$A$1774,A108)</f>
        <v/>
      </c>
      <c r="C108" s="16">
        <f>SUMIFS(Datos!$I$4:$I$1774,Datos!$C$4:$C$1774,"Nuvei",Datos!$A$4:$A$1774,A108)</f>
        <v/>
      </c>
      <c r="D108" s="16">
        <f>B108+C108</f>
        <v/>
      </c>
      <c r="E108" s="16">
        <f>SUMIFS(Datos!$J$4:$J$1774,Datos!$C$4:$C$1774,"Nuvei",Datos!$A$4:$A$1774,A108)</f>
        <v/>
      </c>
      <c r="F108" s="27">
        <f>D108+E108</f>
        <v/>
      </c>
    </row>
    <row r="109">
      <c r="A109" s="26" t="n">
        <v>45977</v>
      </c>
      <c r="B109" s="16">
        <f>SUMIFS(Datos!$H$4:$H$1774,Datos!$C$4:$C$1774,"Nuvei",Datos!$A$4:$A$1774,A109)</f>
        <v/>
      </c>
      <c r="C109" s="16">
        <f>SUMIFS(Datos!$I$4:$I$1774,Datos!$C$4:$C$1774,"Nuvei",Datos!$A$4:$A$1774,A109)</f>
        <v/>
      </c>
      <c r="D109" s="16">
        <f>B109+C109</f>
        <v/>
      </c>
      <c r="E109" s="16">
        <f>SUMIFS(Datos!$J$4:$J$1774,Datos!$C$4:$C$1774,"Nuvei",Datos!$A$4:$A$1774,A109)</f>
        <v/>
      </c>
      <c r="F109" s="27">
        <f>D109+E109</f>
        <v/>
      </c>
    </row>
    <row r="110">
      <c r="A110" s="26" t="n">
        <v>45978</v>
      </c>
      <c r="B110" s="16">
        <f>SUMIFS(Datos!$H$4:$H$1774,Datos!$C$4:$C$1774,"Nuvei",Datos!$A$4:$A$1774,A110)</f>
        <v/>
      </c>
      <c r="C110" s="16">
        <f>SUMIFS(Datos!$I$4:$I$1774,Datos!$C$4:$C$1774,"Nuvei",Datos!$A$4:$A$1774,A110)</f>
        <v/>
      </c>
      <c r="D110" s="16">
        <f>B110+C110</f>
        <v/>
      </c>
      <c r="E110" s="16">
        <f>SUMIFS(Datos!$J$4:$J$1774,Datos!$C$4:$C$1774,"Nuvei",Datos!$A$4:$A$1774,A110)</f>
        <v/>
      </c>
      <c r="F110" s="27">
        <f>D110+E110</f>
        <v/>
      </c>
    </row>
    <row r="111">
      <c r="A111" s="26" t="n">
        <v>45979</v>
      </c>
      <c r="B111" s="16">
        <f>SUMIFS(Datos!$H$4:$H$1774,Datos!$C$4:$C$1774,"Nuvei",Datos!$A$4:$A$1774,A111)</f>
        <v/>
      </c>
      <c r="C111" s="16">
        <f>SUMIFS(Datos!$I$4:$I$1774,Datos!$C$4:$C$1774,"Nuvei",Datos!$A$4:$A$1774,A111)</f>
        <v/>
      </c>
      <c r="D111" s="16">
        <f>B111+C111</f>
        <v/>
      </c>
      <c r="E111" s="16">
        <f>SUMIFS(Datos!$J$4:$J$1774,Datos!$C$4:$C$1774,"Nuvei",Datos!$A$4:$A$1774,A111)</f>
        <v/>
      </c>
      <c r="F111" s="27">
        <f>D111+E111</f>
        <v/>
      </c>
    </row>
    <row r="112">
      <c r="A112" s="26" t="n">
        <v>45980</v>
      </c>
      <c r="B112" s="16">
        <f>SUMIFS(Datos!$H$4:$H$1774,Datos!$C$4:$C$1774,"Nuvei",Datos!$A$4:$A$1774,A112)</f>
        <v/>
      </c>
      <c r="C112" s="16">
        <f>SUMIFS(Datos!$I$4:$I$1774,Datos!$C$4:$C$1774,"Nuvei",Datos!$A$4:$A$1774,A112)</f>
        <v/>
      </c>
      <c r="D112" s="16">
        <f>B112+C112</f>
        <v/>
      </c>
      <c r="E112" s="16">
        <f>SUMIFS(Datos!$J$4:$J$1774,Datos!$C$4:$C$1774,"Nuvei",Datos!$A$4:$A$1774,A112)</f>
        <v/>
      </c>
      <c r="F112" s="27">
        <f>D112+E112</f>
        <v/>
      </c>
    </row>
    <row r="113">
      <c r="A113" s="26" t="n">
        <v>45981</v>
      </c>
      <c r="B113" s="16">
        <f>SUMIFS(Datos!$H$4:$H$1774,Datos!$C$4:$C$1774,"Nuvei",Datos!$A$4:$A$1774,A113)</f>
        <v/>
      </c>
      <c r="C113" s="16">
        <f>SUMIFS(Datos!$I$4:$I$1774,Datos!$C$4:$C$1774,"Nuvei",Datos!$A$4:$A$1774,A113)</f>
        <v/>
      </c>
      <c r="D113" s="16">
        <f>B113+C113</f>
        <v/>
      </c>
      <c r="E113" s="16">
        <f>SUMIFS(Datos!$J$4:$J$1774,Datos!$C$4:$C$1774,"Nuvei",Datos!$A$4:$A$1774,A113)</f>
        <v/>
      </c>
      <c r="F113" s="27">
        <f>D113+E113</f>
        <v/>
      </c>
    </row>
    <row r="114">
      <c r="A114" s="26" t="n">
        <v>45982</v>
      </c>
      <c r="B114" s="16">
        <f>SUMIFS(Datos!$H$4:$H$1774,Datos!$C$4:$C$1774,"Nuvei",Datos!$A$4:$A$1774,A114)</f>
        <v/>
      </c>
      <c r="C114" s="16">
        <f>SUMIFS(Datos!$I$4:$I$1774,Datos!$C$4:$C$1774,"Nuvei",Datos!$A$4:$A$1774,A114)</f>
        <v/>
      </c>
      <c r="D114" s="16">
        <f>B114+C114</f>
        <v/>
      </c>
      <c r="E114" s="16">
        <f>SUMIFS(Datos!$J$4:$J$1774,Datos!$C$4:$C$1774,"Nuvei",Datos!$A$4:$A$1774,A114)</f>
        <v/>
      </c>
      <c r="F114" s="27">
        <f>D114+E114</f>
        <v/>
      </c>
    </row>
    <row r="115">
      <c r="A115" s="26" t="n">
        <v>45983</v>
      </c>
      <c r="B115" s="16">
        <f>SUMIFS(Datos!$H$4:$H$1774,Datos!$C$4:$C$1774,"Nuvei",Datos!$A$4:$A$1774,A115)</f>
        <v/>
      </c>
      <c r="C115" s="16">
        <f>SUMIFS(Datos!$I$4:$I$1774,Datos!$C$4:$C$1774,"Nuvei",Datos!$A$4:$A$1774,A115)</f>
        <v/>
      </c>
      <c r="D115" s="16">
        <f>B115+C115</f>
        <v/>
      </c>
      <c r="E115" s="16">
        <f>SUMIFS(Datos!$J$4:$J$1774,Datos!$C$4:$C$1774,"Nuvei",Datos!$A$4:$A$1774,A115)</f>
        <v/>
      </c>
      <c r="F115" s="27">
        <f>D115+E115</f>
        <v/>
      </c>
    </row>
    <row r="116">
      <c r="A116" s="26" t="n">
        <v>45984</v>
      </c>
      <c r="B116" s="16">
        <f>SUMIFS(Datos!$H$4:$H$1774,Datos!$C$4:$C$1774,"Nuvei",Datos!$A$4:$A$1774,A116)</f>
        <v/>
      </c>
      <c r="C116" s="16">
        <f>SUMIFS(Datos!$I$4:$I$1774,Datos!$C$4:$C$1774,"Nuvei",Datos!$A$4:$A$1774,A116)</f>
        <v/>
      </c>
      <c r="D116" s="16">
        <f>B116+C116</f>
        <v/>
      </c>
      <c r="E116" s="16">
        <f>SUMIFS(Datos!$J$4:$J$1774,Datos!$C$4:$C$1774,"Nuvei",Datos!$A$4:$A$1774,A116)</f>
        <v/>
      </c>
      <c r="F116" s="27">
        <f>D116+E116</f>
        <v/>
      </c>
    </row>
    <row r="117">
      <c r="A117" s="26" t="n">
        <v>45985</v>
      </c>
      <c r="B117" s="16">
        <f>SUMIFS(Datos!$H$4:$H$1774,Datos!$C$4:$C$1774,"Nuvei",Datos!$A$4:$A$1774,A117)</f>
        <v/>
      </c>
      <c r="C117" s="16">
        <f>SUMIFS(Datos!$I$4:$I$1774,Datos!$C$4:$C$1774,"Nuvei",Datos!$A$4:$A$1774,A117)</f>
        <v/>
      </c>
      <c r="D117" s="16">
        <f>B117+C117</f>
        <v/>
      </c>
      <c r="E117" s="16">
        <f>SUMIFS(Datos!$J$4:$J$1774,Datos!$C$4:$C$1774,"Nuvei",Datos!$A$4:$A$1774,A117)</f>
        <v/>
      </c>
      <c r="F117" s="27">
        <f>D117+E117</f>
        <v/>
      </c>
    </row>
    <row r="118">
      <c r="A118" s="26" t="n">
        <v>45986</v>
      </c>
      <c r="B118" s="16">
        <f>SUMIFS(Datos!$H$4:$H$1774,Datos!$C$4:$C$1774,"Nuvei",Datos!$A$4:$A$1774,A118)</f>
        <v/>
      </c>
      <c r="C118" s="16">
        <f>SUMIFS(Datos!$I$4:$I$1774,Datos!$C$4:$C$1774,"Nuvei",Datos!$A$4:$A$1774,A118)</f>
        <v/>
      </c>
      <c r="D118" s="16">
        <f>B118+C118</f>
        <v/>
      </c>
      <c r="E118" s="16">
        <f>SUMIFS(Datos!$J$4:$J$1774,Datos!$C$4:$C$1774,"Nuvei",Datos!$A$4:$A$1774,A118)</f>
        <v/>
      </c>
      <c r="F118" s="27">
        <f>D118+E118</f>
        <v/>
      </c>
    </row>
    <row r="119">
      <c r="A119" s="26" t="n">
        <v>45987</v>
      </c>
      <c r="B119" s="16">
        <f>SUMIFS(Datos!$H$4:$H$1774,Datos!$C$4:$C$1774,"Nuvei",Datos!$A$4:$A$1774,A119)</f>
        <v/>
      </c>
      <c r="C119" s="16">
        <f>SUMIFS(Datos!$I$4:$I$1774,Datos!$C$4:$C$1774,"Nuvei",Datos!$A$4:$A$1774,A119)</f>
        <v/>
      </c>
      <c r="D119" s="16">
        <f>B119+C119</f>
        <v/>
      </c>
      <c r="E119" s="16">
        <f>SUMIFS(Datos!$J$4:$J$1774,Datos!$C$4:$C$1774,"Nuvei",Datos!$A$4:$A$1774,A119)</f>
        <v/>
      </c>
      <c r="F119" s="27">
        <f>D119+E119</f>
        <v/>
      </c>
    </row>
    <row r="120">
      <c r="A120" s="26" t="n">
        <v>45988</v>
      </c>
      <c r="B120" s="16">
        <f>SUMIFS(Datos!$H$4:$H$1774,Datos!$C$4:$C$1774,"Nuvei",Datos!$A$4:$A$1774,A120)</f>
        <v/>
      </c>
      <c r="C120" s="16">
        <f>SUMIFS(Datos!$I$4:$I$1774,Datos!$C$4:$C$1774,"Nuvei",Datos!$A$4:$A$1774,A120)</f>
        <v/>
      </c>
      <c r="D120" s="16">
        <f>B120+C120</f>
        <v/>
      </c>
      <c r="E120" s="16">
        <f>SUMIFS(Datos!$J$4:$J$1774,Datos!$C$4:$C$1774,"Nuvei",Datos!$A$4:$A$1774,A120)</f>
        <v/>
      </c>
      <c r="F120" s="27">
        <f>D120+E120</f>
        <v/>
      </c>
    </row>
    <row r="121">
      <c r="A121" s="26" t="n">
        <v>45989</v>
      </c>
      <c r="B121" s="16">
        <f>SUMIFS(Datos!$H$4:$H$1774,Datos!$C$4:$C$1774,"Nuvei",Datos!$A$4:$A$1774,A121)</f>
        <v/>
      </c>
      <c r="C121" s="16">
        <f>SUMIFS(Datos!$I$4:$I$1774,Datos!$C$4:$C$1774,"Nuvei",Datos!$A$4:$A$1774,A121)</f>
        <v/>
      </c>
      <c r="D121" s="16">
        <f>B121+C121</f>
        <v/>
      </c>
      <c r="E121" s="16">
        <f>SUMIFS(Datos!$J$4:$J$1774,Datos!$C$4:$C$1774,"Nuvei",Datos!$A$4:$A$1774,A121)</f>
        <v/>
      </c>
      <c r="F121" s="27">
        <f>D121+E121</f>
        <v/>
      </c>
    </row>
    <row r="122">
      <c r="A122" s="26" t="n">
        <v>45990</v>
      </c>
      <c r="B122" s="16">
        <f>SUMIFS(Datos!$H$4:$H$1774,Datos!$C$4:$C$1774,"Nuvei",Datos!$A$4:$A$1774,A122)</f>
        <v/>
      </c>
      <c r="C122" s="16">
        <f>SUMIFS(Datos!$I$4:$I$1774,Datos!$C$4:$C$1774,"Nuvei",Datos!$A$4:$A$1774,A122)</f>
        <v/>
      </c>
      <c r="D122" s="16">
        <f>B122+C122</f>
        <v/>
      </c>
      <c r="E122" s="16">
        <f>SUMIFS(Datos!$J$4:$J$1774,Datos!$C$4:$C$1774,"Nuvei",Datos!$A$4:$A$1774,A122)</f>
        <v/>
      </c>
      <c r="F122" s="27">
        <f>D122+E122</f>
        <v/>
      </c>
    </row>
    <row r="123">
      <c r="A123" s="26" t="n">
        <v>45991</v>
      </c>
      <c r="B123" s="16">
        <f>SUMIFS(Datos!$H$4:$H$1774,Datos!$C$4:$C$1774,"Nuvei",Datos!$A$4:$A$1774,A123)</f>
        <v/>
      </c>
      <c r="C123" s="16">
        <f>SUMIFS(Datos!$I$4:$I$1774,Datos!$C$4:$C$1774,"Nuvei",Datos!$A$4:$A$1774,A123)</f>
        <v/>
      </c>
      <c r="D123" s="16">
        <f>B123+C123</f>
        <v/>
      </c>
      <c r="E123" s="16">
        <f>SUMIFS(Datos!$J$4:$J$1774,Datos!$C$4:$C$1774,"Nuvei",Datos!$A$4:$A$1774,A123)</f>
        <v/>
      </c>
      <c r="F123" s="27">
        <f>D123+E123</f>
        <v/>
      </c>
    </row>
    <row r="124">
      <c r="A124" s="26" t="n">
        <v>45992</v>
      </c>
      <c r="B124" s="16">
        <f>SUMIFS(Datos!$H$4:$H$1774,Datos!$C$4:$C$1774,"Nuvei",Datos!$A$4:$A$1774,A124)</f>
        <v/>
      </c>
      <c r="C124" s="16">
        <f>SUMIFS(Datos!$I$4:$I$1774,Datos!$C$4:$C$1774,"Nuvei",Datos!$A$4:$A$1774,A124)</f>
        <v/>
      </c>
      <c r="D124" s="16">
        <f>B124+C124</f>
        <v/>
      </c>
      <c r="E124" s="16">
        <f>SUMIFS(Datos!$J$4:$J$1774,Datos!$C$4:$C$1774,"Nuvei",Datos!$A$4:$A$1774,A124)</f>
        <v/>
      </c>
      <c r="F124" s="27">
        <f>D124+E124</f>
        <v/>
      </c>
    </row>
    <row r="125">
      <c r="A125" s="26" t="n">
        <v>45993</v>
      </c>
      <c r="B125" s="16">
        <f>SUMIFS(Datos!$H$4:$H$1774,Datos!$C$4:$C$1774,"Nuvei",Datos!$A$4:$A$1774,A125)</f>
        <v/>
      </c>
      <c r="C125" s="16">
        <f>SUMIFS(Datos!$I$4:$I$1774,Datos!$C$4:$C$1774,"Nuvei",Datos!$A$4:$A$1774,A125)</f>
        <v/>
      </c>
      <c r="D125" s="16">
        <f>B125+C125</f>
        <v/>
      </c>
      <c r="E125" s="16">
        <f>SUMIFS(Datos!$J$4:$J$1774,Datos!$C$4:$C$1774,"Nuvei",Datos!$A$4:$A$1774,A125)</f>
        <v/>
      </c>
      <c r="F125" s="27">
        <f>D125+E125</f>
        <v/>
      </c>
    </row>
    <row r="126">
      <c r="A126" s="26" t="n">
        <v>45994</v>
      </c>
      <c r="B126" s="16">
        <f>SUMIFS(Datos!$H$4:$H$1774,Datos!$C$4:$C$1774,"Nuvei",Datos!$A$4:$A$1774,A126)</f>
        <v/>
      </c>
      <c r="C126" s="16">
        <f>SUMIFS(Datos!$I$4:$I$1774,Datos!$C$4:$C$1774,"Nuvei",Datos!$A$4:$A$1774,A126)</f>
        <v/>
      </c>
      <c r="D126" s="16">
        <f>B126+C126</f>
        <v/>
      </c>
      <c r="E126" s="16">
        <f>SUMIFS(Datos!$J$4:$J$1774,Datos!$C$4:$C$1774,"Nuvei",Datos!$A$4:$A$1774,A126)</f>
        <v/>
      </c>
      <c r="F126" s="27">
        <f>D126+E126</f>
        <v/>
      </c>
    </row>
    <row r="127">
      <c r="A127" s="26" t="n">
        <v>45995</v>
      </c>
      <c r="B127" s="16">
        <f>SUMIFS(Datos!$H$4:$H$1774,Datos!$C$4:$C$1774,"Nuvei",Datos!$A$4:$A$1774,A127)</f>
        <v/>
      </c>
      <c r="C127" s="16">
        <f>SUMIFS(Datos!$I$4:$I$1774,Datos!$C$4:$C$1774,"Nuvei",Datos!$A$4:$A$1774,A127)</f>
        <v/>
      </c>
      <c r="D127" s="16">
        <f>B127+C127</f>
        <v/>
      </c>
      <c r="E127" s="16">
        <f>SUMIFS(Datos!$J$4:$J$1774,Datos!$C$4:$C$1774,"Nuvei",Datos!$A$4:$A$1774,A127)</f>
        <v/>
      </c>
      <c r="F127" s="27">
        <f>D127+E127</f>
        <v/>
      </c>
    </row>
    <row r="128">
      <c r="A128" s="26" t="n">
        <v>45996</v>
      </c>
      <c r="B128" s="16">
        <f>SUMIFS(Datos!$H$4:$H$1774,Datos!$C$4:$C$1774,"Nuvei",Datos!$A$4:$A$1774,A128)</f>
        <v/>
      </c>
      <c r="C128" s="16">
        <f>SUMIFS(Datos!$I$4:$I$1774,Datos!$C$4:$C$1774,"Nuvei",Datos!$A$4:$A$1774,A128)</f>
        <v/>
      </c>
      <c r="D128" s="16">
        <f>B128+C128</f>
        <v/>
      </c>
      <c r="E128" s="16">
        <f>SUMIFS(Datos!$J$4:$J$1774,Datos!$C$4:$C$1774,"Nuvei",Datos!$A$4:$A$1774,A128)</f>
        <v/>
      </c>
      <c r="F128" s="27">
        <f>D128+E128</f>
        <v/>
      </c>
    </row>
    <row r="129">
      <c r="A129" s="26" t="n">
        <v>45997</v>
      </c>
      <c r="B129" s="16">
        <f>SUMIFS(Datos!$H$4:$H$1774,Datos!$C$4:$C$1774,"Nuvei",Datos!$A$4:$A$1774,A129)</f>
        <v/>
      </c>
      <c r="C129" s="16">
        <f>SUMIFS(Datos!$I$4:$I$1774,Datos!$C$4:$C$1774,"Nuvei",Datos!$A$4:$A$1774,A129)</f>
        <v/>
      </c>
      <c r="D129" s="16">
        <f>B129+C129</f>
        <v/>
      </c>
      <c r="E129" s="16">
        <f>SUMIFS(Datos!$J$4:$J$1774,Datos!$C$4:$C$1774,"Nuvei",Datos!$A$4:$A$1774,A129)</f>
        <v/>
      </c>
      <c r="F129" s="27">
        <f>D129+E129</f>
        <v/>
      </c>
    </row>
    <row r="130">
      <c r="A130" s="26" t="n">
        <v>45998</v>
      </c>
      <c r="B130" s="16">
        <f>SUMIFS(Datos!$H$4:$H$1774,Datos!$C$4:$C$1774,"Nuvei",Datos!$A$4:$A$1774,A130)</f>
        <v/>
      </c>
      <c r="C130" s="16">
        <f>SUMIFS(Datos!$I$4:$I$1774,Datos!$C$4:$C$1774,"Nuvei",Datos!$A$4:$A$1774,A130)</f>
        <v/>
      </c>
      <c r="D130" s="16">
        <f>B130+C130</f>
        <v/>
      </c>
      <c r="E130" s="16">
        <f>SUMIFS(Datos!$J$4:$J$1774,Datos!$C$4:$C$1774,"Nuvei",Datos!$A$4:$A$1774,A130)</f>
        <v/>
      </c>
      <c r="F130" s="27">
        <f>D130+E130</f>
        <v/>
      </c>
    </row>
    <row r="131">
      <c r="A131" s="26" t="n">
        <v>45999</v>
      </c>
      <c r="B131" s="16">
        <f>SUMIFS(Datos!$H$4:$H$1774,Datos!$C$4:$C$1774,"Nuvei",Datos!$A$4:$A$1774,A131)</f>
        <v/>
      </c>
      <c r="C131" s="16">
        <f>SUMIFS(Datos!$I$4:$I$1774,Datos!$C$4:$C$1774,"Nuvei",Datos!$A$4:$A$1774,A131)</f>
        <v/>
      </c>
      <c r="D131" s="16">
        <f>B131+C131</f>
        <v/>
      </c>
      <c r="E131" s="16">
        <f>SUMIFS(Datos!$J$4:$J$1774,Datos!$C$4:$C$1774,"Nuvei",Datos!$A$4:$A$1774,A131)</f>
        <v/>
      </c>
      <c r="F131" s="27">
        <f>D131+E131</f>
        <v/>
      </c>
    </row>
    <row r="132">
      <c r="A132" s="26" t="n">
        <v>46000</v>
      </c>
      <c r="B132" s="16">
        <f>SUMIFS(Datos!$H$4:$H$1774,Datos!$C$4:$C$1774,"Nuvei",Datos!$A$4:$A$1774,A132)</f>
        <v/>
      </c>
      <c r="C132" s="16">
        <f>SUMIFS(Datos!$I$4:$I$1774,Datos!$C$4:$C$1774,"Nuvei",Datos!$A$4:$A$1774,A132)</f>
        <v/>
      </c>
      <c r="D132" s="16">
        <f>B132+C132</f>
        <v/>
      </c>
      <c r="E132" s="16">
        <f>SUMIFS(Datos!$J$4:$J$1774,Datos!$C$4:$C$1774,"Nuvei",Datos!$A$4:$A$1774,A132)</f>
        <v/>
      </c>
      <c r="F132" s="27">
        <f>D132+E132</f>
        <v/>
      </c>
    </row>
    <row r="133">
      <c r="A133" s="26" t="n">
        <v>46001</v>
      </c>
      <c r="B133" s="16">
        <f>SUMIFS(Datos!$H$4:$H$1774,Datos!$C$4:$C$1774,"Nuvei",Datos!$A$4:$A$1774,A133)</f>
        <v/>
      </c>
      <c r="C133" s="16">
        <f>SUMIFS(Datos!$I$4:$I$1774,Datos!$C$4:$C$1774,"Nuvei",Datos!$A$4:$A$1774,A133)</f>
        <v/>
      </c>
      <c r="D133" s="16">
        <f>B133+C133</f>
        <v/>
      </c>
      <c r="E133" s="16">
        <f>SUMIFS(Datos!$J$4:$J$1774,Datos!$C$4:$C$1774,"Nuvei",Datos!$A$4:$A$1774,A133)</f>
        <v/>
      </c>
      <c r="F133" s="27">
        <f>D133+E133</f>
        <v/>
      </c>
    </row>
    <row r="134">
      <c r="A134" s="26" t="n">
        <v>46002</v>
      </c>
      <c r="B134" s="16">
        <f>SUMIFS(Datos!$H$4:$H$1774,Datos!$C$4:$C$1774,"Nuvei",Datos!$A$4:$A$1774,A134)</f>
        <v/>
      </c>
      <c r="C134" s="16">
        <f>SUMIFS(Datos!$I$4:$I$1774,Datos!$C$4:$C$1774,"Nuvei",Datos!$A$4:$A$1774,A134)</f>
        <v/>
      </c>
      <c r="D134" s="16">
        <f>B134+C134</f>
        <v/>
      </c>
      <c r="E134" s="16">
        <f>SUMIFS(Datos!$J$4:$J$1774,Datos!$C$4:$C$1774,"Nuvei",Datos!$A$4:$A$1774,A134)</f>
        <v/>
      </c>
      <c r="F134" s="27">
        <f>D134+E134</f>
        <v/>
      </c>
    </row>
    <row r="135">
      <c r="A135" s="26" t="n">
        <v>46005</v>
      </c>
      <c r="B135" s="16">
        <f>SUMIFS(Datos!$H$4:$H$1774,Datos!$C$4:$C$1774,"Nuvei",Datos!$A$4:$A$1774,A135)</f>
        <v/>
      </c>
      <c r="C135" s="16">
        <f>SUMIFS(Datos!$I$4:$I$1774,Datos!$C$4:$C$1774,"Nuvei",Datos!$A$4:$A$1774,A135)</f>
        <v/>
      </c>
      <c r="D135" s="16">
        <f>B135+C135</f>
        <v/>
      </c>
      <c r="E135" s="16">
        <f>SUMIFS(Datos!$J$4:$J$1774,Datos!$C$4:$C$1774,"Nuvei",Datos!$A$4:$A$1774,A135)</f>
        <v/>
      </c>
      <c r="F135" s="27">
        <f>D135+E135</f>
        <v/>
      </c>
    </row>
    <row r="136">
      <c r="A136" s="26" t="n">
        <v>46006</v>
      </c>
      <c r="B136" s="16">
        <f>SUMIFS(Datos!$H$4:$H$1774,Datos!$C$4:$C$1774,"Nuvei",Datos!$A$4:$A$1774,A136)</f>
        <v/>
      </c>
      <c r="C136" s="16">
        <f>SUMIFS(Datos!$I$4:$I$1774,Datos!$C$4:$C$1774,"Nuvei",Datos!$A$4:$A$1774,A136)</f>
        <v/>
      </c>
      <c r="D136" s="16">
        <f>B136+C136</f>
        <v/>
      </c>
      <c r="E136" s="16">
        <f>SUMIFS(Datos!$J$4:$J$1774,Datos!$C$4:$C$1774,"Nuvei",Datos!$A$4:$A$1774,A136)</f>
        <v/>
      </c>
      <c r="F136" s="27">
        <f>D136+E136</f>
        <v/>
      </c>
    </row>
    <row r="137">
      <c r="A137" s="26" t="n">
        <v>46007</v>
      </c>
      <c r="B137" s="16">
        <f>SUMIFS(Datos!$H$4:$H$1774,Datos!$C$4:$C$1774,"Nuvei",Datos!$A$4:$A$1774,A137)</f>
        <v/>
      </c>
      <c r="C137" s="16">
        <f>SUMIFS(Datos!$I$4:$I$1774,Datos!$C$4:$C$1774,"Nuvei",Datos!$A$4:$A$1774,A137)</f>
        <v/>
      </c>
      <c r="D137" s="16">
        <f>B137+C137</f>
        <v/>
      </c>
      <c r="E137" s="16">
        <f>SUMIFS(Datos!$J$4:$J$1774,Datos!$C$4:$C$1774,"Nuvei",Datos!$A$4:$A$1774,A137)</f>
        <v/>
      </c>
      <c r="F137" s="27">
        <f>D137+E137</f>
        <v/>
      </c>
    </row>
    <row r="138">
      <c r="A138" s="26" t="n">
        <v>46008</v>
      </c>
      <c r="B138" s="16">
        <f>SUMIFS(Datos!$H$4:$H$1774,Datos!$C$4:$C$1774,"Nuvei",Datos!$A$4:$A$1774,A138)</f>
        <v/>
      </c>
      <c r="C138" s="16">
        <f>SUMIFS(Datos!$I$4:$I$1774,Datos!$C$4:$C$1774,"Nuvei",Datos!$A$4:$A$1774,A138)</f>
        <v/>
      </c>
      <c r="D138" s="16">
        <f>B138+C138</f>
        <v/>
      </c>
      <c r="E138" s="16">
        <f>SUMIFS(Datos!$J$4:$J$1774,Datos!$C$4:$C$1774,"Nuvei",Datos!$A$4:$A$1774,A138)</f>
        <v/>
      </c>
      <c r="F138" s="27">
        <f>D138+E138</f>
        <v/>
      </c>
    </row>
    <row r="139">
      <c r="A139" s="26" t="n">
        <v>46010</v>
      </c>
      <c r="B139" s="16">
        <f>SUMIFS(Datos!$H$4:$H$1774,Datos!$C$4:$C$1774,"Nuvei",Datos!$A$4:$A$1774,A139)</f>
        <v/>
      </c>
      <c r="C139" s="16">
        <f>SUMIFS(Datos!$I$4:$I$1774,Datos!$C$4:$C$1774,"Nuvei",Datos!$A$4:$A$1774,A139)</f>
        <v/>
      </c>
      <c r="D139" s="16">
        <f>B139+C139</f>
        <v/>
      </c>
      <c r="E139" s="16">
        <f>SUMIFS(Datos!$J$4:$J$1774,Datos!$C$4:$C$1774,"Nuvei",Datos!$A$4:$A$1774,A139)</f>
        <v/>
      </c>
      <c r="F139" s="27">
        <f>D139+E139</f>
        <v/>
      </c>
    </row>
    <row r="140">
      <c r="A140" s="26" t="n">
        <v>46011</v>
      </c>
      <c r="B140" s="16">
        <f>SUMIFS(Datos!$H$4:$H$1774,Datos!$C$4:$C$1774,"Nuvei",Datos!$A$4:$A$1774,A140)</f>
        <v/>
      </c>
      <c r="C140" s="16">
        <f>SUMIFS(Datos!$I$4:$I$1774,Datos!$C$4:$C$1774,"Nuvei",Datos!$A$4:$A$1774,A140)</f>
        <v/>
      </c>
      <c r="D140" s="16">
        <f>B140+C140</f>
        <v/>
      </c>
      <c r="E140" s="16">
        <f>SUMIFS(Datos!$J$4:$J$1774,Datos!$C$4:$C$1774,"Nuvei",Datos!$A$4:$A$1774,A140)</f>
        <v/>
      </c>
      <c r="F140" s="27">
        <f>D140+E140</f>
        <v/>
      </c>
    </row>
    <row r="141">
      <c r="A141" s="26" t="n">
        <v>46012</v>
      </c>
      <c r="B141" s="16">
        <f>SUMIFS(Datos!$H$4:$H$1774,Datos!$C$4:$C$1774,"Nuvei",Datos!$A$4:$A$1774,A141)</f>
        <v/>
      </c>
      <c r="C141" s="16">
        <f>SUMIFS(Datos!$I$4:$I$1774,Datos!$C$4:$C$1774,"Nuvei",Datos!$A$4:$A$1774,A141)</f>
        <v/>
      </c>
      <c r="D141" s="16">
        <f>B141+C141</f>
        <v/>
      </c>
      <c r="E141" s="16">
        <f>SUMIFS(Datos!$J$4:$J$1774,Datos!$C$4:$C$1774,"Nuvei",Datos!$A$4:$A$1774,A141)</f>
        <v/>
      </c>
      <c r="F141" s="27">
        <f>D141+E141</f>
        <v/>
      </c>
    </row>
    <row r="142">
      <c r="A142" s="26" t="n">
        <v>46013</v>
      </c>
      <c r="B142" s="16">
        <f>SUMIFS(Datos!$H$4:$H$1774,Datos!$C$4:$C$1774,"Nuvei",Datos!$A$4:$A$1774,A142)</f>
        <v/>
      </c>
      <c r="C142" s="16">
        <f>SUMIFS(Datos!$I$4:$I$1774,Datos!$C$4:$C$1774,"Nuvei",Datos!$A$4:$A$1774,A142)</f>
        <v/>
      </c>
      <c r="D142" s="16">
        <f>B142+C142</f>
        <v/>
      </c>
      <c r="E142" s="16">
        <f>SUMIFS(Datos!$J$4:$J$1774,Datos!$C$4:$C$1774,"Nuvei",Datos!$A$4:$A$1774,A142)</f>
        <v/>
      </c>
      <c r="F142" s="27">
        <f>D142+E142</f>
        <v/>
      </c>
    </row>
    <row r="143">
      <c r="A143" s="26" t="n">
        <v>46014</v>
      </c>
      <c r="B143" s="16">
        <f>SUMIFS(Datos!$H$4:$H$1774,Datos!$C$4:$C$1774,"Nuvei",Datos!$A$4:$A$1774,A143)</f>
        <v/>
      </c>
      <c r="C143" s="16">
        <f>SUMIFS(Datos!$I$4:$I$1774,Datos!$C$4:$C$1774,"Nuvei",Datos!$A$4:$A$1774,A143)</f>
        <v/>
      </c>
      <c r="D143" s="16">
        <f>B143+C143</f>
        <v/>
      </c>
      <c r="E143" s="16">
        <f>SUMIFS(Datos!$J$4:$J$1774,Datos!$C$4:$C$1774,"Nuvei",Datos!$A$4:$A$1774,A143)</f>
        <v/>
      </c>
      <c r="F143" s="27">
        <f>D143+E143</f>
        <v/>
      </c>
    </row>
    <row r="144">
      <c r="A144" s="26" t="n">
        <v>46015</v>
      </c>
      <c r="B144" s="16">
        <f>SUMIFS(Datos!$H$4:$H$1774,Datos!$C$4:$C$1774,"Nuvei",Datos!$A$4:$A$1774,A144)</f>
        <v/>
      </c>
      <c r="C144" s="16">
        <f>SUMIFS(Datos!$I$4:$I$1774,Datos!$C$4:$C$1774,"Nuvei",Datos!$A$4:$A$1774,A144)</f>
        <v/>
      </c>
      <c r="D144" s="16">
        <f>B144+C144</f>
        <v/>
      </c>
      <c r="E144" s="16">
        <f>SUMIFS(Datos!$J$4:$J$1774,Datos!$C$4:$C$1774,"Nuvei",Datos!$A$4:$A$1774,A144)</f>
        <v/>
      </c>
      <c r="F144" s="27">
        <f>D144+E144</f>
        <v/>
      </c>
    </row>
    <row r="145">
      <c r="A145" s="26" t="n">
        <v>46019</v>
      </c>
      <c r="B145" s="16">
        <f>SUMIFS(Datos!$H$4:$H$1774,Datos!$C$4:$C$1774,"Nuvei",Datos!$A$4:$A$1774,A145)</f>
        <v/>
      </c>
      <c r="C145" s="16">
        <f>SUMIFS(Datos!$I$4:$I$1774,Datos!$C$4:$C$1774,"Nuvei",Datos!$A$4:$A$1774,A145)</f>
        <v/>
      </c>
      <c r="D145" s="16">
        <f>B145+C145</f>
        <v/>
      </c>
      <c r="E145" s="16">
        <f>SUMIFS(Datos!$J$4:$J$1774,Datos!$C$4:$C$1774,"Nuvei",Datos!$A$4:$A$1774,A145)</f>
        <v/>
      </c>
      <c r="F145" s="27">
        <f>D145+E145</f>
        <v/>
      </c>
    </row>
    <row r="146">
      <c r="A146" s="26" t="n">
        <v>46020</v>
      </c>
      <c r="B146" s="16">
        <f>SUMIFS(Datos!$H$4:$H$1774,Datos!$C$4:$C$1774,"Nuvei",Datos!$A$4:$A$1774,A146)</f>
        <v/>
      </c>
      <c r="C146" s="16">
        <f>SUMIFS(Datos!$I$4:$I$1774,Datos!$C$4:$C$1774,"Nuvei",Datos!$A$4:$A$1774,A146)</f>
        <v/>
      </c>
      <c r="D146" s="16">
        <f>B146+C146</f>
        <v/>
      </c>
      <c r="E146" s="16">
        <f>SUMIFS(Datos!$J$4:$J$1774,Datos!$C$4:$C$1774,"Nuvei",Datos!$A$4:$A$1774,A146)</f>
        <v/>
      </c>
      <c r="F146" s="27">
        <f>D146+E146</f>
        <v/>
      </c>
    </row>
    <row r="147">
      <c r="A147" s="26" t="n">
        <v>46021</v>
      </c>
      <c r="B147" s="16">
        <f>SUMIFS(Datos!$H$4:$H$1774,Datos!$C$4:$C$1774,"Nuvei",Datos!$A$4:$A$1774,A147)</f>
        <v/>
      </c>
      <c r="C147" s="16">
        <f>SUMIFS(Datos!$I$4:$I$1774,Datos!$C$4:$C$1774,"Nuvei",Datos!$A$4:$A$1774,A147)</f>
        <v/>
      </c>
      <c r="D147" s="16">
        <f>B147+C147</f>
        <v/>
      </c>
      <c r="E147" s="16">
        <f>SUMIFS(Datos!$J$4:$J$1774,Datos!$C$4:$C$1774,"Nuvei",Datos!$A$4:$A$1774,A147)</f>
        <v/>
      </c>
      <c r="F147" s="27">
        <f>D147+E147</f>
        <v/>
      </c>
    </row>
    <row r="148">
      <c r="A148" s="26" t="n">
        <v>46023</v>
      </c>
      <c r="B148" s="16">
        <f>SUMIFS(Datos!$H$4:$H$1774,Datos!$C$4:$C$1774,"Nuvei",Datos!$A$4:$A$1774,A148)</f>
        <v/>
      </c>
      <c r="C148" s="16">
        <f>SUMIFS(Datos!$I$4:$I$1774,Datos!$C$4:$C$1774,"Nuvei",Datos!$A$4:$A$1774,A148)</f>
        <v/>
      </c>
      <c r="D148" s="16">
        <f>B148+C148</f>
        <v/>
      </c>
      <c r="E148" s="16">
        <f>SUMIFS(Datos!$J$4:$J$1774,Datos!$C$4:$C$1774,"Nuvei",Datos!$A$4:$A$1774,A148)</f>
        <v/>
      </c>
      <c r="F148" s="27">
        <f>D148+E148</f>
        <v/>
      </c>
    </row>
    <row r="149">
      <c r="A149" s="26" t="n">
        <v>46024</v>
      </c>
      <c r="B149" s="16">
        <f>SUMIFS(Datos!$H$4:$H$1774,Datos!$C$4:$C$1774,"Nuvei",Datos!$A$4:$A$1774,A149)</f>
        <v/>
      </c>
      <c r="C149" s="16">
        <f>SUMIFS(Datos!$I$4:$I$1774,Datos!$C$4:$C$1774,"Nuvei",Datos!$A$4:$A$1774,A149)</f>
        <v/>
      </c>
      <c r="D149" s="16">
        <f>B149+C149</f>
        <v/>
      </c>
      <c r="E149" s="16">
        <f>SUMIFS(Datos!$J$4:$J$1774,Datos!$C$4:$C$1774,"Nuvei",Datos!$A$4:$A$1774,A149)</f>
        <v/>
      </c>
      <c r="F149" s="27">
        <f>D149+E149</f>
        <v/>
      </c>
    </row>
    <row r="150">
      <c r="A150" s="26" t="n">
        <v>46025</v>
      </c>
      <c r="B150" s="16">
        <f>SUMIFS(Datos!$H$4:$H$1774,Datos!$C$4:$C$1774,"Nuvei",Datos!$A$4:$A$1774,A150)</f>
        <v/>
      </c>
      <c r="C150" s="16">
        <f>SUMIFS(Datos!$I$4:$I$1774,Datos!$C$4:$C$1774,"Nuvei",Datos!$A$4:$A$1774,A150)</f>
        <v/>
      </c>
      <c r="D150" s="16">
        <f>B150+C150</f>
        <v/>
      </c>
      <c r="E150" s="16">
        <f>SUMIFS(Datos!$J$4:$J$1774,Datos!$C$4:$C$1774,"Nuvei",Datos!$A$4:$A$1774,A150)</f>
        <v/>
      </c>
      <c r="F150" s="27">
        <f>D150+E150</f>
        <v/>
      </c>
    </row>
    <row r="151">
      <c r="A151" s="26" t="n">
        <v>46026</v>
      </c>
      <c r="B151" s="16">
        <f>SUMIFS(Datos!$H$4:$H$1774,Datos!$C$4:$C$1774,"Nuvei",Datos!$A$4:$A$1774,A151)</f>
        <v/>
      </c>
      <c r="C151" s="16">
        <f>SUMIFS(Datos!$I$4:$I$1774,Datos!$C$4:$C$1774,"Nuvei",Datos!$A$4:$A$1774,A151)</f>
        <v/>
      </c>
      <c r="D151" s="16">
        <f>B151+C151</f>
        <v/>
      </c>
      <c r="E151" s="16">
        <f>SUMIFS(Datos!$J$4:$J$1774,Datos!$C$4:$C$1774,"Nuvei",Datos!$A$4:$A$1774,A151)</f>
        <v/>
      </c>
      <c r="F151" s="27">
        <f>D151+E151</f>
        <v/>
      </c>
    </row>
    <row r="152">
      <c r="A152" s="26" t="n">
        <v>46027</v>
      </c>
      <c r="B152" s="16">
        <f>SUMIFS(Datos!$H$4:$H$1774,Datos!$C$4:$C$1774,"Nuvei",Datos!$A$4:$A$1774,A152)</f>
        <v/>
      </c>
      <c r="C152" s="16">
        <f>SUMIFS(Datos!$I$4:$I$1774,Datos!$C$4:$C$1774,"Nuvei",Datos!$A$4:$A$1774,A152)</f>
        <v/>
      </c>
      <c r="D152" s="16">
        <f>B152+C152</f>
        <v/>
      </c>
      <c r="E152" s="16">
        <f>SUMIFS(Datos!$J$4:$J$1774,Datos!$C$4:$C$1774,"Nuvei",Datos!$A$4:$A$1774,A152)</f>
        <v/>
      </c>
      <c r="F152" s="27">
        <f>D152+E152</f>
        <v/>
      </c>
    </row>
    <row r="153">
      <c r="A153" s="26" t="n">
        <v>46028</v>
      </c>
      <c r="B153" s="16">
        <f>SUMIFS(Datos!$H$4:$H$1774,Datos!$C$4:$C$1774,"Nuvei",Datos!$A$4:$A$1774,A153)</f>
        <v/>
      </c>
      <c r="C153" s="16">
        <f>SUMIFS(Datos!$I$4:$I$1774,Datos!$C$4:$C$1774,"Nuvei",Datos!$A$4:$A$1774,A153)</f>
        <v/>
      </c>
      <c r="D153" s="16">
        <f>B153+C153</f>
        <v/>
      </c>
      <c r="E153" s="16">
        <f>SUMIFS(Datos!$J$4:$J$1774,Datos!$C$4:$C$1774,"Nuvei",Datos!$A$4:$A$1774,A153)</f>
        <v/>
      </c>
      <c r="F153" s="27">
        <f>D153+E153</f>
        <v/>
      </c>
    </row>
    <row r="154">
      <c r="A154" s="26" t="n">
        <v>46029</v>
      </c>
      <c r="B154" s="16">
        <f>SUMIFS(Datos!$H$4:$H$1774,Datos!$C$4:$C$1774,"Nuvei",Datos!$A$4:$A$1774,A154)</f>
        <v/>
      </c>
      <c r="C154" s="16">
        <f>SUMIFS(Datos!$I$4:$I$1774,Datos!$C$4:$C$1774,"Nuvei",Datos!$A$4:$A$1774,A154)</f>
        <v/>
      </c>
      <c r="D154" s="16">
        <f>B154+C154</f>
        <v/>
      </c>
      <c r="E154" s="16">
        <f>SUMIFS(Datos!$J$4:$J$1774,Datos!$C$4:$C$1774,"Nuvei",Datos!$A$4:$A$1774,A154)</f>
        <v/>
      </c>
      <c r="F154" s="27">
        <f>D154+E154</f>
        <v/>
      </c>
    </row>
    <row r="155">
      <c r="A155" s="26" t="n">
        <v>46030</v>
      </c>
      <c r="B155" s="16">
        <f>SUMIFS(Datos!$H$4:$H$1774,Datos!$C$4:$C$1774,"Nuvei",Datos!$A$4:$A$1774,A155)</f>
        <v/>
      </c>
      <c r="C155" s="16">
        <f>SUMIFS(Datos!$I$4:$I$1774,Datos!$C$4:$C$1774,"Nuvei",Datos!$A$4:$A$1774,A155)</f>
        <v/>
      </c>
      <c r="D155" s="16">
        <f>B155+C155</f>
        <v/>
      </c>
      <c r="E155" s="16">
        <f>SUMIFS(Datos!$J$4:$J$1774,Datos!$C$4:$C$1774,"Nuvei",Datos!$A$4:$A$1774,A155)</f>
        <v/>
      </c>
      <c r="F155" s="27">
        <f>D155+E155</f>
        <v/>
      </c>
    </row>
    <row r="156">
      <c r="A156" s="26" t="n">
        <v>46031</v>
      </c>
      <c r="B156" s="16">
        <f>SUMIFS(Datos!$H$4:$H$1774,Datos!$C$4:$C$1774,"Nuvei",Datos!$A$4:$A$1774,A156)</f>
        <v/>
      </c>
      <c r="C156" s="16">
        <f>SUMIFS(Datos!$I$4:$I$1774,Datos!$C$4:$C$1774,"Nuvei",Datos!$A$4:$A$1774,A156)</f>
        <v/>
      </c>
      <c r="D156" s="16">
        <f>B156+C156</f>
        <v/>
      </c>
      <c r="E156" s="16">
        <f>SUMIFS(Datos!$J$4:$J$1774,Datos!$C$4:$C$1774,"Nuvei",Datos!$A$4:$A$1774,A156)</f>
        <v/>
      </c>
      <c r="F156" s="27">
        <f>D156+E156</f>
        <v/>
      </c>
    </row>
    <row r="157">
      <c r="A157" s="26" t="n">
        <v>46032</v>
      </c>
      <c r="B157" s="16">
        <f>SUMIFS(Datos!$H$4:$H$1774,Datos!$C$4:$C$1774,"Nuvei",Datos!$A$4:$A$1774,A157)</f>
        <v/>
      </c>
      <c r="C157" s="16">
        <f>SUMIFS(Datos!$I$4:$I$1774,Datos!$C$4:$C$1774,"Nuvei",Datos!$A$4:$A$1774,A157)</f>
        <v/>
      </c>
      <c r="D157" s="16">
        <f>B157+C157</f>
        <v/>
      </c>
      <c r="E157" s="16">
        <f>SUMIFS(Datos!$J$4:$J$1774,Datos!$C$4:$C$1774,"Nuvei",Datos!$A$4:$A$1774,A157)</f>
        <v/>
      </c>
      <c r="F157" s="27">
        <f>D157+E157</f>
        <v/>
      </c>
    </row>
    <row r="158">
      <c r="A158" s="26" t="n">
        <v>46033</v>
      </c>
      <c r="B158" s="16">
        <f>SUMIFS(Datos!$H$4:$H$1774,Datos!$C$4:$C$1774,"Nuvei",Datos!$A$4:$A$1774,A158)</f>
        <v/>
      </c>
      <c r="C158" s="16">
        <f>SUMIFS(Datos!$I$4:$I$1774,Datos!$C$4:$C$1774,"Nuvei",Datos!$A$4:$A$1774,A158)</f>
        <v/>
      </c>
      <c r="D158" s="16">
        <f>B158+C158</f>
        <v/>
      </c>
      <c r="E158" s="16">
        <f>SUMIFS(Datos!$J$4:$J$1774,Datos!$C$4:$C$1774,"Nuvei",Datos!$A$4:$A$1774,A158)</f>
        <v/>
      </c>
      <c r="F158" s="27">
        <f>D158+E158</f>
        <v/>
      </c>
    </row>
    <row r="159">
      <c r="A159" s="26" t="n">
        <v>46034</v>
      </c>
      <c r="B159" s="16">
        <f>SUMIFS(Datos!$H$4:$H$1774,Datos!$C$4:$C$1774,"Nuvei",Datos!$A$4:$A$1774,A159)</f>
        <v/>
      </c>
      <c r="C159" s="16">
        <f>SUMIFS(Datos!$I$4:$I$1774,Datos!$C$4:$C$1774,"Nuvei",Datos!$A$4:$A$1774,A159)</f>
        <v/>
      </c>
      <c r="D159" s="16">
        <f>B159+C159</f>
        <v/>
      </c>
      <c r="E159" s="16">
        <f>SUMIFS(Datos!$J$4:$J$1774,Datos!$C$4:$C$1774,"Nuvei",Datos!$A$4:$A$1774,A159)</f>
        <v/>
      </c>
      <c r="F159" s="27">
        <f>D159+E159</f>
        <v/>
      </c>
    </row>
    <row r="160">
      <c r="A160" s="26" t="n">
        <v>46035</v>
      </c>
      <c r="B160" s="16">
        <f>SUMIFS(Datos!$H$4:$H$1774,Datos!$C$4:$C$1774,"Nuvei",Datos!$A$4:$A$1774,A160)</f>
        <v/>
      </c>
      <c r="C160" s="16">
        <f>SUMIFS(Datos!$I$4:$I$1774,Datos!$C$4:$C$1774,"Nuvei",Datos!$A$4:$A$1774,A160)</f>
        <v/>
      </c>
      <c r="D160" s="16">
        <f>B160+C160</f>
        <v/>
      </c>
      <c r="E160" s="16">
        <f>SUMIFS(Datos!$J$4:$J$1774,Datos!$C$4:$C$1774,"Nuvei",Datos!$A$4:$A$1774,A160)</f>
        <v/>
      </c>
      <c r="F160" s="27">
        <f>D160+E160</f>
        <v/>
      </c>
    </row>
    <row r="161">
      <c r="A161" s="26" t="n">
        <v>46036</v>
      </c>
      <c r="B161" s="16">
        <f>SUMIFS(Datos!$H$4:$H$1774,Datos!$C$4:$C$1774,"Nuvei",Datos!$A$4:$A$1774,A161)</f>
        <v/>
      </c>
      <c r="C161" s="16">
        <f>SUMIFS(Datos!$I$4:$I$1774,Datos!$C$4:$C$1774,"Nuvei",Datos!$A$4:$A$1774,A161)</f>
        <v/>
      </c>
      <c r="D161" s="16">
        <f>B161+C161</f>
        <v/>
      </c>
      <c r="E161" s="16">
        <f>SUMIFS(Datos!$J$4:$J$1774,Datos!$C$4:$C$1774,"Nuvei",Datos!$A$4:$A$1774,A161)</f>
        <v/>
      </c>
      <c r="F161" s="27">
        <f>D161+E161</f>
        <v/>
      </c>
    </row>
    <row r="162">
      <c r="A162" s="26" t="n">
        <v>46037</v>
      </c>
      <c r="B162" s="16">
        <f>SUMIFS(Datos!$H$4:$H$1774,Datos!$C$4:$C$1774,"Nuvei",Datos!$A$4:$A$1774,A162)</f>
        <v/>
      </c>
      <c r="C162" s="16">
        <f>SUMIFS(Datos!$I$4:$I$1774,Datos!$C$4:$C$1774,"Nuvei",Datos!$A$4:$A$1774,A162)</f>
        <v/>
      </c>
      <c r="D162" s="16">
        <f>B162+C162</f>
        <v/>
      </c>
      <c r="E162" s="16">
        <f>SUMIFS(Datos!$J$4:$J$1774,Datos!$C$4:$C$1774,"Nuvei",Datos!$A$4:$A$1774,A162)</f>
        <v/>
      </c>
      <c r="F162" s="27">
        <f>D162+E162</f>
        <v/>
      </c>
    </row>
    <row r="163">
      <c r="A163" s="26" t="n">
        <v>46038</v>
      </c>
      <c r="B163" s="16">
        <f>SUMIFS(Datos!$H$4:$H$1774,Datos!$C$4:$C$1774,"Nuvei",Datos!$A$4:$A$1774,A163)</f>
        <v/>
      </c>
      <c r="C163" s="16">
        <f>SUMIFS(Datos!$I$4:$I$1774,Datos!$C$4:$C$1774,"Nuvei",Datos!$A$4:$A$1774,A163)</f>
        <v/>
      </c>
      <c r="D163" s="16">
        <f>B163+C163</f>
        <v/>
      </c>
      <c r="E163" s="16">
        <f>SUMIFS(Datos!$J$4:$J$1774,Datos!$C$4:$C$1774,"Nuvei",Datos!$A$4:$A$1774,A163)</f>
        <v/>
      </c>
      <c r="F163" s="27">
        <f>D163+E163</f>
        <v/>
      </c>
    </row>
    <row r="164">
      <c r="A164" s="26" t="n">
        <v>46039</v>
      </c>
      <c r="B164" s="16">
        <f>SUMIFS(Datos!$H$4:$H$1774,Datos!$C$4:$C$1774,"Nuvei",Datos!$A$4:$A$1774,A164)</f>
        <v/>
      </c>
      <c r="C164" s="16">
        <f>SUMIFS(Datos!$I$4:$I$1774,Datos!$C$4:$C$1774,"Nuvei",Datos!$A$4:$A$1774,A164)</f>
        <v/>
      </c>
      <c r="D164" s="16">
        <f>B164+C164</f>
        <v/>
      </c>
      <c r="E164" s="16">
        <f>SUMIFS(Datos!$J$4:$J$1774,Datos!$C$4:$C$1774,"Nuvei",Datos!$A$4:$A$1774,A164)</f>
        <v/>
      </c>
      <c r="F164" s="27">
        <f>D164+E164</f>
        <v/>
      </c>
    </row>
    <row r="165">
      <c r="A165" s="26" t="n">
        <v>46040</v>
      </c>
      <c r="B165" s="16">
        <f>SUMIFS(Datos!$H$4:$H$1774,Datos!$C$4:$C$1774,"Nuvei",Datos!$A$4:$A$1774,A165)</f>
        <v/>
      </c>
      <c r="C165" s="16">
        <f>SUMIFS(Datos!$I$4:$I$1774,Datos!$C$4:$C$1774,"Nuvei",Datos!$A$4:$A$1774,A165)</f>
        <v/>
      </c>
      <c r="D165" s="16">
        <f>B165+C165</f>
        <v/>
      </c>
      <c r="E165" s="16">
        <f>SUMIFS(Datos!$J$4:$J$1774,Datos!$C$4:$C$1774,"Nuvei",Datos!$A$4:$A$1774,A165)</f>
        <v/>
      </c>
      <c r="F165" s="27">
        <f>D165+E165</f>
        <v/>
      </c>
    </row>
    <row r="166">
      <c r="A166" s="26" t="n">
        <v>46041</v>
      </c>
      <c r="B166" s="16">
        <f>SUMIFS(Datos!$H$4:$H$1774,Datos!$C$4:$C$1774,"Nuvei",Datos!$A$4:$A$1774,A166)</f>
        <v/>
      </c>
      <c r="C166" s="16">
        <f>SUMIFS(Datos!$I$4:$I$1774,Datos!$C$4:$C$1774,"Nuvei",Datos!$A$4:$A$1774,A166)</f>
        <v/>
      </c>
      <c r="D166" s="16">
        <f>B166+C166</f>
        <v/>
      </c>
      <c r="E166" s="16">
        <f>SUMIFS(Datos!$J$4:$J$1774,Datos!$C$4:$C$1774,"Nuvei",Datos!$A$4:$A$1774,A166)</f>
        <v/>
      </c>
      <c r="F166" s="27">
        <f>D166+E166</f>
        <v/>
      </c>
    </row>
    <row r="167">
      <c r="A167" s="26" t="n">
        <v>46042</v>
      </c>
      <c r="B167" s="16">
        <f>SUMIFS(Datos!$H$4:$H$1774,Datos!$C$4:$C$1774,"Nuvei",Datos!$A$4:$A$1774,A167)</f>
        <v/>
      </c>
      <c r="C167" s="16">
        <f>SUMIFS(Datos!$I$4:$I$1774,Datos!$C$4:$C$1774,"Nuvei",Datos!$A$4:$A$1774,A167)</f>
        <v/>
      </c>
      <c r="D167" s="16">
        <f>B167+C167</f>
        <v/>
      </c>
      <c r="E167" s="16">
        <f>SUMIFS(Datos!$J$4:$J$1774,Datos!$C$4:$C$1774,"Nuvei",Datos!$A$4:$A$1774,A167)</f>
        <v/>
      </c>
      <c r="F167" s="27">
        <f>D167+E167</f>
        <v/>
      </c>
    </row>
    <row r="168">
      <c r="A168" s="26" t="n">
        <v>46043</v>
      </c>
      <c r="B168" s="16">
        <f>SUMIFS(Datos!$H$4:$H$1774,Datos!$C$4:$C$1774,"Nuvei",Datos!$A$4:$A$1774,A168)</f>
        <v/>
      </c>
      <c r="C168" s="16">
        <f>SUMIFS(Datos!$I$4:$I$1774,Datos!$C$4:$C$1774,"Nuvei",Datos!$A$4:$A$1774,A168)</f>
        <v/>
      </c>
      <c r="D168" s="16">
        <f>B168+C168</f>
        <v/>
      </c>
      <c r="E168" s="16">
        <f>SUMIFS(Datos!$J$4:$J$1774,Datos!$C$4:$C$1774,"Nuvei",Datos!$A$4:$A$1774,A168)</f>
        <v/>
      </c>
      <c r="F168" s="27">
        <f>D168+E168</f>
        <v/>
      </c>
    </row>
    <row r="169">
      <c r="A169" s="26" t="n">
        <v>46044</v>
      </c>
      <c r="B169" s="16">
        <f>SUMIFS(Datos!$H$4:$H$1774,Datos!$C$4:$C$1774,"Nuvei",Datos!$A$4:$A$1774,A169)</f>
        <v/>
      </c>
      <c r="C169" s="16">
        <f>SUMIFS(Datos!$I$4:$I$1774,Datos!$C$4:$C$1774,"Nuvei",Datos!$A$4:$A$1774,A169)</f>
        <v/>
      </c>
      <c r="D169" s="16">
        <f>B169+C169</f>
        <v/>
      </c>
      <c r="E169" s="16">
        <f>SUMIFS(Datos!$J$4:$J$1774,Datos!$C$4:$C$1774,"Nuvei",Datos!$A$4:$A$1774,A169)</f>
        <v/>
      </c>
      <c r="F169" s="27">
        <f>D169+E169</f>
        <v/>
      </c>
    </row>
    <row r="170">
      <c r="A170" s="26" t="n">
        <v>46045</v>
      </c>
      <c r="B170" s="16">
        <f>SUMIFS(Datos!$H$4:$H$1774,Datos!$C$4:$C$1774,"Nuvei",Datos!$A$4:$A$1774,A170)</f>
        <v/>
      </c>
      <c r="C170" s="16">
        <f>SUMIFS(Datos!$I$4:$I$1774,Datos!$C$4:$C$1774,"Nuvei",Datos!$A$4:$A$1774,A170)</f>
        <v/>
      </c>
      <c r="D170" s="16">
        <f>B170+C170</f>
        <v/>
      </c>
      <c r="E170" s="16">
        <f>SUMIFS(Datos!$J$4:$J$1774,Datos!$C$4:$C$1774,"Nuvei",Datos!$A$4:$A$1774,A170)</f>
        <v/>
      </c>
      <c r="F170" s="27">
        <f>D170+E170</f>
        <v/>
      </c>
    </row>
    <row r="171">
      <c r="A171" s="26" t="n">
        <v>46046</v>
      </c>
      <c r="B171" s="16">
        <f>SUMIFS(Datos!$H$4:$H$1774,Datos!$C$4:$C$1774,"Nuvei",Datos!$A$4:$A$1774,A171)</f>
        <v/>
      </c>
      <c r="C171" s="16">
        <f>SUMIFS(Datos!$I$4:$I$1774,Datos!$C$4:$C$1774,"Nuvei",Datos!$A$4:$A$1774,A171)</f>
        <v/>
      </c>
      <c r="D171" s="16">
        <f>B171+C171</f>
        <v/>
      </c>
      <c r="E171" s="16">
        <f>SUMIFS(Datos!$J$4:$J$1774,Datos!$C$4:$C$1774,"Nuvei",Datos!$A$4:$A$1774,A171)</f>
        <v/>
      </c>
      <c r="F171" s="27">
        <f>D171+E171</f>
        <v/>
      </c>
    </row>
    <row r="172">
      <c r="A172" s="26" t="n">
        <v>46047</v>
      </c>
      <c r="B172" s="16">
        <f>SUMIFS(Datos!$H$4:$H$1774,Datos!$C$4:$C$1774,"Nuvei",Datos!$A$4:$A$1774,A172)</f>
        <v/>
      </c>
      <c r="C172" s="16">
        <f>SUMIFS(Datos!$I$4:$I$1774,Datos!$C$4:$C$1774,"Nuvei",Datos!$A$4:$A$1774,A172)</f>
        <v/>
      </c>
      <c r="D172" s="16">
        <f>B172+C172</f>
        <v/>
      </c>
      <c r="E172" s="16">
        <f>SUMIFS(Datos!$J$4:$J$1774,Datos!$C$4:$C$1774,"Nuvei",Datos!$A$4:$A$1774,A172)</f>
        <v/>
      </c>
      <c r="F172" s="27">
        <f>D172+E172</f>
        <v/>
      </c>
    </row>
    <row r="173">
      <c r="A173" s="26" t="n">
        <v>46048</v>
      </c>
      <c r="B173" s="16">
        <f>SUMIFS(Datos!$H$4:$H$1774,Datos!$C$4:$C$1774,"Nuvei",Datos!$A$4:$A$1774,A173)</f>
        <v/>
      </c>
      <c r="C173" s="16">
        <f>SUMIFS(Datos!$I$4:$I$1774,Datos!$C$4:$C$1774,"Nuvei",Datos!$A$4:$A$1774,A173)</f>
        <v/>
      </c>
      <c r="D173" s="16">
        <f>B173+C173</f>
        <v/>
      </c>
      <c r="E173" s="16">
        <f>SUMIFS(Datos!$J$4:$J$1774,Datos!$C$4:$C$1774,"Nuvei",Datos!$A$4:$A$1774,A173)</f>
        <v/>
      </c>
      <c r="F173" s="27">
        <f>D173+E173</f>
        <v/>
      </c>
    </row>
    <row r="174">
      <c r="A174" s="26" t="n">
        <v>46049</v>
      </c>
      <c r="B174" s="16">
        <f>SUMIFS(Datos!$H$4:$H$1774,Datos!$C$4:$C$1774,"Nuvei",Datos!$A$4:$A$1774,A174)</f>
        <v/>
      </c>
      <c r="C174" s="16">
        <f>SUMIFS(Datos!$I$4:$I$1774,Datos!$C$4:$C$1774,"Nuvei",Datos!$A$4:$A$1774,A174)</f>
        <v/>
      </c>
      <c r="D174" s="16">
        <f>B174+C174</f>
        <v/>
      </c>
      <c r="E174" s="16">
        <f>SUMIFS(Datos!$J$4:$J$1774,Datos!$C$4:$C$1774,"Nuvei",Datos!$A$4:$A$1774,A174)</f>
        <v/>
      </c>
      <c r="F174" s="27">
        <f>D174+E174</f>
        <v/>
      </c>
    </row>
    <row r="175">
      <c r="A175" s="26" t="n">
        <v>46050</v>
      </c>
      <c r="B175" s="16">
        <f>SUMIFS(Datos!$H$4:$H$1774,Datos!$C$4:$C$1774,"Nuvei",Datos!$A$4:$A$1774,A175)</f>
        <v/>
      </c>
      <c r="C175" s="16">
        <f>SUMIFS(Datos!$I$4:$I$1774,Datos!$C$4:$C$1774,"Nuvei",Datos!$A$4:$A$1774,A175)</f>
        <v/>
      </c>
      <c r="D175" s="16">
        <f>B175+C175</f>
        <v/>
      </c>
      <c r="E175" s="16">
        <f>SUMIFS(Datos!$J$4:$J$1774,Datos!$C$4:$C$1774,"Nuvei",Datos!$A$4:$A$1774,A175)</f>
        <v/>
      </c>
      <c r="F175" s="27">
        <f>D175+E175</f>
        <v/>
      </c>
    </row>
    <row r="176">
      <c r="A176" s="26" t="n">
        <v>46051</v>
      </c>
      <c r="B176" s="16">
        <f>SUMIFS(Datos!$H$4:$H$1774,Datos!$C$4:$C$1774,"Nuvei",Datos!$A$4:$A$1774,A176)</f>
        <v/>
      </c>
      <c r="C176" s="16">
        <f>SUMIFS(Datos!$I$4:$I$1774,Datos!$C$4:$C$1774,"Nuvei",Datos!$A$4:$A$1774,A176)</f>
        <v/>
      </c>
      <c r="D176" s="16">
        <f>B176+C176</f>
        <v/>
      </c>
      <c r="E176" s="16">
        <f>SUMIFS(Datos!$J$4:$J$1774,Datos!$C$4:$C$1774,"Nuvei",Datos!$A$4:$A$1774,A176)</f>
        <v/>
      </c>
      <c r="F176" s="27">
        <f>D176+E176</f>
        <v/>
      </c>
    </row>
    <row r="177">
      <c r="A177" s="26" t="n">
        <v>46052</v>
      </c>
      <c r="B177" s="16">
        <f>SUMIFS(Datos!$H$4:$H$1774,Datos!$C$4:$C$1774,"Nuvei",Datos!$A$4:$A$1774,A177)</f>
        <v/>
      </c>
      <c r="C177" s="16">
        <f>SUMIFS(Datos!$I$4:$I$1774,Datos!$C$4:$C$1774,"Nuvei",Datos!$A$4:$A$1774,A177)</f>
        <v/>
      </c>
      <c r="D177" s="16">
        <f>B177+C177</f>
        <v/>
      </c>
      <c r="E177" s="16">
        <f>SUMIFS(Datos!$J$4:$J$1774,Datos!$C$4:$C$1774,"Nuvei",Datos!$A$4:$A$1774,A177)</f>
        <v/>
      </c>
      <c r="F177" s="27">
        <f>D177+E177</f>
        <v/>
      </c>
    </row>
    <row r="178">
      <c r="A178" s="26" t="n">
        <v>46053</v>
      </c>
      <c r="B178" s="16">
        <f>SUMIFS(Datos!$H$4:$H$1774,Datos!$C$4:$C$1774,"Nuvei",Datos!$A$4:$A$1774,A178)</f>
        <v/>
      </c>
      <c r="C178" s="16">
        <f>SUMIFS(Datos!$I$4:$I$1774,Datos!$C$4:$C$1774,"Nuvei",Datos!$A$4:$A$1774,A178)</f>
        <v/>
      </c>
      <c r="D178" s="16">
        <f>B178+C178</f>
        <v/>
      </c>
      <c r="E178" s="16">
        <f>SUMIFS(Datos!$J$4:$J$1774,Datos!$C$4:$C$1774,"Nuvei",Datos!$A$4:$A$1774,A178)</f>
        <v/>
      </c>
      <c r="F178" s="27">
        <f>D178+E178</f>
        <v/>
      </c>
    </row>
    <row r="179">
      <c r="A179" s="26" t="n">
        <v>46054</v>
      </c>
      <c r="B179" s="16">
        <f>SUMIFS(Datos!$H$4:$H$1774,Datos!$C$4:$C$1774,"Nuvei",Datos!$A$4:$A$1774,A179)</f>
        <v/>
      </c>
      <c r="C179" s="16">
        <f>SUMIFS(Datos!$I$4:$I$1774,Datos!$C$4:$C$1774,"Nuvei",Datos!$A$4:$A$1774,A179)</f>
        <v/>
      </c>
      <c r="D179" s="16">
        <f>B179+C179</f>
        <v/>
      </c>
      <c r="E179" s="16">
        <f>SUMIFS(Datos!$J$4:$J$1774,Datos!$C$4:$C$1774,"Nuvei",Datos!$A$4:$A$1774,A179)</f>
        <v/>
      </c>
      <c r="F179" s="27">
        <f>D179+E179</f>
        <v/>
      </c>
    </row>
    <row r="180">
      <c r="A180" s="26" t="n">
        <v>46055</v>
      </c>
      <c r="B180" s="16">
        <f>SUMIFS(Datos!$H$4:$H$1774,Datos!$C$4:$C$1774,"Nuvei",Datos!$A$4:$A$1774,A180)</f>
        <v/>
      </c>
      <c r="C180" s="16">
        <f>SUMIFS(Datos!$I$4:$I$1774,Datos!$C$4:$C$1774,"Nuvei",Datos!$A$4:$A$1774,A180)</f>
        <v/>
      </c>
      <c r="D180" s="16">
        <f>B180+C180</f>
        <v/>
      </c>
      <c r="E180" s="16">
        <f>SUMIFS(Datos!$J$4:$J$1774,Datos!$C$4:$C$1774,"Nuvei",Datos!$A$4:$A$1774,A180)</f>
        <v/>
      </c>
      <c r="F180" s="27">
        <f>D180+E180</f>
        <v/>
      </c>
    </row>
    <row r="181">
      <c r="A181" s="26" t="n">
        <v>46056</v>
      </c>
      <c r="B181" s="16">
        <f>SUMIFS(Datos!$H$4:$H$1774,Datos!$C$4:$C$1774,"Nuvei",Datos!$A$4:$A$1774,A181)</f>
        <v/>
      </c>
      <c r="C181" s="16">
        <f>SUMIFS(Datos!$I$4:$I$1774,Datos!$C$4:$C$1774,"Nuvei",Datos!$A$4:$A$1774,A181)</f>
        <v/>
      </c>
      <c r="D181" s="16">
        <f>B181+C181</f>
        <v/>
      </c>
      <c r="E181" s="16">
        <f>SUMIFS(Datos!$J$4:$J$1774,Datos!$C$4:$C$1774,"Nuvei",Datos!$A$4:$A$1774,A181)</f>
        <v/>
      </c>
      <c r="F181" s="27">
        <f>D181+E181</f>
        <v/>
      </c>
    </row>
    <row r="182">
      <c r="A182" s="26" t="n">
        <v>46057</v>
      </c>
      <c r="B182" s="16">
        <f>SUMIFS(Datos!$H$4:$H$1774,Datos!$C$4:$C$1774,"Nuvei",Datos!$A$4:$A$1774,A182)</f>
        <v/>
      </c>
      <c r="C182" s="16">
        <f>SUMIFS(Datos!$I$4:$I$1774,Datos!$C$4:$C$1774,"Nuvei",Datos!$A$4:$A$1774,A182)</f>
        <v/>
      </c>
      <c r="D182" s="16">
        <f>B182+C182</f>
        <v/>
      </c>
      <c r="E182" s="16">
        <f>SUMIFS(Datos!$J$4:$J$1774,Datos!$C$4:$C$1774,"Nuvei",Datos!$A$4:$A$1774,A182)</f>
        <v/>
      </c>
      <c r="F182" s="27">
        <f>D182+E182</f>
        <v/>
      </c>
    </row>
    <row r="183">
      <c r="A183" s="26" t="n">
        <v>46058</v>
      </c>
      <c r="B183" s="16">
        <f>SUMIFS(Datos!$H$4:$H$1774,Datos!$C$4:$C$1774,"Nuvei",Datos!$A$4:$A$1774,A183)</f>
        <v/>
      </c>
      <c r="C183" s="16">
        <f>SUMIFS(Datos!$I$4:$I$1774,Datos!$C$4:$C$1774,"Nuvei",Datos!$A$4:$A$1774,A183)</f>
        <v/>
      </c>
      <c r="D183" s="16">
        <f>B183+C183</f>
        <v/>
      </c>
      <c r="E183" s="16">
        <f>SUMIFS(Datos!$J$4:$J$1774,Datos!$C$4:$C$1774,"Nuvei",Datos!$A$4:$A$1774,A183)</f>
        <v/>
      </c>
      <c r="F183" s="27">
        <f>D183+E183</f>
        <v/>
      </c>
    </row>
    <row r="184">
      <c r="A184" s="26" t="n">
        <v>46059</v>
      </c>
      <c r="B184" s="16">
        <f>SUMIFS(Datos!$H$4:$H$1774,Datos!$C$4:$C$1774,"Nuvei",Datos!$A$4:$A$1774,A184)</f>
        <v/>
      </c>
      <c r="C184" s="16">
        <f>SUMIFS(Datos!$I$4:$I$1774,Datos!$C$4:$C$1774,"Nuvei",Datos!$A$4:$A$1774,A184)</f>
        <v/>
      </c>
      <c r="D184" s="16">
        <f>B184+C184</f>
        <v/>
      </c>
      <c r="E184" s="16">
        <f>SUMIFS(Datos!$J$4:$J$1774,Datos!$C$4:$C$1774,"Nuvei",Datos!$A$4:$A$1774,A184)</f>
        <v/>
      </c>
      <c r="F184" s="27">
        <f>D184+E184</f>
        <v/>
      </c>
    </row>
    <row r="185">
      <c r="A185" s="26" t="n">
        <v>46060</v>
      </c>
      <c r="B185" s="16">
        <f>SUMIFS(Datos!$H$4:$H$1774,Datos!$C$4:$C$1774,"Nuvei",Datos!$A$4:$A$1774,A185)</f>
        <v/>
      </c>
      <c r="C185" s="16">
        <f>SUMIFS(Datos!$I$4:$I$1774,Datos!$C$4:$C$1774,"Nuvei",Datos!$A$4:$A$1774,A185)</f>
        <v/>
      </c>
      <c r="D185" s="16">
        <f>B185+C185</f>
        <v/>
      </c>
      <c r="E185" s="16">
        <f>SUMIFS(Datos!$J$4:$J$1774,Datos!$C$4:$C$1774,"Nuvei",Datos!$A$4:$A$1774,A185)</f>
        <v/>
      </c>
      <c r="F185" s="27">
        <f>D185+E185</f>
        <v/>
      </c>
    </row>
    <row r="186">
      <c r="A186" s="26" t="n">
        <v>46061</v>
      </c>
      <c r="B186" s="16">
        <f>SUMIFS(Datos!$H$4:$H$1774,Datos!$C$4:$C$1774,"Nuvei",Datos!$A$4:$A$1774,A186)</f>
        <v/>
      </c>
      <c r="C186" s="16">
        <f>SUMIFS(Datos!$I$4:$I$1774,Datos!$C$4:$C$1774,"Nuvei",Datos!$A$4:$A$1774,A186)</f>
        <v/>
      </c>
      <c r="D186" s="16">
        <f>B186+C186</f>
        <v/>
      </c>
      <c r="E186" s="16">
        <f>SUMIFS(Datos!$J$4:$J$1774,Datos!$C$4:$C$1774,"Nuvei",Datos!$A$4:$A$1774,A186)</f>
        <v/>
      </c>
      <c r="F186" s="27">
        <f>D186+E186</f>
        <v/>
      </c>
    </row>
    <row r="187">
      <c r="A187" s="26" t="n">
        <v>46062</v>
      </c>
      <c r="B187" s="16">
        <f>SUMIFS(Datos!$H$4:$H$1774,Datos!$C$4:$C$1774,"Nuvei",Datos!$A$4:$A$1774,A187)</f>
        <v/>
      </c>
      <c r="C187" s="16">
        <f>SUMIFS(Datos!$I$4:$I$1774,Datos!$C$4:$C$1774,"Nuvei",Datos!$A$4:$A$1774,A187)</f>
        <v/>
      </c>
      <c r="D187" s="16">
        <f>B187+C187</f>
        <v/>
      </c>
      <c r="E187" s="16">
        <f>SUMIFS(Datos!$J$4:$J$1774,Datos!$C$4:$C$1774,"Nuvei",Datos!$A$4:$A$1774,A187)</f>
        <v/>
      </c>
      <c r="F187" s="27">
        <f>D187+E187</f>
        <v/>
      </c>
    </row>
    <row r="188">
      <c r="A188" s="26" t="n">
        <v>46063</v>
      </c>
      <c r="B188" s="16">
        <f>SUMIFS(Datos!$H$4:$H$1774,Datos!$C$4:$C$1774,"Nuvei",Datos!$A$4:$A$1774,A188)</f>
        <v/>
      </c>
      <c r="C188" s="16">
        <f>SUMIFS(Datos!$I$4:$I$1774,Datos!$C$4:$C$1774,"Nuvei",Datos!$A$4:$A$1774,A188)</f>
        <v/>
      </c>
      <c r="D188" s="16">
        <f>B188+C188</f>
        <v/>
      </c>
      <c r="E188" s="16">
        <f>SUMIFS(Datos!$J$4:$J$1774,Datos!$C$4:$C$1774,"Nuvei",Datos!$A$4:$A$1774,A188)</f>
        <v/>
      </c>
      <c r="F188" s="27">
        <f>D188+E188</f>
        <v/>
      </c>
    </row>
    <row r="189">
      <c r="A189" s="26" t="n">
        <v>46064</v>
      </c>
      <c r="B189" s="16">
        <f>SUMIFS(Datos!$H$4:$H$1774,Datos!$C$4:$C$1774,"Nuvei",Datos!$A$4:$A$1774,A189)</f>
        <v/>
      </c>
      <c r="C189" s="16">
        <f>SUMIFS(Datos!$I$4:$I$1774,Datos!$C$4:$C$1774,"Nuvei",Datos!$A$4:$A$1774,A189)</f>
        <v/>
      </c>
      <c r="D189" s="16">
        <f>B189+C189</f>
        <v/>
      </c>
      <c r="E189" s="16">
        <f>SUMIFS(Datos!$J$4:$J$1774,Datos!$C$4:$C$1774,"Nuvei",Datos!$A$4:$A$1774,A189)</f>
        <v/>
      </c>
      <c r="F189" s="27">
        <f>D189+E189</f>
        <v/>
      </c>
    </row>
    <row r="190">
      <c r="A190" s="26" t="n">
        <v>46065</v>
      </c>
      <c r="B190" s="16">
        <f>SUMIFS(Datos!$H$4:$H$1774,Datos!$C$4:$C$1774,"Nuvei",Datos!$A$4:$A$1774,A190)</f>
        <v/>
      </c>
      <c r="C190" s="16">
        <f>SUMIFS(Datos!$I$4:$I$1774,Datos!$C$4:$C$1774,"Nuvei",Datos!$A$4:$A$1774,A190)</f>
        <v/>
      </c>
      <c r="D190" s="16">
        <f>B190+C190</f>
        <v/>
      </c>
      <c r="E190" s="16">
        <f>SUMIFS(Datos!$J$4:$J$1774,Datos!$C$4:$C$1774,"Nuvei",Datos!$A$4:$A$1774,A190)</f>
        <v/>
      </c>
      <c r="F190" s="27">
        <f>D190+E190</f>
        <v/>
      </c>
    </row>
    <row r="191">
      <c r="A191" s="26" t="n">
        <v>46066</v>
      </c>
      <c r="B191" s="16">
        <f>SUMIFS(Datos!$H$4:$H$1774,Datos!$C$4:$C$1774,"Nuvei",Datos!$A$4:$A$1774,A191)</f>
        <v/>
      </c>
      <c r="C191" s="16">
        <f>SUMIFS(Datos!$I$4:$I$1774,Datos!$C$4:$C$1774,"Nuvei",Datos!$A$4:$A$1774,A191)</f>
        <v/>
      </c>
      <c r="D191" s="16">
        <f>B191+C191</f>
        <v/>
      </c>
      <c r="E191" s="16">
        <f>SUMIFS(Datos!$J$4:$J$1774,Datos!$C$4:$C$1774,"Nuvei",Datos!$A$4:$A$1774,A191)</f>
        <v/>
      </c>
      <c r="F191" s="27">
        <f>D191+E191</f>
        <v/>
      </c>
    </row>
    <row r="192">
      <c r="A192" s="26" t="n">
        <v>46067</v>
      </c>
      <c r="B192" s="16">
        <f>SUMIFS(Datos!$H$4:$H$1774,Datos!$C$4:$C$1774,"Nuvei",Datos!$A$4:$A$1774,A192)</f>
        <v/>
      </c>
      <c r="C192" s="16">
        <f>SUMIFS(Datos!$I$4:$I$1774,Datos!$C$4:$C$1774,"Nuvei",Datos!$A$4:$A$1774,A192)</f>
        <v/>
      </c>
      <c r="D192" s="16">
        <f>B192+C192</f>
        <v/>
      </c>
      <c r="E192" s="16">
        <f>SUMIFS(Datos!$J$4:$J$1774,Datos!$C$4:$C$1774,"Nuvei",Datos!$A$4:$A$1774,A192)</f>
        <v/>
      </c>
      <c r="F192" s="27">
        <f>D192+E192</f>
        <v/>
      </c>
    </row>
    <row r="193">
      <c r="A193" s="26" t="n">
        <v>46068</v>
      </c>
      <c r="B193" s="16">
        <f>SUMIFS(Datos!$H$4:$H$1774,Datos!$C$4:$C$1774,"Nuvei",Datos!$A$4:$A$1774,A193)</f>
        <v/>
      </c>
      <c r="C193" s="16">
        <f>SUMIFS(Datos!$I$4:$I$1774,Datos!$C$4:$C$1774,"Nuvei",Datos!$A$4:$A$1774,A193)</f>
        <v/>
      </c>
      <c r="D193" s="16">
        <f>B193+C193</f>
        <v/>
      </c>
      <c r="E193" s="16">
        <f>SUMIFS(Datos!$J$4:$J$1774,Datos!$C$4:$C$1774,"Nuvei",Datos!$A$4:$A$1774,A193)</f>
        <v/>
      </c>
      <c r="F193" s="27">
        <f>D193+E193</f>
        <v/>
      </c>
    </row>
    <row r="194">
      <c r="A194" s="26" t="n">
        <v>46069</v>
      </c>
      <c r="B194" s="16">
        <f>SUMIFS(Datos!$H$4:$H$1774,Datos!$C$4:$C$1774,"Nuvei",Datos!$A$4:$A$1774,A194)</f>
        <v/>
      </c>
      <c r="C194" s="16">
        <f>SUMIFS(Datos!$I$4:$I$1774,Datos!$C$4:$C$1774,"Nuvei",Datos!$A$4:$A$1774,A194)</f>
        <v/>
      </c>
      <c r="D194" s="16">
        <f>B194+C194</f>
        <v/>
      </c>
      <c r="E194" s="16">
        <f>SUMIFS(Datos!$J$4:$J$1774,Datos!$C$4:$C$1774,"Nuvei",Datos!$A$4:$A$1774,A194)</f>
        <v/>
      </c>
      <c r="F194" s="27">
        <f>D194+E194</f>
        <v/>
      </c>
    </row>
    <row r="195">
      <c r="A195" s="26" t="n">
        <v>46070</v>
      </c>
      <c r="B195" s="16">
        <f>SUMIFS(Datos!$H$4:$H$1774,Datos!$C$4:$C$1774,"Nuvei",Datos!$A$4:$A$1774,A195)</f>
        <v/>
      </c>
      <c r="C195" s="16">
        <f>SUMIFS(Datos!$I$4:$I$1774,Datos!$C$4:$C$1774,"Nuvei",Datos!$A$4:$A$1774,A195)</f>
        <v/>
      </c>
      <c r="D195" s="16">
        <f>B195+C195</f>
        <v/>
      </c>
      <c r="E195" s="16">
        <f>SUMIFS(Datos!$J$4:$J$1774,Datos!$C$4:$C$1774,"Nuvei",Datos!$A$4:$A$1774,A195)</f>
        <v/>
      </c>
      <c r="F195" s="27">
        <f>D195+E195</f>
        <v/>
      </c>
    </row>
    <row r="196">
      <c r="A196" s="26" t="n">
        <v>46071</v>
      </c>
      <c r="B196" s="16">
        <f>SUMIFS(Datos!$H$4:$H$1774,Datos!$C$4:$C$1774,"Nuvei",Datos!$A$4:$A$1774,A196)</f>
        <v/>
      </c>
      <c r="C196" s="16">
        <f>SUMIFS(Datos!$I$4:$I$1774,Datos!$C$4:$C$1774,"Nuvei",Datos!$A$4:$A$1774,A196)</f>
        <v/>
      </c>
      <c r="D196" s="16">
        <f>B196+C196</f>
        <v/>
      </c>
      <c r="E196" s="16">
        <f>SUMIFS(Datos!$J$4:$J$1774,Datos!$C$4:$C$1774,"Nuvei",Datos!$A$4:$A$1774,A196)</f>
        <v/>
      </c>
      <c r="F196" s="27">
        <f>D196+E196</f>
        <v/>
      </c>
    </row>
    <row r="197">
      <c r="A197" s="26" t="n">
        <v>46072</v>
      </c>
      <c r="B197" s="16">
        <f>SUMIFS(Datos!$H$4:$H$1774,Datos!$C$4:$C$1774,"Nuvei",Datos!$A$4:$A$1774,A197)</f>
        <v/>
      </c>
      <c r="C197" s="16">
        <f>SUMIFS(Datos!$I$4:$I$1774,Datos!$C$4:$C$1774,"Nuvei",Datos!$A$4:$A$1774,A197)</f>
        <v/>
      </c>
      <c r="D197" s="16">
        <f>B197+C197</f>
        <v/>
      </c>
      <c r="E197" s="16">
        <f>SUMIFS(Datos!$J$4:$J$1774,Datos!$C$4:$C$1774,"Nuvei",Datos!$A$4:$A$1774,A197)</f>
        <v/>
      </c>
      <c r="F197" s="27">
        <f>D197+E197</f>
        <v/>
      </c>
    </row>
    <row r="198">
      <c r="A198" s="26" t="n">
        <v>46073</v>
      </c>
      <c r="B198" s="16">
        <f>SUMIFS(Datos!$H$4:$H$1774,Datos!$C$4:$C$1774,"Nuvei",Datos!$A$4:$A$1774,A198)</f>
        <v/>
      </c>
      <c r="C198" s="16">
        <f>SUMIFS(Datos!$I$4:$I$1774,Datos!$C$4:$C$1774,"Nuvei",Datos!$A$4:$A$1774,A198)</f>
        <v/>
      </c>
      <c r="D198" s="16">
        <f>B198+C198</f>
        <v/>
      </c>
      <c r="E198" s="16">
        <f>SUMIFS(Datos!$J$4:$J$1774,Datos!$C$4:$C$1774,"Nuvei",Datos!$A$4:$A$1774,A198)</f>
        <v/>
      </c>
      <c r="F198" s="27">
        <f>D198+E198</f>
        <v/>
      </c>
    </row>
    <row r="199">
      <c r="A199" s="26" t="n">
        <v>46074</v>
      </c>
      <c r="B199" s="16">
        <f>SUMIFS(Datos!$H$4:$H$1774,Datos!$C$4:$C$1774,"Nuvei",Datos!$A$4:$A$1774,A199)</f>
        <v/>
      </c>
      <c r="C199" s="16">
        <f>SUMIFS(Datos!$I$4:$I$1774,Datos!$C$4:$C$1774,"Nuvei",Datos!$A$4:$A$1774,A199)</f>
        <v/>
      </c>
      <c r="D199" s="16">
        <f>B199+C199</f>
        <v/>
      </c>
      <c r="E199" s="16">
        <f>SUMIFS(Datos!$J$4:$J$1774,Datos!$C$4:$C$1774,"Nuvei",Datos!$A$4:$A$1774,A199)</f>
        <v/>
      </c>
      <c r="F199" s="27">
        <f>D199+E199</f>
        <v/>
      </c>
    </row>
    <row r="200">
      <c r="A200" s="26" t="n">
        <v>46075</v>
      </c>
      <c r="B200" s="16">
        <f>SUMIFS(Datos!$H$4:$H$1774,Datos!$C$4:$C$1774,"Nuvei",Datos!$A$4:$A$1774,A200)</f>
        <v/>
      </c>
      <c r="C200" s="16">
        <f>SUMIFS(Datos!$I$4:$I$1774,Datos!$C$4:$C$1774,"Nuvei",Datos!$A$4:$A$1774,A200)</f>
        <v/>
      </c>
      <c r="D200" s="16">
        <f>B200+C200</f>
        <v/>
      </c>
      <c r="E200" s="16">
        <f>SUMIFS(Datos!$J$4:$J$1774,Datos!$C$4:$C$1774,"Nuvei",Datos!$A$4:$A$1774,A200)</f>
        <v/>
      </c>
      <c r="F200" s="27">
        <f>D200+E200</f>
        <v/>
      </c>
    </row>
    <row r="201">
      <c r="A201" s="26" t="n">
        <v>46076</v>
      </c>
      <c r="B201" s="16">
        <f>SUMIFS(Datos!$H$4:$H$1774,Datos!$C$4:$C$1774,"Nuvei",Datos!$A$4:$A$1774,A201)</f>
        <v/>
      </c>
      <c r="C201" s="16">
        <f>SUMIFS(Datos!$I$4:$I$1774,Datos!$C$4:$C$1774,"Nuvei",Datos!$A$4:$A$1774,A201)</f>
        <v/>
      </c>
      <c r="D201" s="16">
        <f>B201+C201</f>
        <v/>
      </c>
      <c r="E201" s="16">
        <f>SUMIFS(Datos!$J$4:$J$1774,Datos!$C$4:$C$1774,"Nuvei",Datos!$A$4:$A$1774,A201)</f>
        <v/>
      </c>
      <c r="F201" s="27">
        <f>D201+E201</f>
        <v/>
      </c>
    </row>
    <row r="202">
      <c r="A202" s="26" t="n">
        <v>46077</v>
      </c>
      <c r="B202" s="16">
        <f>SUMIFS(Datos!$H$4:$H$1774,Datos!$C$4:$C$1774,"Nuvei",Datos!$A$4:$A$1774,A202)</f>
        <v/>
      </c>
      <c r="C202" s="16">
        <f>SUMIFS(Datos!$I$4:$I$1774,Datos!$C$4:$C$1774,"Nuvei",Datos!$A$4:$A$1774,A202)</f>
        <v/>
      </c>
      <c r="D202" s="16">
        <f>B202+C202</f>
        <v/>
      </c>
      <c r="E202" s="16">
        <f>SUMIFS(Datos!$J$4:$J$1774,Datos!$C$4:$C$1774,"Nuvei",Datos!$A$4:$A$1774,A202)</f>
        <v/>
      </c>
      <c r="F202" s="27">
        <f>D202+E202</f>
        <v/>
      </c>
    </row>
    <row r="203">
      <c r="A203" s="26" t="n">
        <v>46078</v>
      </c>
      <c r="B203" s="16">
        <f>SUMIFS(Datos!$H$4:$H$1774,Datos!$C$4:$C$1774,"Nuvei",Datos!$A$4:$A$1774,A203)</f>
        <v/>
      </c>
      <c r="C203" s="16">
        <f>SUMIFS(Datos!$I$4:$I$1774,Datos!$C$4:$C$1774,"Nuvei",Datos!$A$4:$A$1774,A203)</f>
        <v/>
      </c>
      <c r="D203" s="16">
        <f>B203+C203</f>
        <v/>
      </c>
      <c r="E203" s="16">
        <f>SUMIFS(Datos!$J$4:$J$1774,Datos!$C$4:$C$1774,"Nuvei",Datos!$A$4:$A$1774,A203)</f>
        <v/>
      </c>
      <c r="F203" s="27">
        <f>D203+E203</f>
        <v/>
      </c>
    </row>
    <row r="204">
      <c r="A204" s="26" t="n">
        <v>46079</v>
      </c>
      <c r="B204" s="16">
        <f>SUMIFS(Datos!$H$4:$H$1774,Datos!$C$4:$C$1774,"Nuvei",Datos!$A$4:$A$1774,A204)</f>
        <v/>
      </c>
      <c r="C204" s="16">
        <f>SUMIFS(Datos!$I$4:$I$1774,Datos!$C$4:$C$1774,"Nuvei",Datos!$A$4:$A$1774,A204)</f>
        <v/>
      </c>
      <c r="D204" s="16">
        <f>B204+C204</f>
        <v/>
      </c>
      <c r="E204" s="16">
        <f>SUMIFS(Datos!$J$4:$J$1774,Datos!$C$4:$C$1774,"Nuvei",Datos!$A$4:$A$1774,A204)</f>
        <v/>
      </c>
      <c r="F204" s="27">
        <f>D204+E204</f>
        <v/>
      </c>
    </row>
    <row r="205">
      <c r="A205" s="26" t="n">
        <v>46080</v>
      </c>
      <c r="B205" s="16">
        <f>SUMIFS(Datos!$H$4:$H$1774,Datos!$C$4:$C$1774,"Nuvei",Datos!$A$4:$A$1774,A205)</f>
        <v/>
      </c>
      <c r="C205" s="16">
        <f>SUMIFS(Datos!$I$4:$I$1774,Datos!$C$4:$C$1774,"Nuvei",Datos!$A$4:$A$1774,A205)</f>
        <v/>
      </c>
      <c r="D205" s="16">
        <f>B205+C205</f>
        <v/>
      </c>
      <c r="E205" s="16">
        <f>SUMIFS(Datos!$J$4:$J$1774,Datos!$C$4:$C$1774,"Nuvei",Datos!$A$4:$A$1774,A205)</f>
        <v/>
      </c>
      <c r="F205" s="27">
        <f>D205+E205</f>
        <v/>
      </c>
    </row>
    <row r="206">
      <c r="A206" s="26" t="n">
        <v>46081</v>
      </c>
      <c r="B206" s="16">
        <f>SUMIFS(Datos!$H$4:$H$1774,Datos!$C$4:$C$1774,"Nuvei",Datos!$A$4:$A$1774,A206)</f>
        <v/>
      </c>
      <c r="C206" s="16">
        <f>SUMIFS(Datos!$I$4:$I$1774,Datos!$C$4:$C$1774,"Nuvei",Datos!$A$4:$A$1774,A206)</f>
        <v/>
      </c>
      <c r="D206" s="16">
        <f>B206+C206</f>
        <v/>
      </c>
      <c r="E206" s="16">
        <f>SUMIFS(Datos!$J$4:$J$1774,Datos!$C$4:$C$1774,"Nuvei",Datos!$A$4:$A$1774,A206)</f>
        <v/>
      </c>
      <c r="F206" s="27">
        <f>D206+E206</f>
        <v/>
      </c>
    </row>
    <row r="207">
      <c r="A207" s="26" t="n">
        <v>46082</v>
      </c>
      <c r="B207" s="16">
        <f>SUMIFS(Datos!$H$4:$H$1774,Datos!$C$4:$C$1774,"Nuvei",Datos!$A$4:$A$1774,A207)</f>
        <v/>
      </c>
      <c r="C207" s="16">
        <f>SUMIFS(Datos!$I$4:$I$1774,Datos!$C$4:$C$1774,"Nuvei",Datos!$A$4:$A$1774,A207)</f>
        <v/>
      </c>
      <c r="D207" s="16">
        <f>B207+C207</f>
        <v/>
      </c>
      <c r="E207" s="16">
        <f>SUMIFS(Datos!$J$4:$J$1774,Datos!$C$4:$C$1774,"Nuvei",Datos!$A$4:$A$1774,A207)</f>
        <v/>
      </c>
      <c r="F207" s="27">
        <f>D207+E207</f>
        <v/>
      </c>
    </row>
    <row r="208">
      <c r="A208" s="26" t="n">
        <v>46083</v>
      </c>
      <c r="B208" s="16">
        <f>SUMIFS(Datos!$H$4:$H$1774,Datos!$C$4:$C$1774,"Nuvei",Datos!$A$4:$A$1774,A208)</f>
        <v/>
      </c>
      <c r="C208" s="16">
        <f>SUMIFS(Datos!$I$4:$I$1774,Datos!$C$4:$C$1774,"Nuvei",Datos!$A$4:$A$1774,A208)</f>
        <v/>
      </c>
      <c r="D208" s="16">
        <f>B208+C208</f>
        <v/>
      </c>
      <c r="E208" s="16">
        <f>SUMIFS(Datos!$J$4:$J$1774,Datos!$C$4:$C$1774,"Nuvei",Datos!$A$4:$A$1774,A208)</f>
        <v/>
      </c>
      <c r="F208" s="27">
        <f>D208+E208</f>
        <v/>
      </c>
    </row>
    <row r="209">
      <c r="A209" s="26" t="n">
        <v>46084</v>
      </c>
      <c r="B209" s="16">
        <f>SUMIFS(Datos!$H$4:$H$1774,Datos!$C$4:$C$1774,"Nuvei",Datos!$A$4:$A$1774,A209)</f>
        <v/>
      </c>
      <c r="C209" s="16">
        <f>SUMIFS(Datos!$I$4:$I$1774,Datos!$C$4:$C$1774,"Nuvei",Datos!$A$4:$A$1774,A209)</f>
        <v/>
      </c>
      <c r="D209" s="16">
        <f>B209+C209</f>
        <v/>
      </c>
      <c r="E209" s="16">
        <f>SUMIFS(Datos!$J$4:$J$1774,Datos!$C$4:$C$1774,"Nuvei",Datos!$A$4:$A$1774,A209)</f>
        <v/>
      </c>
      <c r="F209" s="27">
        <f>D209+E209</f>
        <v/>
      </c>
    </row>
    <row r="210">
      <c r="A210" s="26" t="n">
        <v>46085</v>
      </c>
      <c r="B210" s="16">
        <f>SUMIFS(Datos!$H$4:$H$1774,Datos!$C$4:$C$1774,"Nuvei",Datos!$A$4:$A$1774,A210)</f>
        <v/>
      </c>
      <c r="C210" s="16">
        <f>SUMIFS(Datos!$I$4:$I$1774,Datos!$C$4:$C$1774,"Nuvei",Datos!$A$4:$A$1774,A210)</f>
        <v/>
      </c>
      <c r="D210" s="16">
        <f>B210+C210</f>
        <v/>
      </c>
      <c r="E210" s="16">
        <f>SUMIFS(Datos!$J$4:$J$1774,Datos!$C$4:$C$1774,"Nuvei",Datos!$A$4:$A$1774,A210)</f>
        <v/>
      </c>
      <c r="F210" s="27">
        <f>D210+E210</f>
        <v/>
      </c>
    </row>
    <row r="211">
      <c r="A211" s="26" t="n">
        <v>46086</v>
      </c>
      <c r="B211" s="16">
        <f>SUMIFS(Datos!$H$4:$H$1774,Datos!$C$4:$C$1774,"Nuvei",Datos!$A$4:$A$1774,A211)</f>
        <v/>
      </c>
      <c r="C211" s="16">
        <f>SUMIFS(Datos!$I$4:$I$1774,Datos!$C$4:$C$1774,"Nuvei",Datos!$A$4:$A$1774,A211)</f>
        <v/>
      </c>
      <c r="D211" s="16">
        <f>B211+C211</f>
        <v/>
      </c>
      <c r="E211" s="16">
        <f>SUMIFS(Datos!$J$4:$J$1774,Datos!$C$4:$C$1774,"Nuvei",Datos!$A$4:$A$1774,A211)</f>
        <v/>
      </c>
      <c r="F211" s="27">
        <f>D211+E211</f>
        <v/>
      </c>
    </row>
    <row r="212">
      <c r="A212" s="26" t="n">
        <v>46087</v>
      </c>
      <c r="B212" s="16">
        <f>SUMIFS(Datos!$H$4:$H$1774,Datos!$C$4:$C$1774,"Nuvei",Datos!$A$4:$A$1774,A212)</f>
        <v/>
      </c>
      <c r="C212" s="16">
        <f>SUMIFS(Datos!$I$4:$I$1774,Datos!$C$4:$C$1774,"Nuvei",Datos!$A$4:$A$1774,A212)</f>
        <v/>
      </c>
      <c r="D212" s="16">
        <f>B212+C212</f>
        <v/>
      </c>
      <c r="E212" s="16">
        <f>SUMIFS(Datos!$J$4:$J$1774,Datos!$C$4:$C$1774,"Nuvei",Datos!$A$4:$A$1774,A212)</f>
        <v/>
      </c>
      <c r="F212" s="27">
        <f>D212+E212</f>
        <v/>
      </c>
    </row>
    <row r="213">
      <c r="A213" s="26" t="n">
        <v>46088</v>
      </c>
      <c r="B213" s="16">
        <f>SUMIFS(Datos!$H$4:$H$1774,Datos!$C$4:$C$1774,"Nuvei",Datos!$A$4:$A$1774,A213)</f>
        <v/>
      </c>
      <c r="C213" s="16">
        <f>SUMIFS(Datos!$I$4:$I$1774,Datos!$C$4:$C$1774,"Nuvei",Datos!$A$4:$A$1774,A213)</f>
        <v/>
      </c>
      <c r="D213" s="16">
        <f>B213+C213</f>
        <v/>
      </c>
      <c r="E213" s="16">
        <f>SUMIFS(Datos!$J$4:$J$1774,Datos!$C$4:$C$1774,"Nuvei",Datos!$A$4:$A$1774,A213)</f>
        <v/>
      </c>
      <c r="F213" s="27">
        <f>D213+E213</f>
        <v/>
      </c>
    </row>
    <row r="214">
      <c r="A214" s="26" t="n">
        <v>46089</v>
      </c>
      <c r="B214" s="16">
        <f>SUMIFS(Datos!$H$4:$H$1774,Datos!$C$4:$C$1774,"Nuvei",Datos!$A$4:$A$1774,A214)</f>
        <v/>
      </c>
      <c r="C214" s="16">
        <f>SUMIFS(Datos!$I$4:$I$1774,Datos!$C$4:$C$1774,"Nuvei",Datos!$A$4:$A$1774,A214)</f>
        <v/>
      </c>
      <c r="D214" s="16">
        <f>B214+C214</f>
        <v/>
      </c>
      <c r="E214" s="16">
        <f>SUMIFS(Datos!$J$4:$J$1774,Datos!$C$4:$C$1774,"Nuvei",Datos!$A$4:$A$1774,A214)</f>
        <v/>
      </c>
      <c r="F214" s="27">
        <f>D214+E214</f>
        <v/>
      </c>
    </row>
    <row r="215">
      <c r="A215" s="26" t="n">
        <v>46090</v>
      </c>
      <c r="B215" s="16">
        <f>SUMIFS(Datos!$H$4:$H$1774,Datos!$C$4:$C$1774,"Nuvei",Datos!$A$4:$A$1774,A215)</f>
        <v/>
      </c>
      <c r="C215" s="16">
        <f>SUMIFS(Datos!$I$4:$I$1774,Datos!$C$4:$C$1774,"Nuvei",Datos!$A$4:$A$1774,A215)</f>
        <v/>
      </c>
      <c r="D215" s="16">
        <f>B215+C215</f>
        <v/>
      </c>
      <c r="E215" s="16">
        <f>SUMIFS(Datos!$J$4:$J$1774,Datos!$C$4:$C$1774,"Nuvei",Datos!$A$4:$A$1774,A215)</f>
        <v/>
      </c>
      <c r="F215" s="27">
        <f>D215+E215</f>
        <v/>
      </c>
    </row>
    <row r="216">
      <c r="A216" s="26" t="n">
        <v>46091</v>
      </c>
      <c r="B216" s="16">
        <f>SUMIFS(Datos!$H$4:$H$1774,Datos!$C$4:$C$1774,"Nuvei",Datos!$A$4:$A$1774,A216)</f>
        <v/>
      </c>
      <c r="C216" s="16">
        <f>SUMIFS(Datos!$I$4:$I$1774,Datos!$C$4:$C$1774,"Nuvei",Datos!$A$4:$A$1774,A216)</f>
        <v/>
      </c>
      <c r="D216" s="16">
        <f>B216+C216</f>
        <v/>
      </c>
      <c r="E216" s="16">
        <f>SUMIFS(Datos!$J$4:$J$1774,Datos!$C$4:$C$1774,"Nuvei",Datos!$A$4:$A$1774,A216)</f>
        <v/>
      </c>
      <c r="F216" s="27">
        <f>D216+E216</f>
        <v/>
      </c>
    </row>
    <row r="217">
      <c r="A217" s="26" t="n">
        <v>46092</v>
      </c>
      <c r="B217" s="16">
        <f>SUMIFS(Datos!$H$4:$H$1774,Datos!$C$4:$C$1774,"Nuvei",Datos!$A$4:$A$1774,A217)</f>
        <v/>
      </c>
      <c r="C217" s="16">
        <f>SUMIFS(Datos!$I$4:$I$1774,Datos!$C$4:$C$1774,"Nuvei",Datos!$A$4:$A$1774,A217)</f>
        <v/>
      </c>
      <c r="D217" s="16">
        <f>B217+C217</f>
        <v/>
      </c>
      <c r="E217" s="16">
        <f>SUMIFS(Datos!$J$4:$J$1774,Datos!$C$4:$C$1774,"Nuvei",Datos!$A$4:$A$1774,A217)</f>
        <v/>
      </c>
      <c r="F217" s="27">
        <f>D217+E217</f>
        <v/>
      </c>
    </row>
    <row r="218">
      <c r="A218" s="26" t="n">
        <v>46093</v>
      </c>
      <c r="B218" s="16">
        <f>SUMIFS(Datos!$H$4:$H$1774,Datos!$C$4:$C$1774,"Nuvei",Datos!$A$4:$A$1774,A218)</f>
        <v/>
      </c>
      <c r="C218" s="16">
        <f>SUMIFS(Datos!$I$4:$I$1774,Datos!$C$4:$C$1774,"Nuvei",Datos!$A$4:$A$1774,A218)</f>
        <v/>
      </c>
      <c r="D218" s="16">
        <f>B218+C218</f>
        <v/>
      </c>
      <c r="E218" s="16">
        <f>SUMIFS(Datos!$J$4:$J$1774,Datos!$C$4:$C$1774,"Nuvei",Datos!$A$4:$A$1774,A218)</f>
        <v/>
      </c>
      <c r="F218" s="27">
        <f>D218+E218</f>
        <v/>
      </c>
    </row>
    <row r="219">
      <c r="A219" s="26" t="n">
        <v>46094</v>
      </c>
      <c r="B219" s="16">
        <f>SUMIFS(Datos!$H$4:$H$1774,Datos!$C$4:$C$1774,"Nuvei",Datos!$A$4:$A$1774,A219)</f>
        <v/>
      </c>
      <c r="C219" s="16">
        <f>SUMIFS(Datos!$I$4:$I$1774,Datos!$C$4:$C$1774,"Nuvei",Datos!$A$4:$A$1774,A219)</f>
        <v/>
      </c>
      <c r="D219" s="16">
        <f>B219+C219</f>
        <v/>
      </c>
      <c r="E219" s="16">
        <f>SUMIFS(Datos!$J$4:$J$1774,Datos!$C$4:$C$1774,"Nuvei",Datos!$A$4:$A$1774,A219)</f>
        <v/>
      </c>
      <c r="F219" s="27">
        <f>D219+E219</f>
        <v/>
      </c>
    </row>
    <row r="220">
      <c r="A220" s="26" t="n">
        <v>46095</v>
      </c>
      <c r="B220" s="16">
        <f>SUMIFS(Datos!$H$4:$H$1774,Datos!$C$4:$C$1774,"Nuvei",Datos!$A$4:$A$1774,A220)</f>
        <v/>
      </c>
      <c r="C220" s="16">
        <f>SUMIFS(Datos!$I$4:$I$1774,Datos!$C$4:$C$1774,"Nuvei",Datos!$A$4:$A$1774,A220)</f>
        <v/>
      </c>
      <c r="D220" s="16">
        <f>B220+C220</f>
        <v/>
      </c>
      <c r="E220" s="16">
        <f>SUMIFS(Datos!$J$4:$J$1774,Datos!$C$4:$C$1774,"Nuvei",Datos!$A$4:$A$1774,A220)</f>
        <v/>
      </c>
      <c r="F220" s="27">
        <f>D220+E220</f>
        <v/>
      </c>
    </row>
    <row r="221">
      <c r="A221" s="26" t="n">
        <v>46096</v>
      </c>
      <c r="B221" s="16">
        <f>SUMIFS(Datos!$H$4:$H$1774,Datos!$C$4:$C$1774,"Nuvei",Datos!$A$4:$A$1774,A221)</f>
        <v/>
      </c>
      <c r="C221" s="16">
        <f>SUMIFS(Datos!$I$4:$I$1774,Datos!$C$4:$C$1774,"Nuvei",Datos!$A$4:$A$1774,A221)</f>
        <v/>
      </c>
      <c r="D221" s="16">
        <f>B221+C221</f>
        <v/>
      </c>
      <c r="E221" s="16">
        <f>SUMIFS(Datos!$J$4:$J$1774,Datos!$C$4:$C$1774,"Nuvei",Datos!$A$4:$A$1774,A221)</f>
        <v/>
      </c>
      <c r="F221" s="27">
        <f>D221+E221</f>
        <v/>
      </c>
    </row>
    <row r="222">
      <c r="A222" s="26" t="n">
        <v>46097</v>
      </c>
      <c r="B222" s="16">
        <f>SUMIFS(Datos!$H$4:$H$1774,Datos!$C$4:$C$1774,"Nuvei",Datos!$A$4:$A$1774,A222)</f>
        <v/>
      </c>
      <c r="C222" s="16">
        <f>SUMIFS(Datos!$I$4:$I$1774,Datos!$C$4:$C$1774,"Nuvei",Datos!$A$4:$A$1774,A222)</f>
        <v/>
      </c>
      <c r="D222" s="16">
        <f>B222+C222</f>
        <v/>
      </c>
      <c r="E222" s="16">
        <f>SUMIFS(Datos!$J$4:$J$1774,Datos!$C$4:$C$1774,"Nuvei",Datos!$A$4:$A$1774,A222)</f>
        <v/>
      </c>
      <c r="F222" s="27">
        <f>D222+E222</f>
        <v/>
      </c>
    </row>
    <row r="223">
      <c r="A223" s="26" t="n">
        <v>46098</v>
      </c>
      <c r="B223" s="16">
        <f>SUMIFS(Datos!$H$4:$H$1774,Datos!$C$4:$C$1774,"Nuvei",Datos!$A$4:$A$1774,A223)</f>
        <v/>
      </c>
      <c r="C223" s="16">
        <f>SUMIFS(Datos!$I$4:$I$1774,Datos!$C$4:$C$1774,"Nuvei",Datos!$A$4:$A$1774,A223)</f>
        <v/>
      </c>
      <c r="D223" s="16">
        <f>B223+C223</f>
        <v/>
      </c>
      <c r="E223" s="16">
        <f>SUMIFS(Datos!$J$4:$J$1774,Datos!$C$4:$C$1774,"Nuvei",Datos!$A$4:$A$1774,A223)</f>
        <v/>
      </c>
      <c r="F223" s="27">
        <f>D223+E223</f>
        <v/>
      </c>
    </row>
    <row r="224">
      <c r="A224" s="26" t="n">
        <v>46099</v>
      </c>
      <c r="B224" s="16">
        <f>SUMIFS(Datos!$H$4:$H$1774,Datos!$C$4:$C$1774,"Nuvei",Datos!$A$4:$A$1774,A224)</f>
        <v/>
      </c>
      <c r="C224" s="16">
        <f>SUMIFS(Datos!$I$4:$I$1774,Datos!$C$4:$C$1774,"Nuvei",Datos!$A$4:$A$1774,A224)</f>
        <v/>
      </c>
      <c r="D224" s="16">
        <f>B224+C224</f>
        <v/>
      </c>
      <c r="E224" s="16">
        <f>SUMIFS(Datos!$J$4:$J$1774,Datos!$C$4:$C$1774,"Nuvei",Datos!$A$4:$A$1774,A224)</f>
        <v/>
      </c>
      <c r="F224" s="27">
        <f>D224+E224</f>
        <v/>
      </c>
    </row>
    <row r="225">
      <c r="A225" s="26" t="n">
        <v>46100</v>
      </c>
      <c r="B225" s="16">
        <f>SUMIFS(Datos!$H$4:$H$1774,Datos!$C$4:$C$1774,"Nuvei",Datos!$A$4:$A$1774,A225)</f>
        <v/>
      </c>
      <c r="C225" s="16">
        <f>SUMIFS(Datos!$I$4:$I$1774,Datos!$C$4:$C$1774,"Nuvei",Datos!$A$4:$A$1774,A225)</f>
        <v/>
      </c>
      <c r="D225" s="16">
        <f>B225+C225</f>
        <v/>
      </c>
      <c r="E225" s="16">
        <f>SUMIFS(Datos!$J$4:$J$1774,Datos!$C$4:$C$1774,"Nuvei",Datos!$A$4:$A$1774,A225)</f>
        <v/>
      </c>
      <c r="F225" s="27">
        <f>D225+E225</f>
        <v/>
      </c>
    </row>
    <row r="226">
      <c r="A226" s="26" t="n">
        <v>46101</v>
      </c>
      <c r="B226" s="16">
        <f>SUMIFS(Datos!$H$4:$H$1774,Datos!$C$4:$C$1774,"Nuvei",Datos!$A$4:$A$1774,A226)</f>
        <v/>
      </c>
      <c r="C226" s="16">
        <f>SUMIFS(Datos!$I$4:$I$1774,Datos!$C$4:$C$1774,"Nuvei",Datos!$A$4:$A$1774,A226)</f>
        <v/>
      </c>
      <c r="D226" s="16">
        <f>B226+C226</f>
        <v/>
      </c>
      <c r="E226" s="16">
        <f>SUMIFS(Datos!$J$4:$J$1774,Datos!$C$4:$C$1774,"Nuvei",Datos!$A$4:$A$1774,A226)</f>
        <v/>
      </c>
      <c r="F226" s="27">
        <f>D226+E226</f>
        <v/>
      </c>
    </row>
    <row r="227">
      <c r="A227" s="26" t="n">
        <v>46102</v>
      </c>
      <c r="B227" s="16">
        <f>SUMIFS(Datos!$H$4:$H$1774,Datos!$C$4:$C$1774,"Nuvei",Datos!$A$4:$A$1774,A227)</f>
        <v/>
      </c>
      <c r="C227" s="16">
        <f>SUMIFS(Datos!$I$4:$I$1774,Datos!$C$4:$C$1774,"Nuvei",Datos!$A$4:$A$1774,A227)</f>
        <v/>
      </c>
      <c r="D227" s="16">
        <f>B227+C227</f>
        <v/>
      </c>
      <c r="E227" s="16">
        <f>SUMIFS(Datos!$J$4:$J$1774,Datos!$C$4:$C$1774,"Nuvei",Datos!$A$4:$A$1774,A227)</f>
        <v/>
      </c>
      <c r="F227" s="27">
        <f>D227+E227</f>
        <v/>
      </c>
    </row>
    <row r="228">
      <c r="A228" s="26" t="n">
        <v>46103</v>
      </c>
      <c r="B228" s="16">
        <f>SUMIFS(Datos!$H$4:$H$1774,Datos!$C$4:$C$1774,"Nuvei",Datos!$A$4:$A$1774,A228)</f>
        <v/>
      </c>
      <c r="C228" s="16">
        <f>SUMIFS(Datos!$I$4:$I$1774,Datos!$C$4:$C$1774,"Nuvei",Datos!$A$4:$A$1774,A228)</f>
        <v/>
      </c>
      <c r="D228" s="16">
        <f>B228+C228</f>
        <v/>
      </c>
      <c r="E228" s="16">
        <f>SUMIFS(Datos!$J$4:$J$1774,Datos!$C$4:$C$1774,"Nuvei",Datos!$A$4:$A$1774,A228)</f>
        <v/>
      </c>
      <c r="F228" s="27">
        <f>D228+E228</f>
        <v/>
      </c>
    </row>
    <row r="229">
      <c r="A229" s="26" t="n">
        <v>46104</v>
      </c>
      <c r="B229" s="16">
        <f>SUMIFS(Datos!$H$4:$H$1774,Datos!$C$4:$C$1774,"Nuvei",Datos!$A$4:$A$1774,A229)</f>
        <v/>
      </c>
      <c r="C229" s="16">
        <f>SUMIFS(Datos!$I$4:$I$1774,Datos!$C$4:$C$1774,"Nuvei",Datos!$A$4:$A$1774,A229)</f>
        <v/>
      </c>
      <c r="D229" s="16">
        <f>B229+C229</f>
        <v/>
      </c>
      <c r="E229" s="16">
        <f>SUMIFS(Datos!$J$4:$J$1774,Datos!$C$4:$C$1774,"Nuvei",Datos!$A$4:$A$1774,A229)</f>
        <v/>
      </c>
      <c r="F229" s="27">
        <f>D229+E229</f>
        <v/>
      </c>
    </row>
    <row r="230">
      <c r="A230" s="26" t="n">
        <v>46105</v>
      </c>
      <c r="B230" s="16">
        <f>SUMIFS(Datos!$H$4:$H$1774,Datos!$C$4:$C$1774,"Nuvei",Datos!$A$4:$A$1774,A230)</f>
        <v/>
      </c>
      <c r="C230" s="16">
        <f>SUMIFS(Datos!$I$4:$I$1774,Datos!$C$4:$C$1774,"Nuvei",Datos!$A$4:$A$1774,A230)</f>
        <v/>
      </c>
      <c r="D230" s="16">
        <f>B230+C230</f>
        <v/>
      </c>
      <c r="E230" s="16">
        <f>SUMIFS(Datos!$J$4:$J$1774,Datos!$C$4:$C$1774,"Nuvei",Datos!$A$4:$A$1774,A230)</f>
        <v/>
      </c>
      <c r="F230" s="27">
        <f>D230+E230</f>
        <v/>
      </c>
    </row>
    <row r="231">
      <c r="A231" s="26" t="n">
        <v>46106</v>
      </c>
      <c r="B231" s="16">
        <f>SUMIFS(Datos!$H$4:$H$1774,Datos!$C$4:$C$1774,"Nuvei",Datos!$A$4:$A$1774,A231)</f>
        <v/>
      </c>
      <c r="C231" s="16">
        <f>SUMIFS(Datos!$I$4:$I$1774,Datos!$C$4:$C$1774,"Nuvei",Datos!$A$4:$A$1774,A231)</f>
        <v/>
      </c>
      <c r="D231" s="16">
        <f>B231+C231</f>
        <v/>
      </c>
      <c r="E231" s="16">
        <f>SUMIFS(Datos!$J$4:$J$1774,Datos!$C$4:$C$1774,"Nuvei",Datos!$A$4:$A$1774,A231)</f>
        <v/>
      </c>
      <c r="F231" s="27">
        <f>D231+E231</f>
        <v/>
      </c>
    </row>
    <row r="232">
      <c r="A232" s="26" t="n">
        <v>46107</v>
      </c>
      <c r="B232" s="16">
        <f>SUMIFS(Datos!$H$4:$H$1774,Datos!$C$4:$C$1774,"Nuvei",Datos!$A$4:$A$1774,A232)</f>
        <v/>
      </c>
      <c r="C232" s="16">
        <f>SUMIFS(Datos!$I$4:$I$1774,Datos!$C$4:$C$1774,"Nuvei",Datos!$A$4:$A$1774,A232)</f>
        <v/>
      </c>
      <c r="D232" s="16">
        <f>B232+C232</f>
        <v/>
      </c>
      <c r="E232" s="16">
        <f>SUMIFS(Datos!$J$4:$J$1774,Datos!$C$4:$C$1774,"Nuvei",Datos!$A$4:$A$1774,A232)</f>
        <v/>
      </c>
      <c r="F232" s="27">
        <f>D232+E232</f>
        <v/>
      </c>
    </row>
    <row r="233">
      <c r="A233" s="26" t="n">
        <v>46108</v>
      </c>
      <c r="B233" s="16">
        <f>SUMIFS(Datos!$H$4:$H$1774,Datos!$C$4:$C$1774,"Nuvei",Datos!$A$4:$A$1774,A233)</f>
        <v/>
      </c>
      <c r="C233" s="16">
        <f>SUMIFS(Datos!$I$4:$I$1774,Datos!$C$4:$C$1774,"Nuvei",Datos!$A$4:$A$1774,A233)</f>
        <v/>
      </c>
      <c r="D233" s="16">
        <f>B233+C233</f>
        <v/>
      </c>
      <c r="E233" s="16">
        <f>SUMIFS(Datos!$J$4:$J$1774,Datos!$C$4:$C$1774,"Nuvei",Datos!$A$4:$A$1774,A233)</f>
        <v/>
      </c>
      <c r="F233" s="27">
        <f>D233+E233</f>
        <v/>
      </c>
    </row>
    <row r="234">
      <c r="A234" s="26" t="n">
        <v>46109</v>
      </c>
      <c r="B234" s="16">
        <f>SUMIFS(Datos!$H$4:$H$1774,Datos!$C$4:$C$1774,"Nuvei",Datos!$A$4:$A$1774,A234)</f>
        <v/>
      </c>
      <c r="C234" s="16">
        <f>SUMIFS(Datos!$I$4:$I$1774,Datos!$C$4:$C$1774,"Nuvei",Datos!$A$4:$A$1774,A234)</f>
        <v/>
      </c>
      <c r="D234" s="16">
        <f>B234+C234</f>
        <v/>
      </c>
      <c r="E234" s="16">
        <f>SUMIFS(Datos!$J$4:$J$1774,Datos!$C$4:$C$1774,"Nuvei",Datos!$A$4:$A$1774,A234)</f>
        <v/>
      </c>
      <c r="F234" s="27">
        <f>D234+E234</f>
        <v/>
      </c>
    </row>
    <row r="235">
      <c r="A235" s="26" t="n">
        <v>46110</v>
      </c>
      <c r="B235" s="16">
        <f>SUMIFS(Datos!$H$4:$H$1774,Datos!$C$4:$C$1774,"Nuvei",Datos!$A$4:$A$1774,A235)</f>
        <v/>
      </c>
      <c r="C235" s="16">
        <f>SUMIFS(Datos!$I$4:$I$1774,Datos!$C$4:$C$1774,"Nuvei",Datos!$A$4:$A$1774,A235)</f>
        <v/>
      </c>
      <c r="D235" s="16">
        <f>B235+C235</f>
        <v/>
      </c>
      <c r="E235" s="16">
        <f>SUMIFS(Datos!$J$4:$J$1774,Datos!$C$4:$C$1774,"Nuvei",Datos!$A$4:$A$1774,A235)</f>
        <v/>
      </c>
      <c r="F235" s="27">
        <f>D235+E235</f>
        <v/>
      </c>
    </row>
    <row r="236">
      <c r="A236" s="26" t="n">
        <v>46111</v>
      </c>
      <c r="B236" s="16">
        <f>SUMIFS(Datos!$H$4:$H$1774,Datos!$C$4:$C$1774,"Nuvei",Datos!$A$4:$A$1774,A236)</f>
        <v/>
      </c>
      <c r="C236" s="16">
        <f>SUMIFS(Datos!$I$4:$I$1774,Datos!$C$4:$C$1774,"Nuvei",Datos!$A$4:$A$1774,A236)</f>
        <v/>
      </c>
      <c r="D236" s="16">
        <f>B236+C236</f>
        <v/>
      </c>
      <c r="E236" s="16">
        <f>SUMIFS(Datos!$J$4:$J$1774,Datos!$C$4:$C$1774,"Nuvei",Datos!$A$4:$A$1774,A236)</f>
        <v/>
      </c>
      <c r="F236" s="27">
        <f>D236+E236</f>
        <v/>
      </c>
    </row>
    <row r="237">
      <c r="A237" s="26" t="n">
        <v>46112</v>
      </c>
      <c r="B237" s="16">
        <f>SUMIFS(Datos!$H$4:$H$1774,Datos!$C$4:$C$1774,"Nuvei",Datos!$A$4:$A$1774,A237)</f>
        <v/>
      </c>
      <c r="C237" s="16">
        <f>SUMIFS(Datos!$I$4:$I$1774,Datos!$C$4:$C$1774,"Nuvei",Datos!$A$4:$A$1774,A237)</f>
        <v/>
      </c>
      <c r="D237" s="16">
        <f>B237+C237</f>
        <v/>
      </c>
      <c r="E237" s="16">
        <f>SUMIFS(Datos!$J$4:$J$1774,Datos!$C$4:$C$1774,"Nuvei",Datos!$A$4:$A$1774,A237)</f>
        <v/>
      </c>
      <c r="F237" s="27">
        <f>D237+E237</f>
        <v/>
      </c>
    </row>
    <row r="238">
      <c r="A238" s="26" t="n">
        <v>46113</v>
      </c>
      <c r="B238" s="16">
        <f>SUMIFS(Datos!$H$4:$H$1774,Datos!$C$4:$C$1774,"Nuvei",Datos!$A$4:$A$1774,A238)</f>
        <v/>
      </c>
      <c r="C238" s="16">
        <f>SUMIFS(Datos!$I$4:$I$1774,Datos!$C$4:$C$1774,"Nuvei",Datos!$A$4:$A$1774,A238)</f>
        <v/>
      </c>
      <c r="D238" s="16">
        <f>B238+C238</f>
        <v/>
      </c>
      <c r="E238" s="16">
        <f>SUMIFS(Datos!$J$4:$J$1774,Datos!$C$4:$C$1774,"Nuvei",Datos!$A$4:$A$1774,A238)</f>
        <v/>
      </c>
      <c r="F238" s="27">
        <f>D238+E238</f>
        <v/>
      </c>
    </row>
    <row r="239">
      <c r="A239" s="26" t="n">
        <v>46114</v>
      </c>
      <c r="B239" s="16">
        <f>SUMIFS(Datos!$H$4:$H$1774,Datos!$C$4:$C$1774,"Nuvei",Datos!$A$4:$A$1774,A239)</f>
        <v/>
      </c>
      <c r="C239" s="16">
        <f>SUMIFS(Datos!$I$4:$I$1774,Datos!$C$4:$C$1774,"Nuvei",Datos!$A$4:$A$1774,A239)</f>
        <v/>
      </c>
      <c r="D239" s="16">
        <f>B239+C239</f>
        <v/>
      </c>
      <c r="E239" s="16">
        <f>SUMIFS(Datos!$J$4:$J$1774,Datos!$C$4:$C$1774,"Nuvei",Datos!$A$4:$A$1774,A239)</f>
        <v/>
      </c>
      <c r="F239" s="27">
        <f>D239+E239</f>
        <v/>
      </c>
    </row>
    <row r="240">
      <c r="A240" s="26" t="n">
        <v>46115</v>
      </c>
      <c r="B240" s="16">
        <f>SUMIFS(Datos!$H$4:$H$1774,Datos!$C$4:$C$1774,"Nuvei",Datos!$A$4:$A$1774,A240)</f>
        <v/>
      </c>
      <c r="C240" s="16">
        <f>SUMIFS(Datos!$I$4:$I$1774,Datos!$C$4:$C$1774,"Nuvei",Datos!$A$4:$A$1774,A240)</f>
        <v/>
      </c>
      <c r="D240" s="16">
        <f>B240+C240</f>
        <v/>
      </c>
      <c r="E240" s="16">
        <f>SUMIFS(Datos!$J$4:$J$1774,Datos!$C$4:$C$1774,"Nuvei",Datos!$A$4:$A$1774,A240)</f>
        <v/>
      </c>
      <c r="F240" s="27">
        <f>D240+E240</f>
        <v/>
      </c>
    </row>
    <row r="241">
      <c r="A241" s="26" t="n">
        <v>46116</v>
      </c>
      <c r="B241" s="16">
        <f>SUMIFS(Datos!$H$4:$H$1774,Datos!$C$4:$C$1774,"Nuvei",Datos!$A$4:$A$1774,A241)</f>
        <v/>
      </c>
      <c r="C241" s="16">
        <f>SUMIFS(Datos!$I$4:$I$1774,Datos!$C$4:$C$1774,"Nuvei",Datos!$A$4:$A$1774,A241)</f>
        <v/>
      </c>
      <c r="D241" s="16">
        <f>B241+C241</f>
        <v/>
      </c>
      <c r="E241" s="16">
        <f>SUMIFS(Datos!$J$4:$J$1774,Datos!$C$4:$C$1774,"Nuvei",Datos!$A$4:$A$1774,A241)</f>
        <v/>
      </c>
      <c r="F241" s="27">
        <f>D241+E241</f>
        <v/>
      </c>
    </row>
    <row r="242">
      <c r="A242" s="26" t="n">
        <v>46117</v>
      </c>
      <c r="B242" s="16">
        <f>SUMIFS(Datos!$H$4:$H$1774,Datos!$C$4:$C$1774,"Nuvei",Datos!$A$4:$A$1774,A242)</f>
        <v/>
      </c>
      <c r="C242" s="16">
        <f>SUMIFS(Datos!$I$4:$I$1774,Datos!$C$4:$C$1774,"Nuvei",Datos!$A$4:$A$1774,A242)</f>
        <v/>
      </c>
      <c r="D242" s="16">
        <f>B242+C242</f>
        <v/>
      </c>
      <c r="E242" s="16">
        <f>SUMIFS(Datos!$J$4:$J$1774,Datos!$C$4:$C$1774,"Nuvei",Datos!$A$4:$A$1774,A242)</f>
        <v/>
      </c>
      <c r="F242" s="27">
        <f>D242+E242</f>
        <v/>
      </c>
    </row>
    <row r="243">
      <c r="A243" s="26" t="n">
        <v>46118</v>
      </c>
      <c r="B243" s="16">
        <f>SUMIFS(Datos!$H$4:$H$1774,Datos!$C$4:$C$1774,"Nuvei",Datos!$A$4:$A$1774,A243)</f>
        <v/>
      </c>
      <c r="C243" s="16">
        <f>SUMIFS(Datos!$I$4:$I$1774,Datos!$C$4:$C$1774,"Nuvei",Datos!$A$4:$A$1774,A243)</f>
        <v/>
      </c>
      <c r="D243" s="16">
        <f>B243+C243</f>
        <v/>
      </c>
      <c r="E243" s="16">
        <f>SUMIFS(Datos!$J$4:$J$1774,Datos!$C$4:$C$1774,"Nuvei",Datos!$A$4:$A$1774,A243)</f>
        <v/>
      </c>
      <c r="F243" s="27">
        <f>D243+E243</f>
        <v/>
      </c>
    </row>
    <row r="244">
      <c r="A244" s="26" t="n">
        <v>46119</v>
      </c>
      <c r="B244" s="16">
        <f>SUMIFS(Datos!$H$4:$H$1774,Datos!$C$4:$C$1774,"Nuvei",Datos!$A$4:$A$1774,A244)</f>
        <v/>
      </c>
      <c r="C244" s="16">
        <f>SUMIFS(Datos!$I$4:$I$1774,Datos!$C$4:$C$1774,"Nuvei",Datos!$A$4:$A$1774,A244)</f>
        <v/>
      </c>
      <c r="D244" s="16">
        <f>B244+C244</f>
        <v/>
      </c>
      <c r="E244" s="16">
        <f>SUMIFS(Datos!$J$4:$J$1774,Datos!$C$4:$C$1774,"Nuvei",Datos!$A$4:$A$1774,A244)</f>
        <v/>
      </c>
      <c r="F244" s="27">
        <f>D244+E244</f>
        <v/>
      </c>
    </row>
    <row r="245">
      <c r="A245" s="26" t="n">
        <v>46120</v>
      </c>
      <c r="B245" s="16">
        <f>SUMIFS(Datos!$H$4:$H$1774,Datos!$C$4:$C$1774,"Nuvei",Datos!$A$4:$A$1774,A245)</f>
        <v/>
      </c>
      <c r="C245" s="16">
        <f>SUMIFS(Datos!$I$4:$I$1774,Datos!$C$4:$C$1774,"Nuvei",Datos!$A$4:$A$1774,A245)</f>
        <v/>
      </c>
      <c r="D245" s="16">
        <f>B245+C245</f>
        <v/>
      </c>
      <c r="E245" s="16">
        <f>SUMIFS(Datos!$J$4:$J$1774,Datos!$C$4:$C$1774,"Nuvei",Datos!$A$4:$A$1774,A245)</f>
        <v/>
      </c>
      <c r="F245" s="27">
        <f>D245+E245</f>
        <v/>
      </c>
    </row>
    <row r="246">
      <c r="A246" s="26" t="n">
        <v>46121</v>
      </c>
      <c r="B246" s="16">
        <f>SUMIFS(Datos!$H$4:$H$1774,Datos!$C$4:$C$1774,"Nuvei",Datos!$A$4:$A$1774,A246)</f>
        <v/>
      </c>
      <c r="C246" s="16">
        <f>SUMIFS(Datos!$I$4:$I$1774,Datos!$C$4:$C$1774,"Nuvei",Datos!$A$4:$A$1774,A246)</f>
        <v/>
      </c>
      <c r="D246" s="16">
        <f>B246+C246</f>
        <v/>
      </c>
      <c r="E246" s="16">
        <f>SUMIFS(Datos!$J$4:$J$1774,Datos!$C$4:$C$1774,"Nuvei",Datos!$A$4:$A$1774,A246)</f>
        <v/>
      </c>
      <c r="F246" s="27">
        <f>D246+E246</f>
        <v/>
      </c>
    </row>
    <row r="247">
      <c r="A247" s="26" t="n">
        <v>46122</v>
      </c>
      <c r="B247" s="16">
        <f>SUMIFS(Datos!$H$4:$H$1774,Datos!$C$4:$C$1774,"Nuvei",Datos!$A$4:$A$1774,A247)</f>
        <v/>
      </c>
      <c r="C247" s="16">
        <f>SUMIFS(Datos!$I$4:$I$1774,Datos!$C$4:$C$1774,"Nuvei",Datos!$A$4:$A$1774,A247)</f>
        <v/>
      </c>
      <c r="D247" s="16">
        <f>B247+C247</f>
        <v/>
      </c>
      <c r="E247" s="16">
        <f>SUMIFS(Datos!$J$4:$J$1774,Datos!$C$4:$C$1774,"Nuvei",Datos!$A$4:$A$1774,A247)</f>
        <v/>
      </c>
      <c r="F247" s="27">
        <f>D247+E247</f>
        <v/>
      </c>
    </row>
    <row r="248">
      <c r="A248" s="26" t="n">
        <v>46123</v>
      </c>
      <c r="B248" s="16">
        <f>SUMIFS(Datos!$H$4:$H$1774,Datos!$C$4:$C$1774,"Nuvei",Datos!$A$4:$A$1774,A248)</f>
        <v/>
      </c>
      <c r="C248" s="16">
        <f>SUMIFS(Datos!$I$4:$I$1774,Datos!$C$4:$C$1774,"Nuvei",Datos!$A$4:$A$1774,A248)</f>
        <v/>
      </c>
      <c r="D248" s="16">
        <f>B248+C248</f>
        <v/>
      </c>
      <c r="E248" s="16">
        <f>SUMIFS(Datos!$J$4:$J$1774,Datos!$C$4:$C$1774,"Nuvei",Datos!$A$4:$A$1774,A248)</f>
        <v/>
      </c>
      <c r="F248" s="27">
        <f>D248+E248</f>
        <v/>
      </c>
    </row>
    <row r="249">
      <c r="A249" s="26" t="n">
        <v>46124</v>
      </c>
      <c r="B249" s="16">
        <f>SUMIFS(Datos!$H$4:$H$1774,Datos!$C$4:$C$1774,"Nuvei",Datos!$A$4:$A$1774,A249)</f>
        <v/>
      </c>
      <c r="C249" s="16">
        <f>SUMIFS(Datos!$I$4:$I$1774,Datos!$C$4:$C$1774,"Nuvei",Datos!$A$4:$A$1774,A249)</f>
        <v/>
      </c>
      <c r="D249" s="16">
        <f>B249+C249</f>
        <v/>
      </c>
      <c r="E249" s="16">
        <f>SUMIFS(Datos!$J$4:$J$1774,Datos!$C$4:$C$1774,"Nuvei",Datos!$A$4:$A$1774,A249)</f>
        <v/>
      </c>
      <c r="F249" s="27">
        <f>D249+E249</f>
        <v/>
      </c>
    </row>
    <row r="250">
      <c r="A250" s="26" t="n">
        <v>46125</v>
      </c>
      <c r="B250" s="16">
        <f>SUMIFS(Datos!$H$4:$H$1774,Datos!$C$4:$C$1774,"Nuvei",Datos!$A$4:$A$1774,A250)</f>
        <v/>
      </c>
      <c r="C250" s="16">
        <f>SUMIFS(Datos!$I$4:$I$1774,Datos!$C$4:$C$1774,"Nuvei",Datos!$A$4:$A$1774,A250)</f>
        <v/>
      </c>
      <c r="D250" s="16">
        <f>B250+C250</f>
        <v/>
      </c>
      <c r="E250" s="16">
        <f>SUMIFS(Datos!$J$4:$J$1774,Datos!$C$4:$C$1774,"Nuvei",Datos!$A$4:$A$1774,A250)</f>
        <v/>
      </c>
      <c r="F250" s="27">
        <f>D250+E250</f>
        <v/>
      </c>
    </row>
    <row r="251">
      <c r="A251" s="26" t="n">
        <v>46126</v>
      </c>
      <c r="B251" s="16">
        <f>SUMIFS(Datos!$H$4:$H$1774,Datos!$C$4:$C$1774,"Nuvei",Datos!$A$4:$A$1774,A251)</f>
        <v/>
      </c>
      <c r="C251" s="16">
        <f>SUMIFS(Datos!$I$4:$I$1774,Datos!$C$4:$C$1774,"Nuvei",Datos!$A$4:$A$1774,A251)</f>
        <v/>
      </c>
      <c r="D251" s="16">
        <f>B251+C251</f>
        <v/>
      </c>
      <c r="E251" s="16">
        <f>SUMIFS(Datos!$J$4:$J$1774,Datos!$C$4:$C$1774,"Nuvei",Datos!$A$4:$A$1774,A251)</f>
        <v/>
      </c>
      <c r="F251" s="27">
        <f>D251+E251</f>
        <v/>
      </c>
    </row>
    <row r="252">
      <c r="A252" s="26" t="n">
        <v>46127</v>
      </c>
      <c r="B252" s="16">
        <f>SUMIFS(Datos!$H$4:$H$1774,Datos!$C$4:$C$1774,"Nuvei",Datos!$A$4:$A$1774,A252)</f>
        <v/>
      </c>
      <c r="C252" s="16">
        <f>SUMIFS(Datos!$I$4:$I$1774,Datos!$C$4:$C$1774,"Nuvei",Datos!$A$4:$A$1774,A252)</f>
        <v/>
      </c>
      <c r="D252" s="16">
        <f>B252+C252</f>
        <v/>
      </c>
      <c r="E252" s="16">
        <f>SUMIFS(Datos!$J$4:$J$1774,Datos!$C$4:$C$1774,"Nuvei",Datos!$A$4:$A$1774,A252)</f>
        <v/>
      </c>
      <c r="F252" s="27">
        <f>D252+E252</f>
        <v/>
      </c>
    </row>
    <row r="253">
      <c r="A253" s="26" t="n">
        <v>46128</v>
      </c>
      <c r="B253" s="16">
        <f>SUMIFS(Datos!$H$4:$H$1774,Datos!$C$4:$C$1774,"Nuvei",Datos!$A$4:$A$1774,A253)</f>
        <v/>
      </c>
      <c r="C253" s="16">
        <f>SUMIFS(Datos!$I$4:$I$1774,Datos!$C$4:$C$1774,"Nuvei",Datos!$A$4:$A$1774,A253)</f>
        <v/>
      </c>
      <c r="D253" s="16">
        <f>B253+C253</f>
        <v/>
      </c>
      <c r="E253" s="16">
        <f>SUMIFS(Datos!$J$4:$J$1774,Datos!$C$4:$C$1774,"Nuvei",Datos!$A$4:$A$1774,A253)</f>
        <v/>
      </c>
      <c r="F253" s="27">
        <f>D253+E253</f>
        <v/>
      </c>
    </row>
    <row r="254">
      <c r="A254" s="26" t="n">
        <v>46129</v>
      </c>
      <c r="B254" s="16">
        <f>SUMIFS(Datos!$H$4:$H$1774,Datos!$C$4:$C$1774,"Nuvei",Datos!$A$4:$A$1774,A254)</f>
        <v/>
      </c>
      <c r="C254" s="16">
        <f>SUMIFS(Datos!$I$4:$I$1774,Datos!$C$4:$C$1774,"Nuvei",Datos!$A$4:$A$1774,A254)</f>
        <v/>
      </c>
      <c r="D254" s="16">
        <f>B254+C254</f>
        <v/>
      </c>
      <c r="E254" s="16">
        <f>SUMIFS(Datos!$J$4:$J$1774,Datos!$C$4:$C$1774,"Nuvei",Datos!$A$4:$A$1774,A254)</f>
        <v/>
      </c>
      <c r="F254" s="27">
        <f>D254+E254</f>
        <v/>
      </c>
    </row>
    <row r="255">
      <c r="A255" s="26" t="n">
        <v>46130</v>
      </c>
      <c r="B255" s="16">
        <f>SUMIFS(Datos!$H$4:$H$1774,Datos!$C$4:$C$1774,"Nuvei",Datos!$A$4:$A$1774,A255)</f>
        <v/>
      </c>
      <c r="C255" s="16">
        <f>SUMIFS(Datos!$I$4:$I$1774,Datos!$C$4:$C$1774,"Nuvei",Datos!$A$4:$A$1774,A255)</f>
        <v/>
      </c>
      <c r="D255" s="16">
        <f>B255+C255</f>
        <v/>
      </c>
      <c r="E255" s="16">
        <f>SUMIFS(Datos!$J$4:$J$1774,Datos!$C$4:$C$1774,"Nuvei",Datos!$A$4:$A$1774,A255)</f>
        <v/>
      </c>
      <c r="F255" s="27">
        <f>D255+E255</f>
        <v/>
      </c>
    </row>
    <row r="256">
      <c r="A256" s="26" t="n">
        <v>46131</v>
      </c>
      <c r="B256" s="16">
        <f>SUMIFS(Datos!$H$4:$H$1774,Datos!$C$4:$C$1774,"Nuvei",Datos!$A$4:$A$1774,A256)</f>
        <v/>
      </c>
      <c r="C256" s="16">
        <f>SUMIFS(Datos!$I$4:$I$1774,Datos!$C$4:$C$1774,"Nuvei",Datos!$A$4:$A$1774,A256)</f>
        <v/>
      </c>
      <c r="D256" s="16">
        <f>B256+C256</f>
        <v/>
      </c>
      <c r="E256" s="16">
        <f>SUMIFS(Datos!$J$4:$J$1774,Datos!$C$4:$C$1774,"Nuvei",Datos!$A$4:$A$1774,A256)</f>
        <v/>
      </c>
      <c r="F256" s="27">
        <f>D256+E256</f>
        <v/>
      </c>
    </row>
    <row r="257">
      <c r="A257" s="26" t="n">
        <v>46132</v>
      </c>
      <c r="B257" s="16">
        <f>SUMIFS(Datos!$H$4:$H$1774,Datos!$C$4:$C$1774,"Nuvei",Datos!$A$4:$A$1774,A257)</f>
        <v/>
      </c>
      <c r="C257" s="16">
        <f>SUMIFS(Datos!$I$4:$I$1774,Datos!$C$4:$C$1774,"Nuvei",Datos!$A$4:$A$1774,A257)</f>
        <v/>
      </c>
      <c r="D257" s="16">
        <f>B257+C257</f>
        <v/>
      </c>
      <c r="E257" s="16">
        <f>SUMIFS(Datos!$J$4:$J$1774,Datos!$C$4:$C$1774,"Nuvei",Datos!$A$4:$A$1774,A257)</f>
        <v/>
      </c>
      <c r="F257" s="27">
        <f>D257+E257</f>
        <v/>
      </c>
    </row>
    <row r="258">
      <c r="A258" s="26" t="n">
        <v>46133</v>
      </c>
      <c r="B258" s="16">
        <f>SUMIFS(Datos!$H$4:$H$1774,Datos!$C$4:$C$1774,"Nuvei",Datos!$A$4:$A$1774,A258)</f>
        <v/>
      </c>
      <c r="C258" s="16">
        <f>SUMIFS(Datos!$I$4:$I$1774,Datos!$C$4:$C$1774,"Nuvei",Datos!$A$4:$A$1774,A258)</f>
        <v/>
      </c>
      <c r="D258" s="16">
        <f>B258+C258</f>
        <v/>
      </c>
      <c r="E258" s="16">
        <f>SUMIFS(Datos!$J$4:$J$1774,Datos!$C$4:$C$1774,"Nuvei",Datos!$A$4:$A$1774,A258)</f>
        <v/>
      </c>
      <c r="F258" s="27">
        <f>D258+E258</f>
        <v/>
      </c>
    </row>
    <row r="259">
      <c r="A259" s="26" t="n">
        <v>46134</v>
      </c>
      <c r="B259" s="16">
        <f>SUMIFS(Datos!$H$4:$H$1774,Datos!$C$4:$C$1774,"Nuvei",Datos!$A$4:$A$1774,A259)</f>
        <v/>
      </c>
      <c r="C259" s="16">
        <f>SUMIFS(Datos!$I$4:$I$1774,Datos!$C$4:$C$1774,"Nuvei",Datos!$A$4:$A$1774,A259)</f>
        <v/>
      </c>
      <c r="D259" s="16">
        <f>B259+C259</f>
        <v/>
      </c>
      <c r="E259" s="16">
        <f>SUMIFS(Datos!$J$4:$J$1774,Datos!$C$4:$C$1774,"Nuvei",Datos!$A$4:$A$1774,A259)</f>
        <v/>
      </c>
      <c r="F259" s="27">
        <f>D259+E259</f>
        <v/>
      </c>
    </row>
    <row r="260">
      <c r="A260" s="26" t="n">
        <v>46135</v>
      </c>
      <c r="B260" s="16">
        <f>SUMIFS(Datos!$H$4:$H$1774,Datos!$C$4:$C$1774,"Nuvei",Datos!$A$4:$A$1774,A260)</f>
        <v/>
      </c>
      <c r="C260" s="16">
        <f>SUMIFS(Datos!$I$4:$I$1774,Datos!$C$4:$C$1774,"Nuvei",Datos!$A$4:$A$1774,A260)</f>
        <v/>
      </c>
      <c r="D260" s="16">
        <f>B260+C260</f>
        <v/>
      </c>
      <c r="E260" s="16">
        <f>SUMIFS(Datos!$J$4:$J$1774,Datos!$C$4:$C$1774,"Nuvei",Datos!$A$4:$A$1774,A260)</f>
        <v/>
      </c>
      <c r="F260" s="27">
        <f>D260+E260</f>
        <v/>
      </c>
    </row>
    <row r="261">
      <c r="A261" s="26" t="n">
        <v>46136</v>
      </c>
      <c r="B261" s="16">
        <f>SUMIFS(Datos!$H$4:$H$1774,Datos!$C$4:$C$1774,"Nuvei",Datos!$A$4:$A$1774,A261)</f>
        <v/>
      </c>
      <c r="C261" s="16">
        <f>SUMIFS(Datos!$I$4:$I$1774,Datos!$C$4:$C$1774,"Nuvei",Datos!$A$4:$A$1774,A261)</f>
        <v/>
      </c>
      <c r="D261" s="16">
        <f>B261+C261</f>
        <v/>
      </c>
      <c r="E261" s="16">
        <f>SUMIFS(Datos!$J$4:$J$1774,Datos!$C$4:$C$1774,"Nuvei",Datos!$A$4:$A$1774,A261)</f>
        <v/>
      </c>
      <c r="F261" s="27">
        <f>D261+E261</f>
        <v/>
      </c>
    </row>
    <row r="262">
      <c r="A262" s="26" t="n">
        <v>46137</v>
      </c>
      <c r="B262" s="16">
        <f>SUMIFS(Datos!$H$4:$H$1774,Datos!$C$4:$C$1774,"Nuvei",Datos!$A$4:$A$1774,A262)</f>
        <v/>
      </c>
      <c r="C262" s="16">
        <f>SUMIFS(Datos!$I$4:$I$1774,Datos!$C$4:$C$1774,"Nuvei",Datos!$A$4:$A$1774,A262)</f>
        <v/>
      </c>
      <c r="D262" s="16">
        <f>B262+C262</f>
        <v/>
      </c>
      <c r="E262" s="16">
        <f>SUMIFS(Datos!$J$4:$J$1774,Datos!$C$4:$C$1774,"Nuvei",Datos!$A$4:$A$1774,A262)</f>
        <v/>
      </c>
      <c r="F262" s="27">
        <f>D262+E262</f>
        <v/>
      </c>
    </row>
    <row r="263">
      <c r="A263" s="26" t="n">
        <v>46138</v>
      </c>
      <c r="B263" s="16">
        <f>SUMIFS(Datos!$H$4:$H$1774,Datos!$C$4:$C$1774,"Nuvei",Datos!$A$4:$A$1774,A263)</f>
        <v/>
      </c>
      <c r="C263" s="16">
        <f>SUMIFS(Datos!$I$4:$I$1774,Datos!$C$4:$C$1774,"Nuvei",Datos!$A$4:$A$1774,A263)</f>
        <v/>
      </c>
      <c r="D263" s="16">
        <f>B263+C263</f>
        <v/>
      </c>
      <c r="E263" s="16">
        <f>SUMIFS(Datos!$J$4:$J$1774,Datos!$C$4:$C$1774,"Nuvei",Datos!$A$4:$A$1774,A263)</f>
        <v/>
      </c>
      <c r="F263" s="27">
        <f>D263+E263</f>
        <v/>
      </c>
    </row>
    <row r="264">
      <c r="A264" s="26" t="n">
        <v>46139</v>
      </c>
      <c r="B264" s="16">
        <f>SUMIFS(Datos!$H$4:$H$1774,Datos!$C$4:$C$1774,"Nuvei",Datos!$A$4:$A$1774,A264)</f>
        <v/>
      </c>
      <c r="C264" s="16">
        <f>SUMIFS(Datos!$I$4:$I$1774,Datos!$C$4:$C$1774,"Nuvei",Datos!$A$4:$A$1774,A264)</f>
        <v/>
      </c>
      <c r="D264" s="16">
        <f>B264+C264</f>
        <v/>
      </c>
      <c r="E264" s="16">
        <f>SUMIFS(Datos!$J$4:$J$1774,Datos!$C$4:$C$1774,"Nuvei",Datos!$A$4:$A$1774,A264)</f>
        <v/>
      </c>
      <c r="F264" s="27">
        <f>D264+E264</f>
        <v/>
      </c>
    </row>
    <row r="265">
      <c r="A265" s="26" t="n">
        <v>46140</v>
      </c>
      <c r="B265" s="16">
        <f>SUMIFS(Datos!$H$4:$H$1774,Datos!$C$4:$C$1774,"Nuvei",Datos!$A$4:$A$1774,A265)</f>
        <v/>
      </c>
      <c r="C265" s="16">
        <f>SUMIFS(Datos!$I$4:$I$1774,Datos!$C$4:$C$1774,"Nuvei",Datos!$A$4:$A$1774,A265)</f>
        <v/>
      </c>
      <c r="D265" s="16">
        <f>B265+C265</f>
        <v/>
      </c>
      <c r="E265" s="16">
        <f>SUMIFS(Datos!$J$4:$J$1774,Datos!$C$4:$C$1774,"Nuvei",Datos!$A$4:$A$1774,A265)</f>
        <v/>
      </c>
      <c r="F265" s="27">
        <f>D265+E265</f>
        <v/>
      </c>
    </row>
    <row r="266">
      <c r="A266" s="26" t="n">
        <v>46141</v>
      </c>
      <c r="B266" s="16">
        <f>SUMIFS(Datos!$H$4:$H$1774,Datos!$C$4:$C$1774,"Nuvei",Datos!$A$4:$A$1774,A266)</f>
        <v/>
      </c>
      <c r="C266" s="16">
        <f>SUMIFS(Datos!$I$4:$I$1774,Datos!$C$4:$C$1774,"Nuvei",Datos!$A$4:$A$1774,A266)</f>
        <v/>
      </c>
      <c r="D266" s="16">
        <f>B266+C266</f>
        <v/>
      </c>
      <c r="E266" s="16">
        <f>SUMIFS(Datos!$J$4:$J$1774,Datos!$C$4:$C$1774,"Nuvei",Datos!$A$4:$A$1774,A266)</f>
        <v/>
      </c>
      <c r="F266" s="27">
        <f>D266+E266</f>
        <v/>
      </c>
    </row>
    <row r="267">
      <c r="A267" s="26" t="n">
        <v>46142</v>
      </c>
      <c r="B267" s="16">
        <f>SUMIFS(Datos!$H$4:$H$1774,Datos!$C$4:$C$1774,"Nuvei",Datos!$A$4:$A$1774,A267)</f>
        <v/>
      </c>
      <c r="C267" s="16">
        <f>SUMIFS(Datos!$I$4:$I$1774,Datos!$C$4:$C$1774,"Nuvei",Datos!$A$4:$A$1774,A267)</f>
        <v/>
      </c>
      <c r="D267" s="16">
        <f>B267+C267</f>
        <v/>
      </c>
      <c r="E267" s="16">
        <f>SUMIFS(Datos!$J$4:$J$1774,Datos!$C$4:$C$1774,"Nuvei",Datos!$A$4:$A$1774,A267)</f>
        <v/>
      </c>
      <c r="F267" s="27">
        <f>D267+E267</f>
        <v/>
      </c>
    </row>
    <row r="268">
      <c r="A268" s="26" t="n">
        <v>46143</v>
      </c>
      <c r="B268" s="16">
        <f>SUMIFS(Datos!$H$4:$H$1774,Datos!$C$4:$C$1774,"Nuvei",Datos!$A$4:$A$1774,A268)</f>
        <v/>
      </c>
      <c r="C268" s="16">
        <f>SUMIFS(Datos!$I$4:$I$1774,Datos!$C$4:$C$1774,"Nuvei",Datos!$A$4:$A$1774,A268)</f>
        <v/>
      </c>
      <c r="D268" s="16">
        <f>B268+C268</f>
        <v/>
      </c>
      <c r="E268" s="16">
        <f>SUMIFS(Datos!$J$4:$J$1774,Datos!$C$4:$C$1774,"Nuvei",Datos!$A$4:$A$1774,A268)</f>
        <v/>
      </c>
      <c r="F268" s="27">
        <f>D268+E268</f>
        <v/>
      </c>
    </row>
    <row r="269">
      <c r="A269" s="26" t="n">
        <v>46144</v>
      </c>
      <c r="B269" s="16">
        <f>SUMIFS(Datos!$H$4:$H$1774,Datos!$C$4:$C$1774,"Nuvei",Datos!$A$4:$A$1774,A269)</f>
        <v/>
      </c>
      <c r="C269" s="16">
        <f>SUMIFS(Datos!$I$4:$I$1774,Datos!$C$4:$C$1774,"Nuvei",Datos!$A$4:$A$1774,A269)</f>
        <v/>
      </c>
      <c r="D269" s="16">
        <f>B269+C269</f>
        <v/>
      </c>
      <c r="E269" s="16">
        <f>SUMIFS(Datos!$J$4:$J$1774,Datos!$C$4:$C$1774,"Nuvei",Datos!$A$4:$A$1774,A269)</f>
        <v/>
      </c>
      <c r="F269" s="27">
        <f>D269+E269</f>
        <v/>
      </c>
    </row>
    <row r="270">
      <c r="A270" s="26" t="n">
        <v>46145</v>
      </c>
      <c r="B270" s="16">
        <f>SUMIFS(Datos!$H$4:$H$1774,Datos!$C$4:$C$1774,"Nuvei",Datos!$A$4:$A$1774,A270)</f>
        <v/>
      </c>
      <c r="C270" s="16">
        <f>SUMIFS(Datos!$I$4:$I$1774,Datos!$C$4:$C$1774,"Nuvei",Datos!$A$4:$A$1774,A270)</f>
        <v/>
      </c>
      <c r="D270" s="16">
        <f>B270+C270</f>
        <v/>
      </c>
      <c r="E270" s="16">
        <f>SUMIFS(Datos!$J$4:$J$1774,Datos!$C$4:$C$1774,"Nuvei",Datos!$A$4:$A$1774,A270)</f>
        <v/>
      </c>
      <c r="F270" s="27">
        <f>D270+E270</f>
        <v/>
      </c>
    </row>
    <row r="271">
      <c r="A271" s="26" t="n">
        <v>46146</v>
      </c>
      <c r="B271" s="16">
        <f>SUMIFS(Datos!$H$4:$H$1774,Datos!$C$4:$C$1774,"Nuvei",Datos!$A$4:$A$1774,A271)</f>
        <v/>
      </c>
      <c r="C271" s="16">
        <f>SUMIFS(Datos!$I$4:$I$1774,Datos!$C$4:$C$1774,"Nuvei",Datos!$A$4:$A$1774,A271)</f>
        <v/>
      </c>
      <c r="D271" s="16">
        <f>B271+C271</f>
        <v/>
      </c>
      <c r="E271" s="16">
        <f>SUMIFS(Datos!$J$4:$J$1774,Datos!$C$4:$C$1774,"Nuvei",Datos!$A$4:$A$1774,A271)</f>
        <v/>
      </c>
      <c r="F271" s="27">
        <f>D271+E271</f>
        <v/>
      </c>
    </row>
    <row r="272">
      <c r="A272" s="26" t="n">
        <v>46147</v>
      </c>
      <c r="B272" s="16">
        <f>SUMIFS(Datos!$H$4:$H$1774,Datos!$C$4:$C$1774,"Nuvei",Datos!$A$4:$A$1774,A272)</f>
        <v/>
      </c>
      <c r="C272" s="16">
        <f>SUMIFS(Datos!$I$4:$I$1774,Datos!$C$4:$C$1774,"Nuvei",Datos!$A$4:$A$1774,A272)</f>
        <v/>
      </c>
      <c r="D272" s="16">
        <f>B272+C272</f>
        <v/>
      </c>
      <c r="E272" s="16">
        <f>SUMIFS(Datos!$J$4:$J$1774,Datos!$C$4:$C$1774,"Nuvei",Datos!$A$4:$A$1774,A272)</f>
        <v/>
      </c>
      <c r="F272" s="27">
        <f>D272+E272</f>
        <v/>
      </c>
    </row>
    <row r="273">
      <c r="A273" s="26" t="n">
        <v>46148</v>
      </c>
      <c r="B273" s="16">
        <f>SUMIFS(Datos!$H$4:$H$1774,Datos!$C$4:$C$1774,"Nuvei",Datos!$A$4:$A$1774,A273)</f>
        <v/>
      </c>
      <c r="C273" s="16">
        <f>SUMIFS(Datos!$I$4:$I$1774,Datos!$C$4:$C$1774,"Nuvei",Datos!$A$4:$A$1774,A273)</f>
        <v/>
      </c>
      <c r="D273" s="16">
        <f>B273+C273</f>
        <v/>
      </c>
      <c r="E273" s="16">
        <f>SUMIFS(Datos!$J$4:$J$1774,Datos!$C$4:$C$1774,"Nuvei",Datos!$A$4:$A$1774,A273)</f>
        <v/>
      </c>
      <c r="F273" s="27">
        <f>D273+E273</f>
        <v/>
      </c>
    </row>
    <row r="274">
      <c r="A274" s="26" t="n">
        <v>46149</v>
      </c>
      <c r="B274" s="16">
        <f>SUMIFS(Datos!$H$4:$H$1774,Datos!$C$4:$C$1774,"Nuvei",Datos!$A$4:$A$1774,A274)</f>
        <v/>
      </c>
      <c r="C274" s="16">
        <f>SUMIFS(Datos!$I$4:$I$1774,Datos!$C$4:$C$1774,"Nuvei",Datos!$A$4:$A$1774,A274)</f>
        <v/>
      </c>
      <c r="D274" s="16">
        <f>B274+C274</f>
        <v/>
      </c>
      <c r="E274" s="16">
        <f>SUMIFS(Datos!$J$4:$J$1774,Datos!$C$4:$C$1774,"Nuvei",Datos!$A$4:$A$1774,A274)</f>
        <v/>
      </c>
      <c r="F274" s="27">
        <f>D274+E274</f>
        <v/>
      </c>
    </row>
    <row r="275">
      <c r="A275" s="26" t="n">
        <v>46150</v>
      </c>
      <c r="B275" s="16">
        <f>SUMIFS(Datos!$H$4:$H$1774,Datos!$C$4:$C$1774,"Nuvei",Datos!$A$4:$A$1774,A275)</f>
        <v/>
      </c>
      <c r="C275" s="16">
        <f>SUMIFS(Datos!$I$4:$I$1774,Datos!$C$4:$C$1774,"Nuvei",Datos!$A$4:$A$1774,A275)</f>
        <v/>
      </c>
      <c r="D275" s="16">
        <f>B275+C275</f>
        <v/>
      </c>
      <c r="E275" s="16">
        <f>SUMIFS(Datos!$J$4:$J$1774,Datos!$C$4:$C$1774,"Nuvei",Datos!$A$4:$A$1774,A275)</f>
        <v/>
      </c>
      <c r="F275" s="27">
        <f>D275+E275</f>
        <v/>
      </c>
    </row>
    <row r="276">
      <c r="A276" s="26" t="n">
        <v>46151</v>
      </c>
      <c r="B276" s="16">
        <f>SUMIFS(Datos!$H$4:$H$1774,Datos!$C$4:$C$1774,"Nuvei",Datos!$A$4:$A$1774,A276)</f>
        <v/>
      </c>
      <c r="C276" s="16">
        <f>SUMIFS(Datos!$I$4:$I$1774,Datos!$C$4:$C$1774,"Nuvei",Datos!$A$4:$A$1774,A276)</f>
        <v/>
      </c>
      <c r="D276" s="16">
        <f>B276+C276</f>
        <v/>
      </c>
      <c r="E276" s="16">
        <f>SUMIFS(Datos!$J$4:$J$1774,Datos!$C$4:$C$1774,"Nuvei",Datos!$A$4:$A$1774,A276)</f>
        <v/>
      </c>
      <c r="F276" s="27">
        <f>D276+E276</f>
        <v/>
      </c>
    </row>
    <row r="277">
      <c r="A277" s="26" t="n">
        <v>46152</v>
      </c>
      <c r="B277" s="16">
        <f>SUMIFS(Datos!$H$4:$H$1774,Datos!$C$4:$C$1774,"Nuvei",Datos!$A$4:$A$1774,A277)</f>
        <v/>
      </c>
      <c r="C277" s="16">
        <f>SUMIFS(Datos!$I$4:$I$1774,Datos!$C$4:$C$1774,"Nuvei",Datos!$A$4:$A$1774,A277)</f>
        <v/>
      </c>
      <c r="D277" s="16">
        <f>B277+C277</f>
        <v/>
      </c>
      <c r="E277" s="16">
        <f>SUMIFS(Datos!$J$4:$J$1774,Datos!$C$4:$C$1774,"Nuvei",Datos!$A$4:$A$1774,A277)</f>
        <v/>
      </c>
      <c r="F277" s="27">
        <f>D277+E277</f>
        <v/>
      </c>
    </row>
    <row r="278">
      <c r="A278" s="26" t="n">
        <v>46153</v>
      </c>
      <c r="B278" s="16">
        <f>SUMIFS(Datos!$H$4:$H$1774,Datos!$C$4:$C$1774,"Nuvei",Datos!$A$4:$A$1774,A278)</f>
        <v/>
      </c>
      <c r="C278" s="16">
        <f>SUMIFS(Datos!$I$4:$I$1774,Datos!$C$4:$C$1774,"Nuvei",Datos!$A$4:$A$1774,A278)</f>
        <v/>
      </c>
      <c r="D278" s="16">
        <f>B278+C278</f>
        <v/>
      </c>
      <c r="E278" s="16">
        <f>SUMIFS(Datos!$J$4:$J$1774,Datos!$C$4:$C$1774,"Nuvei",Datos!$A$4:$A$1774,A278)</f>
        <v/>
      </c>
      <c r="F278" s="27">
        <f>D278+E278</f>
        <v/>
      </c>
    </row>
    <row r="279">
      <c r="A279" s="26" t="n">
        <v>46154</v>
      </c>
      <c r="B279" s="16">
        <f>SUMIFS(Datos!$H$4:$H$1774,Datos!$C$4:$C$1774,"Nuvei",Datos!$A$4:$A$1774,A279)</f>
        <v/>
      </c>
      <c r="C279" s="16">
        <f>SUMIFS(Datos!$I$4:$I$1774,Datos!$C$4:$C$1774,"Nuvei",Datos!$A$4:$A$1774,A279)</f>
        <v/>
      </c>
      <c r="D279" s="16">
        <f>B279+C279</f>
        <v/>
      </c>
      <c r="E279" s="16">
        <f>SUMIFS(Datos!$J$4:$J$1774,Datos!$C$4:$C$1774,"Nuvei",Datos!$A$4:$A$1774,A279)</f>
        <v/>
      </c>
      <c r="F279" s="27">
        <f>D279+E279</f>
        <v/>
      </c>
    </row>
    <row r="280">
      <c r="A280" s="26" t="n">
        <v>46155</v>
      </c>
      <c r="B280" s="16">
        <f>SUMIFS(Datos!$H$4:$H$1774,Datos!$C$4:$C$1774,"Nuvei",Datos!$A$4:$A$1774,A280)</f>
        <v/>
      </c>
      <c r="C280" s="16">
        <f>SUMIFS(Datos!$I$4:$I$1774,Datos!$C$4:$C$1774,"Nuvei",Datos!$A$4:$A$1774,A280)</f>
        <v/>
      </c>
      <c r="D280" s="16">
        <f>B280+C280</f>
        <v/>
      </c>
      <c r="E280" s="16">
        <f>SUMIFS(Datos!$J$4:$J$1774,Datos!$C$4:$C$1774,"Nuvei",Datos!$A$4:$A$1774,A280)</f>
        <v/>
      </c>
      <c r="F280" s="27">
        <f>D280+E280</f>
        <v/>
      </c>
    </row>
    <row r="281">
      <c r="A281" s="26" t="n">
        <v>46156</v>
      </c>
      <c r="B281" s="16">
        <f>SUMIFS(Datos!$H$4:$H$1774,Datos!$C$4:$C$1774,"Nuvei",Datos!$A$4:$A$1774,A281)</f>
        <v/>
      </c>
      <c r="C281" s="16">
        <f>SUMIFS(Datos!$I$4:$I$1774,Datos!$C$4:$C$1774,"Nuvei",Datos!$A$4:$A$1774,A281)</f>
        <v/>
      </c>
      <c r="D281" s="16">
        <f>B281+C281</f>
        <v/>
      </c>
      <c r="E281" s="16">
        <f>SUMIFS(Datos!$J$4:$J$1774,Datos!$C$4:$C$1774,"Nuvei",Datos!$A$4:$A$1774,A281)</f>
        <v/>
      </c>
      <c r="F281" s="27">
        <f>D281+E281</f>
        <v/>
      </c>
    </row>
    <row r="282">
      <c r="A282" s="26" t="n">
        <v>46157</v>
      </c>
      <c r="B282" s="16">
        <f>SUMIFS(Datos!$H$4:$H$1774,Datos!$C$4:$C$1774,"Nuvei",Datos!$A$4:$A$1774,A282)</f>
        <v/>
      </c>
      <c r="C282" s="16">
        <f>SUMIFS(Datos!$I$4:$I$1774,Datos!$C$4:$C$1774,"Nuvei",Datos!$A$4:$A$1774,A282)</f>
        <v/>
      </c>
      <c r="D282" s="16">
        <f>B282+C282</f>
        <v/>
      </c>
      <c r="E282" s="16">
        <f>SUMIFS(Datos!$J$4:$J$1774,Datos!$C$4:$C$1774,"Nuvei",Datos!$A$4:$A$1774,A282)</f>
        <v/>
      </c>
      <c r="F282" s="27">
        <f>D282+E282</f>
        <v/>
      </c>
    </row>
    <row r="283">
      <c r="A283" s="26" t="n">
        <v>46158</v>
      </c>
      <c r="B283" s="16">
        <f>SUMIFS(Datos!$H$4:$H$1774,Datos!$C$4:$C$1774,"Nuvei",Datos!$A$4:$A$1774,A283)</f>
        <v/>
      </c>
      <c r="C283" s="16">
        <f>SUMIFS(Datos!$I$4:$I$1774,Datos!$C$4:$C$1774,"Nuvei",Datos!$A$4:$A$1774,A283)</f>
        <v/>
      </c>
      <c r="D283" s="16">
        <f>B283+C283</f>
        <v/>
      </c>
      <c r="E283" s="16">
        <f>SUMIFS(Datos!$J$4:$J$1774,Datos!$C$4:$C$1774,"Nuvei",Datos!$A$4:$A$1774,A283)</f>
        <v/>
      </c>
      <c r="F283" s="27">
        <f>D283+E283</f>
        <v/>
      </c>
    </row>
    <row r="284">
      <c r="A284" s="26" t="n">
        <v>46159</v>
      </c>
      <c r="B284" s="16">
        <f>SUMIFS(Datos!$H$4:$H$1774,Datos!$C$4:$C$1774,"Nuvei",Datos!$A$4:$A$1774,A284)</f>
        <v/>
      </c>
      <c r="C284" s="16">
        <f>SUMIFS(Datos!$I$4:$I$1774,Datos!$C$4:$C$1774,"Nuvei",Datos!$A$4:$A$1774,A284)</f>
        <v/>
      </c>
      <c r="D284" s="16">
        <f>B284+C284</f>
        <v/>
      </c>
      <c r="E284" s="16">
        <f>SUMIFS(Datos!$J$4:$J$1774,Datos!$C$4:$C$1774,"Nuvei",Datos!$A$4:$A$1774,A284)</f>
        <v/>
      </c>
      <c r="F284" s="27">
        <f>D284+E284</f>
        <v/>
      </c>
    </row>
    <row r="285">
      <c r="A285" s="26" t="n">
        <v>46160</v>
      </c>
      <c r="B285" s="16">
        <f>SUMIFS(Datos!$H$4:$H$1774,Datos!$C$4:$C$1774,"Nuvei",Datos!$A$4:$A$1774,A285)</f>
        <v/>
      </c>
      <c r="C285" s="16">
        <f>SUMIFS(Datos!$I$4:$I$1774,Datos!$C$4:$C$1774,"Nuvei",Datos!$A$4:$A$1774,A285)</f>
        <v/>
      </c>
      <c r="D285" s="16">
        <f>B285+C285</f>
        <v/>
      </c>
      <c r="E285" s="16">
        <f>SUMIFS(Datos!$J$4:$J$1774,Datos!$C$4:$C$1774,"Nuvei",Datos!$A$4:$A$1774,A285)</f>
        <v/>
      </c>
      <c r="F285" s="27">
        <f>D285+E285</f>
        <v/>
      </c>
    </row>
    <row r="286">
      <c r="A286" s="26" t="n">
        <v>46161</v>
      </c>
      <c r="B286" s="16">
        <f>SUMIFS(Datos!$H$4:$H$1774,Datos!$C$4:$C$1774,"Nuvei",Datos!$A$4:$A$1774,A286)</f>
        <v/>
      </c>
      <c r="C286" s="16">
        <f>SUMIFS(Datos!$I$4:$I$1774,Datos!$C$4:$C$1774,"Nuvei",Datos!$A$4:$A$1774,A286)</f>
        <v/>
      </c>
      <c r="D286" s="16">
        <f>B286+C286</f>
        <v/>
      </c>
      <c r="E286" s="16">
        <f>SUMIFS(Datos!$J$4:$J$1774,Datos!$C$4:$C$1774,"Nuvei",Datos!$A$4:$A$1774,A286)</f>
        <v/>
      </c>
      <c r="F286" s="27">
        <f>D286+E286</f>
        <v/>
      </c>
    </row>
    <row r="287">
      <c r="A287" s="26" t="n">
        <v>46162</v>
      </c>
      <c r="B287" s="16">
        <f>SUMIFS(Datos!$H$4:$H$1774,Datos!$C$4:$C$1774,"Nuvei",Datos!$A$4:$A$1774,A287)</f>
        <v/>
      </c>
      <c r="C287" s="16">
        <f>SUMIFS(Datos!$I$4:$I$1774,Datos!$C$4:$C$1774,"Nuvei",Datos!$A$4:$A$1774,A287)</f>
        <v/>
      </c>
      <c r="D287" s="16">
        <f>B287+C287</f>
        <v/>
      </c>
      <c r="E287" s="16">
        <f>SUMIFS(Datos!$J$4:$J$1774,Datos!$C$4:$C$1774,"Nuvei",Datos!$A$4:$A$1774,A287)</f>
        <v/>
      </c>
      <c r="F287" s="27">
        <f>D287+E287</f>
        <v/>
      </c>
    </row>
    <row r="288">
      <c r="A288" s="26" t="n">
        <v>46163</v>
      </c>
      <c r="B288" s="16">
        <f>SUMIFS(Datos!$H$4:$H$1774,Datos!$C$4:$C$1774,"Nuvei",Datos!$A$4:$A$1774,A288)</f>
        <v/>
      </c>
      <c r="C288" s="16">
        <f>SUMIFS(Datos!$I$4:$I$1774,Datos!$C$4:$C$1774,"Nuvei",Datos!$A$4:$A$1774,A288)</f>
        <v/>
      </c>
      <c r="D288" s="16">
        <f>B288+C288</f>
        <v/>
      </c>
      <c r="E288" s="16">
        <f>SUMIFS(Datos!$J$4:$J$1774,Datos!$C$4:$C$1774,"Nuvei",Datos!$A$4:$A$1774,A288)</f>
        <v/>
      </c>
      <c r="F288" s="27">
        <f>D288+E288</f>
        <v/>
      </c>
    </row>
    <row r="289">
      <c r="A289" s="26" t="n">
        <v>46164</v>
      </c>
      <c r="B289" s="16">
        <f>SUMIFS(Datos!$H$4:$H$1774,Datos!$C$4:$C$1774,"Nuvei",Datos!$A$4:$A$1774,A289)</f>
        <v/>
      </c>
      <c r="C289" s="16">
        <f>SUMIFS(Datos!$I$4:$I$1774,Datos!$C$4:$C$1774,"Nuvei",Datos!$A$4:$A$1774,A289)</f>
        <v/>
      </c>
      <c r="D289" s="16">
        <f>B289+C289</f>
        <v/>
      </c>
      <c r="E289" s="16">
        <f>SUMIFS(Datos!$J$4:$J$1774,Datos!$C$4:$C$1774,"Nuvei",Datos!$A$4:$A$1774,A289)</f>
        <v/>
      </c>
      <c r="F289" s="27">
        <f>D289+E289</f>
        <v/>
      </c>
    </row>
    <row r="290">
      <c r="A290" s="26" t="n">
        <v>46165</v>
      </c>
      <c r="B290" s="16">
        <f>SUMIFS(Datos!$H$4:$H$1774,Datos!$C$4:$C$1774,"Nuvei",Datos!$A$4:$A$1774,A290)</f>
        <v/>
      </c>
      <c r="C290" s="16">
        <f>SUMIFS(Datos!$I$4:$I$1774,Datos!$C$4:$C$1774,"Nuvei",Datos!$A$4:$A$1774,A290)</f>
        <v/>
      </c>
      <c r="D290" s="16">
        <f>B290+C290</f>
        <v/>
      </c>
      <c r="E290" s="16">
        <f>SUMIFS(Datos!$J$4:$J$1774,Datos!$C$4:$C$1774,"Nuvei",Datos!$A$4:$A$1774,A290)</f>
        <v/>
      </c>
      <c r="F290" s="27">
        <f>D290+E290</f>
        <v/>
      </c>
    </row>
    <row r="291">
      <c r="A291" s="26" t="n">
        <v>46166</v>
      </c>
      <c r="B291" s="16">
        <f>SUMIFS(Datos!$H$4:$H$1774,Datos!$C$4:$C$1774,"Nuvei",Datos!$A$4:$A$1774,A291)</f>
        <v/>
      </c>
      <c r="C291" s="16">
        <f>SUMIFS(Datos!$I$4:$I$1774,Datos!$C$4:$C$1774,"Nuvei",Datos!$A$4:$A$1774,A291)</f>
        <v/>
      </c>
      <c r="D291" s="16">
        <f>B291+C291</f>
        <v/>
      </c>
      <c r="E291" s="16">
        <f>SUMIFS(Datos!$J$4:$J$1774,Datos!$C$4:$C$1774,"Nuvei",Datos!$A$4:$A$1774,A291)</f>
        <v/>
      </c>
      <c r="F291" s="27">
        <f>D291+E291</f>
        <v/>
      </c>
    </row>
    <row r="292">
      <c r="A292" s="26" t="n">
        <v>46167</v>
      </c>
      <c r="B292" s="16">
        <f>SUMIFS(Datos!$H$4:$H$1774,Datos!$C$4:$C$1774,"Nuvei",Datos!$A$4:$A$1774,A292)</f>
        <v/>
      </c>
      <c r="C292" s="16">
        <f>SUMIFS(Datos!$I$4:$I$1774,Datos!$C$4:$C$1774,"Nuvei",Datos!$A$4:$A$1774,A292)</f>
        <v/>
      </c>
      <c r="D292" s="16">
        <f>B292+C292</f>
        <v/>
      </c>
      <c r="E292" s="16">
        <f>SUMIFS(Datos!$J$4:$J$1774,Datos!$C$4:$C$1774,"Nuvei",Datos!$A$4:$A$1774,A292)</f>
        <v/>
      </c>
      <c r="F292" s="27">
        <f>D292+E292</f>
        <v/>
      </c>
    </row>
    <row r="293">
      <c r="A293" s="26" t="n">
        <v>46168</v>
      </c>
      <c r="B293" s="16">
        <f>SUMIFS(Datos!$H$4:$H$1774,Datos!$C$4:$C$1774,"Nuvei",Datos!$A$4:$A$1774,A293)</f>
        <v/>
      </c>
      <c r="C293" s="16">
        <f>SUMIFS(Datos!$I$4:$I$1774,Datos!$C$4:$C$1774,"Nuvei",Datos!$A$4:$A$1774,A293)</f>
        <v/>
      </c>
      <c r="D293" s="16">
        <f>B293+C293</f>
        <v/>
      </c>
      <c r="E293" s="16">
        <f>SUMIFS(Datos!$J$4:$J$1774,Datos!$C$4:$C$1774,"Nuvei",Datos!$A$4:$A$1774,A293)</f>
        <v/>
      </c>
      <c r="F293" s="27">
        <f>D293+E293</f>
        <v/>
      </c>
    </row>
    <row r="294">
      <c r="A294" s="26" t="n">
        <v>46169</v>
      </c>
      <c r="B294" s="16">
        <f>SUMIFS(Datos!$H$4:$H$1774,Datos!$C$4:$C$1774,"Nuvei",Datos!$A$4:$A$1774,A294)</f>
        <v/>
      </c>
      <c r="C294" s="16">
        <f>SUMIFS(Datos!$I$4:$I$1774,Datos!$C$4:$C$1774,"Nuvei",Datos!$A$4:$A$1774,A294)</f>
        <v/>
      </c>
      <c r="D294" s="16">
        <f>B294+C294</f>
        <v/>
      </c>
      <c r="E294" s="16">
        <f>SUMIFS(Datos!$J$4:$J$1774,Datos!$C$4:$C$1774,"Nuvei",Datos!$A$4:$A$1774,A294)</f>
        <v/>
      </c>
      <c r="F294" s="27">
        <f>D294+E294</f>
        <v/>
      </c>
    </row>
    <row r="295">
      <c r="A295" s="26" t="n">
        <v>46170</v>
      </c>
      <c r="B295" s="16">
        <f>SUMIFS(Datos!$H$4:$H$1774,Datos!$C$4:$C$1774,"Nuvei",Datos!$A$4:$A$1774,A295)</f>
        <v/>
      </c>
      <c r="C295" s="16">
        <f>SUMIFS(Datos!$I$4:$I$1774,Datos!$C$4:$C$1774,"Nuvei",Datos!$A$4:$A$1774,A295)</f>
        <v/>
      </c>
      <c r="D295" s="16">
        <f>B295+C295</f>
        <v/>
      </c>
      <c r="E295" s="16">
        <f>SUMIFS(Datos!$J$4:$J$1774,Datos!$C$4:$C$1774,"Nuvei",Datos!$A$4:$A$1774,A295)</f>
        <v/>
      </c>
      <c r="F295" s="27">
        <f>D295+E295</f>
        <v/>
      </c>
    </row>
    <row r="296">
      <c r="A296" s="26" t="n">
        <v>46171</v>
      </c>
      <c r="B296" s="16">
        <f>SUMIFS(Datos!$H$4:$H$1774,Datos!$C$4:$C$1774,"Nuvei",Datos!$A$4:$A$1774,A296)</f>
        <v/>
      </c>
      <c r="C296" s="16">
        <f>SUMIFS(Datos!$I$4:$I$1774,Datos!$C$4:$C$1774,"Nuvei",Datos!$A$4:$A$1774,A296)</f>
        <v/>
      </c>
      <c r="D296" s="16">
        <f>B296+C296</f>
        <v/>
      </c>
      <c r="E296" s="16">
        <f>SUMIFS(Datos!$J$4:$J$1774,Datos!$C$4:$C$1774,"Nuvei",Datos!$A$4:$A$1774,A296)</f>
        <v/>
      </c>
      <c r="F296" s="27">
        <f>D296+E296</f>
        <v/>
      </c>
    </row>
    <row r="297">
      <c r="A297" s="26" t="n">
        <v>46172</v>
      </c>
      <c r="B297" s="16">
        <f>SUMIFS(Datos!$H$4:$H$1774,Datos!$C$4:$C$1774,"Nuvei",Datos!$A$4:$A$1774,A297)</f>
        <v/>
      </c>
      <c r="C297" s="16">
        <f>SUMIFS(Datos!$I$4:$I$1774,Datos!$C$4:$C$1774,"Nuvei",Datos!$A$4:$A$1774,A297)</f>
        <v/>
      </c>
      <c r="D297" s="16">
        <f>B297+C297</f>
        <v/>
      </c>
      <c r="E297" s="16">
        <f>SUMIFS(Datos!$J$4:$J$1774,Datos!$C$4:$C$1774,"Nuvei",Datos!$A$4:$A$1774,A297)</f>
        <v/>
      </c>
      <c r="F297" s="27">
        <f>D297+E297</f>
        <v/>
      </c>
    </row>
    <row r="298">
      <c r="A298" s="26" t="n">
        <v>46173</v>
      </c>
      <c r="B298" s="16">
        <f>SUMIFS(Datos!$H$4:$H$1774,Datos!$C$4:$C$1774,"Nuvei",Datos!$A$4:$A$1774,A298)</f>
        <v/>
      </c>
      <c r="C298" s="16">
        <f>SUMIFS(Datos!$I$4:$I$1774,Datos!$C$4:$C$1774,"Nuvei",Datos!$A$4:$A$1774,A298)</f>
        <v/>
      </c>
      <c r="D298" s="16">
        <f>B298+C298</f>
        <v/>
      </c>
      <c r="E298" s="16">
        <f>SUMIFS(Datos!$J$4:$J$1774,Datos!$C$4:$C$1774,"Nuvei",Datos!$A$4:$A$1774,A298)</f>
        <v/>
      </c>
      <c r="F298" s="27">
        <f>D298+E298</f>
        <v/>
      </c>
    </row>
    <row r="299">
      <c r="A299" s="26" t="n">
        <v>46174</v>
      </c>
      <c r="B299" s="16">
        <f>SUMIFS(Datos!$H$4:$H$1774,Datos!$C$4:$C$1774,"Nuvei",Datos!$A$4:$A$1774,A299)</f>
        <v/>
      </c>
      <c r="C299" s="16">
        <f>SUMIFS(Datos!$I$4:$I$1774,Datos!$C$4:$C$1774,"Nuvei",Datos!$A$4:$A$1774,A299)</f>
        <v/>
      </c>
      <c r="D299" s="16">
        <f>B299+C299</f>
        <v/>
      </c>
      <c r="E299" s="16">
        <f>SUMIFS(Datos!$J$4:$J$1774,Datos!$C$4:$C$1774,"Nuvei",Datos!$A$4:$A$1774,A299)</f>
        <v/>
      </c>
      <c r="F299" s="27">
        <f>D299+E299</f>
        <v/>
      </c>
    </row>
    <row r="300">
      <c r="A300" s="26" t="n">
        <v>46175</v>
      </c>
      <c r="B300" s="16">
        <f>SUMIFS(Datos!$H$4:$H$1774,Datos!$C$4:$C$1774,"Nuvei",Datos!$A$4:$A$1774,A300)</f>
        <v/>
      </c>
      <c r="C300" s="16">
        <f>SUMIFS(Datos!$I$4:$I$1774,Datos!$C$4:$C$1774,"Nuvei",Datos!$A$4:$A$1774,A300)</f>
        <v/>
      </c>
      <c r="D300" s="16">
        <f>B300+C300</f>
        <v/>
      </c>
      <c r="E300" s="16">
        <f>SUMIFS(Datos!$J$4:$J$1774,Datos!$C$4:$C$1774,"Nuvei",Datos!$A$4:$A$1774,A300)</f>
        <v/>
      </c>
      <c r="F300" s="27">
        <f>D300+E300</f>
        <v/>
      </c>
    </row>
    <row r="301">
      <c r="A301" s="26" t="n">
        <v>46176</v>
      </c>
      <c r="B301" s="16">
        <f>SUMIFS(Datos!$H$4:$H$1774,Datos!$C$4:$C$1774,"Nuvei",Datos!$A$4:$A$1774,A301)</f>
        <v/>
      </c>
      <c r="C301" s="16">
        <f>SUMIFS(Datos!$I$4:$I$1774,Datos!$C$4:$C$1774,"Nuvei",Datos!$A$4:$A$1774,A301)</f>
        <v/>
      </c>
      <c r="D301" s="16">
        <f>B301+C301</f>
        <v/>
      </c>
      <c r="E301" s="16">
        <f>SUMIFS(Datos!$J$4:$J$1774,Datos!$C$4:$C$1774,"Nuvei",Datos!$A$4:$A$1774,A301)</f>
        <v/>
      </c>
      <c r="F301" s="27">
        <f>D301+E301</f>
        <v/>
      </c>
    </row>
    <row r="302">
      <c r="A302" s="26" t="n">
        <v>46177</v>
      </c>
      <c r="B302" s="16">
        <f>SUMIFS(Datos!$H$4:$H$1774,Datos!$C$4:$C$1774,"Nuvei",Datos!$A$4:$A$1774,A302)</f>
        <v/>
      </c>
      <c r="C302" s="16">
        <f>SUMIFS(Datos!$I$4:$I$1774,Datos!$C$4:$C$1774,"Nuvei",Datos!$A$4:$A$1774,A302)</f>
        <v/>
      </c>
      <c r="D302" s="16">
        <f>B302+C302</f>
        <v/>
      </c>
      <c r="E302" s="16">
        <f>SUMIFS(Datos!$J$4:$J$1774,Datos!$C$4:$C$1774,"Nuvei",Datos!$A$4:$A$1774,A302)</f>
        <v/>
      </c>
      <c r="F302" s="27">
        <f>D302+E302</f>
        <v/>
      </c>
    </row>
    <row r="303">
      <c r="A303" s="26" t="n">
        <v>46178</v>
      </c>
      <c r="B303" s="16">
        <f>SUMIFS(Datos!$H$4:$H$1774,Datos!$C$4:$C$1774,"Nuvei",Datos!$A$4:$A$1774,A303)</f>
        <v/>
      </c>
      <c r="C303" s="16">
        <f>SUMIFS(Datos!$I$4:$I$1774,Datos!$C$4:$C$1774,"Nuvei",Datos!$A$4:$A$1774,A303)</f>
        <v/>
      </c>
      <c r="D303" s="16">
        <f>B303+C303</f>
        <v/>
      </c>
      <c r="E303" s="16">
        <f>SUMIFS(Datos!$J$4:$J$1774,Datos!$C$4:$C$1774,"Nuvei",Datos!$A$4:$A$1774,A303)</f>
        <v/>
      </c>
      <c r="F303" s="27">
        <f>D303+E303</f>
        <v/>
      </c>
    </row>
    <row r="304">
      <c r="A304" s="26" t="n">
        <v>46179</v>
      </c>
      <c r="B304" s="16">
        <f>SUMIFS(Datos!$H$4:$H$1774,Datos!$C$4:$C$1774,"Nuvei",Datos!$A$4:$A$1774,A304)</f>
        <v/>
      </c>
      <c r="C304" s="16">
        <f>SUMIFS(Datos!$I$4:$I$1774,Datos!$C$4:$C$1774,"Nuvei",Datos!$A$4:$A$1774,A304)</f>
        <v/>
      </c>
      <c r="D304" s="16">
        <f>B304+C304</f>
        <v/>
      </c>
      <c r="E304" s="16">
        <f>SUMIFS(Datos!$J$4:$J$1774,Datos!$C$4:$C$1774,"Nuvei",Datos!$A$4:$A$1774,A304)</f>
        <v/>
      </c>
      <c r="F304" s="27">
        <f>D304+E304</f>
        <v/>
      </c>
    </row>
    <row r="305">
      <c r="A305" s="26" t="n">
        <v>46180</v>
      </c>
      <c r="B305" s="16">
        <f>SUMIFS(Datos!$H$4:$H$1774,Datos!$C$4:$C$1774,"Nuvei",Datos!$A$4:$A$1774,A305)</f>
        <v/>
      </c>
      <c r="C305" s="16">
        <f>SUMIFS(Datos!$I$4:$I$1774,Datos!$C$4:$C$1774,"Nuvei",Datos!$A$4:$A$1774,A305)</f>
        <v/>
      </c>
      <c r="D305" s="16">
        <f>B305+C305</f>
        <v/>
      </c>
      <c r="E305" s="16">
        <f>SUMIFS(Datos!$J$4:$J$1774,Datos!$C$4:$C$1774,"Nuvei",Datos!$A$4:$A$1774,A305)</f>
        <v/>
      </c>
      <c r="F305" s="27">
        <f>D305+E305</f>
        <v/>
      </c>
    </row>
    <row r="306">
      <c r="A306" s="26" t="n">
        <v>46181</v>
      </c>
      <c r="B306" s="16">
        <f>SUMIFS(Datos!$H$4:$H$1774,Datos!$C$4:$C$1774,"Nuvei",Datos!$A$4:$A$1774,A306)</f>
        <v/>
      </c>
      <c r="C306" s="16">
        <f>SUMIFS(Datos!$I$4:$I$1774,Datos!$C$4:$C$1774,"Nuvei",Datos!$A$4:$A$1774,A306)</f>
        <v/>
      </c>
      <c r="D306" s="16">
        <f>B306+C306</f>
        <v/>
      </c>
      <c r="E306" s="16">
        <f>SUMIFS(Datos!$J$4:$J$1774,Datos!$C$4:$C$1774,"Nuvei",Datos!$A$4:$A$1774,A306)</f>
        <v/>
      </c>
      <c r="F306" s="27">
        <f>D306+E306</f>
        <v/>
      </c>
    </row>
    <row r="307">
      <c r="A307" s="26" t="n">
        <v>46182</v>
      </c>
      <c r="B307" s="16">
        <f>SUMIFS(Datos!$H$4:$H$1774,Datos!$C$4:$C$1774,"Nuvei",Datos!$A$4:$A$1774,A307)</f>
        <v/>
      </c>
      <c r="C307" s="16">
        <f>SUMIFS(Datos!$I$4:$I$1774,Datos!$C$4:$C$1774,"Nuvei",Datos!$A$4:$A$1774,A307)</f>
        <v/>
      </c>
      <c r="D307" s="16">
        <f>B307+C307</f>
        <v/>
      </c>
      <c r="E307" s="16">
        <f>SUMIFS(Datos!$J$4:$J$1774,Datos!$C$4:$C$1774,"Nuvei",Datos!$A$4:$A$1774,A307)</f>
        <v/>
      </c>
      <c r="F307" s="27">
        <f>D307+E307</f>
        <v/>
      </c>
    </row>
    <row r="308">
      <c r="A308" s="26" t="n">
        <v>46183</v>
      </c>
      <c r="B308" s="16">
        <f>SUMIFS(Datos!$H$4:$H$1774,Datos!$C$4:$C$1774,"Nuvei",Datos!$A$4:$A$1774,A308)</f>
        <v/>
      </c>
      <c r="C308" s="16">
        <f>SUMIFS(Datos!$I$4:$I$1774,Datos!$C$4:$C$1774,"Nuvei",Datos!$A$4:$A$1774,A308)</f>
        <v/>
      </c>
      <c r="D308" s="16">
        <f>B308+C308</f>
        <v/>
      </c>
      <c r="E308" s="16">
        <f>SUMIFS(Datos!$J$4:$J$1774,Datos!$C$4:$C$1774,"Nuvei",Datos!$A$4:$A$1774,A308)</f>
        <v/>
      </c>
      <c r="F308" s="27">
        <f>D308+E308</f>
        <v/>
      </c>
    </row>
    <row r="309">
      <c r="A309" s="26" t="n">
        <v>46184</v>
      </c>
      <c r="B309" s="16">
        <f>SUMIFS(Datos!$H$4:$H$1774,Datos!$C$4:$C$1774,"Nuvei",Datos!$A$4:$A$1774,A309)</f>
        <v/>
      </c>
      <c r="C309" s="16">
        <f>SUMIFS(Datos!$I$4:$I$1774,Datos!$C$4:$C$1774,"Nuvei",Datos!$A$4:$A$1774,A309)</f>
        <v/>
      </c>
      <c r="D309" s="16">
        <f>B309+C309</f>
        <v/>
      </c>
      <c r="E309" s="16">
        <f>SUMIFS(Datos!$J$4:$J$1774,Datos!$C$4:$C$1774,"Nuvei",Datos!$A$4:$A$1774,A309)</f>
        <v/>
      </c>
      <c r="F309" s="27">
        <f>D309+E309</f>
        <v/>
      </c>
    </row>
    <row r="310">
      <c r="A310" s="26" t="n">
        <v>46185</v>
      </c>
      <c r="B310" s="16">
        <f>SUMIFS(Datos!$H$4:$H$1774,Datos!$C$4:$C$1774,"Nuvei",Datos!$A$4:$A$1774,A310)</f>
        <v/>
      </c>
      <c r="C310" s="16">
        <f>SUMIFS(Datos!$I$4:$I$1774,Datos!$C$4:$C$1774,"Nuvei",Datos!$A$4:$A$1774,A310)</f>
        <v/>
      </c>
      <c r="D310" s="16">
        <f>B310+C310</f>
        <v/>
      </c>
      <c r="E310" s="16">
        <f>SUMIFS(Datos!$J$4:$J$1774,Datos!$C$4:$C$1774,"Nuvei",Datos!$A$4:$A$1774,A310)</f>
        <v/>
      </c>
      <c r="F310" s="27">
        <f>D310+E310</f>
        <v/>
      </c>
    </row>
    <row r="311">
      <c r="A311" s="26" t="n">
        <v>46186</v>
      </c>
      <c r="B311" s="16">
        <f>SUMIFS(Datos!$H$4:$H$1774,Datos!$C$4:$C$1774,"Nuvei",Datos!$A$4:$A$1774,A311)</f>
        <v/>
      </c>
      <c r="C311" s="16">
        <f>SUMIFS(Datos!$I$4:$I$1774,Datos!$C$4:$C$1774,"Nuvei",Datos!$A$4:$A$1774,A311)</f>
        <v/>
      </c>
      <c r="D311" s="16">
        <f>B311+C311</f>
        <v/>
      </c>
      <c r="E311" s="16">
        <f>SUMIFS(Datos!$J$4:$J$1774,Datos!$C$4:$C$1774,"Nuvei",Datos!$A$4:$A$1774,A311)</f>
        <v/>
      </c>
      <c r="F311" s="27">
        <f>D311+E311</f>
        <v/>
      </c>
    </row>
    <row r="312">
      <c r="A312" s="26" t="n">
        <v>46187</v>
      </c>
      <c r="B312" s="16">
        <f>SUMIFS(Datos!$H$4:$H$1774,Datos!$C$4:$C$1774,"Nuvei",Datos!$A$4:$A$1774,A312)</f>
        <v/>
      </c>
      <c r="C312" s="16">
        <f>SUMIFS(Datos!$I$4:$I$1774,Datos!$C$4:$C$1774,"Nuvei",Datos!$A$4:$A$1774,A312)</f>
        <v/>
      </c>
      <c r="D312" s="16">
        <f>B312+C312</f>
        <v/>
      </c>
      <c r="E312" s="16">
        <f>SUMIFS(Datos!$J$4:$J$1774,Datos!$C$4:$C$1774,"Nuvei",Datos!$A$4:$A$1774,A312)</f>
        <v/>
      </c>
      <c r="F312" s="27">
        <f>D312+E312</f>
        <v/>
      </c>
    </row>
    <row r="313">
      <c r="A313" s="26" t="n">
        <v>46188</v>
      </c>
      <c r="B313" s="16">
        <f>SUMIFS(Datos!$H$4:$H$1774,Datos!$C$4:$C$1774,"Nuvei",Datos!$A$4:$A$1774,A313)</f>
        <v/>
      </c>
      <c r="C313" s="16">
        <f>SUMIFS(Datos!$I$4:$I$1774,Datos!$C$4:$C$1774,"Nuvei",Datos!$A$4:$A$1774,A313)</f>
        <v/>
      </c>
      <c r="D313" s="16">
        <f>B313+C313</f>
        <v/>
      </c>
      <c r="E313" s="16">
        <f>SUMIFS(Datos!$J$4:$J$1774,Datos!$C$4:$C$1774,"Nuvei",Datos!$A$4:$A$1774,A313)</f>
        <v/>
      </c>
      <c r="F313" s="27">
        <f>D313+E313</f>
        <v/>
      </c>
    </row>
    <row r="314">
      <c r="A314" s="26" t="n">
        <v>46189</v>
      </c>
      <c r="B314" s="16">
        <f>SUMIFS(Datos!$H$4:$H$1774,Datos!$C$4:$C$1774,"Nuvei",Datos!$A$4:$A$1774,A314)</f>
        <v/>
      </c>
      <c r="C314" s="16">
        <f>SUMIFS(Datos!$I$4:$I$1774,Datos!$C$4:$C$1774,"Nuvei",Datos!$A$4:$A$1774,A314)</f>
        <v/>
      </c>
      <c r="D314" s="16">
        <f>B314+C314</f>
        <v/>
      </c>
      <c r="E314" s="16">
        <f>SUMIFS(Datos!$J$4:$J$1774,Datos!$C$4:$C$1774,"Nuvei",Datos!$A$4:$A$1774,A314)</f>
        <v/>
      </c>
      <c r="F314" s="27">
        <f>D314+E314</f>
        <v/>
      </c>
    </row>
    <row r="315">
      <c r="A315" s="26" t="n">
        <v>46190</v>
      </c>
      <c r="B315" s="16">
        <f>SUMIFS(Datos!$H$4:$H$1774,Datos!$C$4:$C$1774,"Nuvei",Datos!$A$4:$A$1774,A315)</f>
        <v/>
      </c>
      <c r="C315" s="16">
        <f>SUMIFS(Datos!$I$4:$I$1774,Datos!$C$4:$C$1774,"Nuvei",Datos!$A$4:$A$1774,A315)</f>
        <v/>
      </c>
      <c r="D315" s="16">
        <f>B315+C315</f>
        <v/>
      </c>
      <c r="E315" s="16">
        <f>SUMIFS(Datos!$J$4:$J$1774,Datos!$C$4:$C$1774,"Nuvei",Datos!$A$4:$A$1774,A315)</f>
        <v/>
      </c>
      <c r="F315" s="27">
        <f>D315+E315</f>
        <v/>
      </c>
    </row>
    <row r="316">
      <c r="A316" s="26" t="n">
        <v>46191</v>
      </c>
      <c r="B316" s="16">
        <f>SUMIFS(Datos!$H$4:$H$1774,Datos!$C$4:$C$1774,"Nuvei",Datos!$A$4:$A$1774,A316)</f>
        <v/>
      </c>
      <c r="C316" s="16">
        <f>SUMIFS(Datos!$I$4:$I$1774,Datos!$C$4:$C$1774,"Nuvei",Datos!$A$4:$A$1774,A316)</f>
        <v/>
      </c>
      <c r="D316" s="16">
        <f>B316+C316</f>
        <v/>
      </c>
      <c r="E316" s="16">
        <f>SUMIFS(Datos!$J$4:$J$1774,Datos!$C$4:$C$1774,"Nuvei",Datos!$A$4:$A$1774,A316)</f>
        <v/>
      </c>
      <c r="F316" s="27">
        <f>D316+E316</f>
        <v/>
      </c>
    </row>
    <row r="317">
      <c r="A317" s="26" t="n">
        <v>46192</v>
      </c>
      <c r="B317" s="16">
        <f>SUMIFS(Datos!$H$4:$H$1774,Datos!$C$4:$C$1774,"Nuvei",Datos!$A$4:$A$1774,A317)</f>
        <v/>
      </c>
      <c r="C317" s="16">
        <f>SUMIFS(Datos!$I$4:$I$1774,Datos!$C$4:$C$1774,"Nuvei",Datos!$A$4:$A$1774,A317)</f>
        <v/>
      </c>
      <c r="D317" s="16">
        <f>B317+C317</f>
        <v/>
      </c>
      <c r="E317" s="16">
        <f>SUMIFS(Datos!$J$4:$J$1774,Datos!$C$4:$C$1774,"Nuvei",Datos!$A$4:$A$1774,A317)</f>
        <v/>
      </c>
      <c r="F317" s="27">
        <f>D317+E317</f>
        <v/>
      </c>
    </row>
    <row r="318">
      <c r="A318" s="26" t="n">
        <v>46193</v>
      </c>
      <c r="B318" s="16">
        <f>SUMIFS(Datos!$H$4:$H$1774,Datos!$C$4:$C$1774,"Nuvei",Datos!$A$4:$A$1774,A318)</f>
        <v/>
      </c>
      <c r="C318" s="16">
        <f>SUMIFS(Datos!$I$4:$I$1774,Datos!$C$4:$C$1774,"Nuvei",Datos!$A$4:$A$1774,A318)</f>
        <v/>
      </c>
      <c r="D318" s="16">
        <f>B318+C318</f>
        <v/>
      </c>
      <c r="E318" s="16">
        <f>SUMIFS(Datos!$J$4:$J$1774,Datos!$C$4:$C$1774,"Nuvei",Datos!$A$4:$A$1774,A318)</f>
        <v/>
      </c>
      <c r="F318" s="27">
        <f>D318+E318</f>
        <v/>
      </c>
    </row>
    <row r="319">
      <c r="A319" s="26" t="n">
        <v>46194</v>
      </c>
      <c r="B319" s="16">
        <f>SUMIFS(Datos!$H$4:$H$1774,Datos!$C$4:$C$1774,"Nuvei",Datos!$A$4:$A$1774,A319)</f>
        <v/>
      </c>
      <c r="C319" s="16">
        <f>SUMIFS(Datos!$I$4:$I$1774,Datos!$C$4:$C$1774,"Nuvei",Datos!$A$4:$A$1774,A319)</f>
        <v/>
      </c>
      <c r="D319" s="16">
        <f>B319+C319</f>
        <v/>
      </c>
      <c r="E319" s="16">
        <f>SUMIFS(Datos!$J$4:$J$1774,Datos!$C$4:$C$1774,"Nuvei",Datos!$A$4:$A$1774,A319)</f>
        <v/>
      </c>
      <c r="F319" s="27">
        <f>D319+E319</f>
        <v/>
      </c>
    </row>
    <row r="320">
      <c r="A320" s="26" t="n">
        <v>46195</v>
      </c>
      <c r="B320" s="16">
        <f>SUMIFS(Datos!$H$4:$H$1774,Datos!$C$4:$C$1774,"Nuvei",Datos!$A$4:$A$1774,A320)</f>
        <v/>
      </c>
      <c r="C320" s="16">
        <f>SUMIFS(Datos!$I$4:$I$1774,Datos!$C$4:$C$1774,"Nuvei",Datos!$A$4:$A$1774,A320)</f>
        <v/>
      </c>
      <c r="D320" s="16">
        <f>B320+C320</f>
        <v/>
      </c>
      <c r="E320" s="16">
        <f>SUMIFS(Datos!$J$4:$J$1774,Datos!$C$4:$C$1774,"Nuvei",Datos!$A$4:$A$1774,A320)</f>
        <v/>
      </c>
      <c r="F320" s="27">
        <f>D320+E320</f>
        <v/>
      </c>
    </row>
    <row r="321">
      <c r="A321" s="26" t="n">
        <v>46196</v>
      </c>
      <c r="B321" s="16">
        <f>SUMIFS(Datos!$H$4:$H$1774,Datos!$C$4:$C$1774,"Nuvei",Datos!$A$4:$A$1774,A321)</f>
        <v/>
      </c>
      <c r="C321" s="16">
        <f>SUMIFS(Datos!$I$4:$I$1774,Datos!$C$4:$C$1774,"Nuvei",Datos!$A$4:$A$1774,A321)</f>
        <v/>
      </c>
      <c r="D321" s="16">
        <f>B321+C321</f>
        <v/>
      </c>
      <c r="E321" s="16">
        <f>SUMIFS(Datos!$J$4:$J$1774,Datos!$C$4:$C$1774,"Nuvei",Datos!$A$4:$A$1774,A321)</f>
        <v/>
      </c>
      <c r="F321" s="27">
        <f>D321+E321</f>
        <v/>
      </c>
    </row>
    <row r="322">
      <c r="A322" s="26" t="n">
        <v>46197</v>
      </c>
      <c r="B322" s="16">
        <f>SUMIFS(Datos!$H$4:$H$1774,Datos!$C$4:$C$1774,"Nuvei",Datos!$A$4:$A$1774,A322)</f>
        <v/>
      </c>
      <c r="C322" s="16">
        <f>SUMIFS(Datos!$I$4:$I$1774,Datos!$C$4:$C$1774,"Nuvei",Datos!$A$4:$A$1774,A322)</f>
        <v/>
      </c>
      <c r="D322" s="16">
        <f>B322+C322</f>
        <v/>
      </c>
      <c r="E322" s="16">
        <f>SUMIFS(Datos!$J$4:$J$1774,Datos!$C$4:$C$1774,"Nuvei",Datos!$A$4:$A$1774,A322)</f>
        <v/>
      </c>
      <c r="F322" s="27">
        <f>D322+E322</f>
        <v/>
      </c>
    </row>
    <row r="323">
      <c r="A323" s="26" t="n">
        <v>46198</v>
      </c>
      <c r="B323" s="16">
        <f>SUMIFS(Datos!$H$4:$H$1774,Datos!$C$4:$C$1774,"Nuvei",Datos!$A$4:$A$1774,A323)</f>
        <v/>
      </c>
      <c r="C323" s="16">
        <f>SUMIFS(Datos!$I$4:$I$1774,Datos!$C$4:$C$1774,"Nuvei",Datos!$A$4:$A$1774,A323)</f>
        <v/>
      </c>
      <c r="D323" s="16">
        <f>B323+C323</f>
        <v/>
      </c>
      <c r="E323" s="16">
        <f>SUMIFS(Datos!$J$4:$J$1774,Datos!$C$4:$C$1774,"Nuvei",Datos!$A$4:$A$1774,A323)</f>
        <v/>
      </c>
      <c r="F323" s="27">
        <f>D323+E323</f>
        <v/>
      </c>
    </row>
    <row r="324">
      <c r="A324" s="26" t="n">
        <v>46199</v>
      </c>
      <c r="B324" s="16">
        <f>SUMIFS(Datos!$H$4:$H$1774,Datos!$C$4:$C$1774,"Nuvei",Datos!$A$4:$A$1774,A324)</f>
        <v/>
      </c>
      <c r="C324" s="16">
        <f>SUMIFS(Datos!$I$4:$I$1774,Datos!$C$4:$C$1774,"Nuvei",Datos!$A$4:$A$1774,A324)</f>
        <v/>
      </c>
      <c r="D324" s="16">
        <f>B324+C324</f>
        <v/>
      </c>
      <c r="E324" s="16">
        <f>SUMIFS(Datos!$J$4:$J$1774,Datos!$C$4:$C$1774,"Nuvei",Datos!$A$4:$A$1774,A324)</f>
        <v/>
      </c>
      <c r="F324" s="27">
        <f>D324+E324</f>
        <v/>
      </c>
    </row>
    <row r="325">
      <c r="A325" s="26" t="n">
        <v>46200</v>
      </c>
      <c r="B325" s="16">
        <f>SUMIFS(Datos!$H$4:$H$1774,Datos!$C$4:$C$1774,"Nuvei",Datos!$A$4:$A$1774,A325)</f>
        <v/>
      </c>
      <c r="C325" s="16">
        <f>SUMIFS(Datos!$I$4:$I$1774,Datos!$C$4:$C$1774,"Nuvei",Datos!$A$4:$A$1774,A325)</f>
        <v/>
      </c>
      <c r="D325" s="16">
        <f>B325+C325</f>
        <v/>
      </c>
      <c r="E325" s="16">
        <f>SUMIFS(Datos!$J$4:$J$1774,Datos!$C$4:$C$1774,"Nuvei",Datos!$A$4:$A$1774,A325)</f>
        <v/>
      </c>
      <c r="F325" s="27">
        <f>D325+E325</f>
        <v/>
      </c>
    </row>
    <row r="326">
      <c r="A326" s="26" t="n">
        <v>46201</v>
      </c>
      <c r="B326" s="16">
        <f>SUMIFS(Datos!$H$4:$H$1774,Datos!$C$4:$C$1774,"Nuvei",Datos!$A$4:$A$1774,A326)</f>
        <v/>
      </c>
      <c r="C326" s="16">
        <f>SUMIFS(Datos!$I$4:$I$1774,Datos!$C$4:$C$1774,"Nuvei",Datos!$A$4:$A$1774,A326)</f>
        <v/>
      </c>
      <c r="D326" s="16">
        <f>B326+C326</f>
        <v/>
      </c>
      <c r="E326" s="16">
        <f>SUMIFS(Datos!$J$4:$J$1774,Datos!$C$4:$C$1774,"Nuvei",Datos!$A$4:$A$1774,A326)</f>
        <v/>
      </c>
      <c r="F326" s="27">
        <f>D326+E326</f>
        <v/>
      </c>
    </row>
    <row r="327">
      <c r="A327" s="26" t="n">
        <v>46202</v>
      </c>
      <c r="B327" s="16">
        <f>SUMIFS(Datos!$H$4:$H$1774,Datos!$C$4:$C$1774,"Nuvei",Datos!$A$4:$A$1774,A327)</f>
        <v/>
      </c>
      <c r="C327" s="16">
        <f>SUMIFS(Datos!$I$4:$I$1774,Datos!$C$4:$C$1774,"Nuvei",Datos!$A$4:$A$1774,A327)</f>
        <v/>
      </c>
      <c r="D327" s="16">
        <f>B327+C327</f>
        <v/>
      </c>
      <c r="E327" s="16">
        <f>SUMIFS(Datos!$J$4:$J$1774,Datos!$C$4:$C$1774,"Nuvei",Datos!$A$4:$A$1774,A327)</f>
        <v/>
      </c>
      <c r="F327" s="27">
        <f>D327+E327</f>
        <v/>
      </c>
    </row>
    <row r="328">
      <c r="A328" s="26" t="n">
        <v>46203</v>
      </c>
      <c r="B328" s="16">
        <f>SUMIFS(Datos!$H$4:$H$1774,Datos!$C$4:$C$1774,"Nuvei",Datos!$A$4:$A$1774,A328)</f>
        <v/>
      </c>
      <c r="C328" s="16">
        <f>SUMIFS(Datos!$I$4:$I$1774,Datos!$C$4:$C$1774,"Nuvei",Datos!$A$4:$A$1774,A328)</f>
        <v/>
      </c>
      <c r="D328" s="16">
        <f>B328+C328</f>
        <v/>
      </c>
      <c r="E328" s="16">
        <f>SUMIFS(Datos!$J$4:$J$1774,Datos!$C$4:$C$1774,"Nuvei",Datos!$A$4:$A$1774,A328)</f>
        <v/>
      </c>
      <c r="F328" s="27">
        <f>D328+E328</f>
        <v/>
      </c>
    </row>
    <row r="329">
      <c r="A329" s="26" t="n">
        <v>46204</v>
      </c>
      <c r="B329" s="16">
        <f>SUMIFS(Datos!$H$4:$H$1774,Datos!$C$4:$C$1774,"Nuvei",Datos!$A$4:$A$1774,A329)</f>
        <v/>
      </c>
      <c r="C329" s="16">
        <f>SUMIFS(Datos!$I$4:$I$1774,Datos!$C$4:$C$1774,"Nuvei",Datos!$A$4:$A$1774,A329)</f>
        <v/>
      </c>
      <c r="D329" s="16">
        <f>B329+C329</f>
        <v/>
      </c>
      <c r="E329" s="16">
        <f>SUMIFS(Datos!$J$4:$J$1774,Datos!$C$4:$C$1774,"Nuvei",Datos!$A$4:$A$1774,A329)</f>
        <v/>
      </c>
      <c r="F329" s="27">
        <f>D329+E329</f>
        <v/>
      </c>
    </row>
    <row r="330">
      <c r="A330" s="26" t="n">
        <v>46205</v>
      </c>
      <c r="B330" s="16">
        <f>SUMIFS(Datos!$H$4:$H$1774,Datos!$C$4:$C$1774,"Nuvei",Datos!$A$4:$A$1774,A330)</f>
        <v/>
      </c>
      <c r="C330" s="16">
        <f>SUMIFS(Datos!$I$4:$I$1774,Datos!$C$4:$C$1774,"Nuvei",Datos!$A$4:$A$1774,A330)</f>
        <v/>
      </c>
      <c r="D330" s="16">
        <f>B330+C330</f>
        <v/>
      </c>
      <c r="E330" s="16">
        <f>SUMIFS(Datos!$J$4:$J$1774,Datos!$C$4:$C$1774,"Nuvei",Datos!$A$4:$A$1774,A330)</f>
        <v/>
      </c>
      <c r="F330" s="27">
        <f>D330+E330</f>
        <v/>
      </c>
    </row>
    <row r="331">
      <c r="A331" s="26" t="n">
        <v>46206</v>
      </c>
      <c r="B331" s="16">
        <f>SUMIFS(Datos!$H$4:$H$1774,Datos!$C$4:$C$1774,"Nuvei",Datos!$A$4:$A$1774,A331)</f>
        <v/>
      </c>
      <c r="C331" s="16">
        <f>SUMIFS(Datos!$I$4:$I$1774,Datos!$C$4:$C$1774,"Nuvei",Datos!$A$4:$A$1774,A331)</f>
        <v/>
      </c>
      <c r="D331" s="16">
        <f>B331+C331</f>
        <v/>
      </c>
      <c r="E331" s="16">
        <f>SUMIFS(Datos!$J$4:$J$1774,Datos!$C$4:$C$1774,"Nuvei",Datos!$A$4:$A$1774,A331)</f>
        <v/>
      </c>
      <c r="F331" s="27">
        <f>D331+E331</f>
        <v/>
      </c>
    </row>
    <row r="332">
      <c r="A332" s="26" t="n">
        <v>46207</v>
      </c>
      <c r="B332" s="16">
        <f>SUMIFS(Datos!$H$4:$H$1774,Datos!$C$4:$C$1774,"Nuvei",Datos!$A$4:$A$1774,A332)</f>
        <v/>
      </c>
      <c r="C332" s="16">
        <f>SUMIFS(Datos!$I$4:$I$1774,Datos!$C$4:$C$1774,"Nuvei",Datos!$A$4:$A$1774,A332)</f>
        <v/>
      </c>
      <c r="D332" s="16">
        <f>B332+C332</f>
        <v/>
      </c>
      <c r="E332" s="16">
        <f>SUMIFS(Datos!$J$4:$J$1774,Datos!$C$4:$C$1774,"Nuvei",Datos!$A$4:$A$1774,A332)</f>
        <v/>
      </c>
      <c r="F332" s="27">
        <f>D332+E332</f>
        <v/>
      </c>
    </row>
    <row r="333">
      <c r="A333" s="26" t="n">
        <v>46208</v>
      </c>
      <c r="B333" s="16">
        <f>SUMIFS(Datos!$H$4:$H$1774,Datos!$C$4:$C$1774,"Nuvei",Datos!$A$4:$A$1774,A333)</f>
        <v/>
      </c>
      <c r="C333" s="16">
        <f>SUMIFS(Datos!$I$4:$I$1774,Datos!$C$4:$C$1774,"Nuvei",Datos!$A$4:$A$1774,A333)</f>
        <v/>
      </c>
      <c r="D333" s="16">
        <f>B333+C333</f>
        <v/>
      </c>
      <c r="E333" s="16">
        <f>SUMIFS(Datos!$J$4:$J$1774,Datos!$C$4:$C$1774,"Nuvei",Datos!$A$4:$A$1774,A333)</f>
        <v/>
      </c>
      <c r="F333" s="27">
        <f>D333+E333</f>
        <v/>
      </c>
    </row>
    <row r="334">
      <c r="A334" s="26" t="n">
        <v>46209</v>
      </c>
      <c r="B334" s="16">
        <f>SUMIFS(Datos!$H$4:$H$1774,Datos!$C$4:$C$1774,"Nuvei",Datos!$A$4:$A$1774,A334)</f>
        <v/>
      </c>
      <c r="C334" s="16">
        <f>SUMIFS(Datos!$I$4:$I$1774,Datos!$C$4:$C$1774,"Nuvei",Datos!$A$4:$A$1774,A334)</f>
        <v/>
      </c>
      <c r="D334" s="16">
        <f>B334+C334</f>
        <v/>
      </c>
      <c r="E334" s="16">
        <f>SUMIFS(Datos!$J$4:$J$1774,Datos!$C$4:$C$1774,"Nuvei",Datos!$A$4:$A$1774,A334)</f>
        <v/>
      </c>
      <c r="F334" s="27">
        <f>D334+E334</f>
        <v/>
      </c>
    </row>
    <row r="335">
      <c r="A335" s="26" t="n">
        <v>46210</v>
      </c>
      <c r="B335" s="16">
        <f>SUMIFS(Datos!$H$4:$H$1774,Datos!$C$4:$C$1774,"Nuvei",Datos!$A$4:$A$1774,A335)</f>
        <v/>
      </c>
      <c r="C335" s="16">
        <f>SUMIFS(Datos!$I$4:$I$1774,Datos!$C$4:$C$1774,"Nuvei",Datos!$A$4:$A$1774,A335)</f>
        <v/>
      </c>
      <c r="D335" s="16">
        <f>B335+C335</f>
        <v/>
      </c>
      <c r="E335" s="16">
        <f>SUMIFS(Datos!$J$4:$J$1774,Datos!$C$4:$C$1774,"Nuvei",Datos!$A$4:$A$1774,A335)</f>
        <v/>
      </c>
      <c r="F335" s="27">
        <f>D335+E335</f>
        <v/>
      </c>
    </row>
    <row r="336">
      <c r="A336" s="26" t="n">
        <v>46211</v>
      </c>
      <c r="B336" s="16">
        <f>SUMIFS(Datos!$H$4:$H$1774,Datos!$C$4:$C$1774,"Nuvei",Datos!$A$4:$A$1774,A336)</f>
        <v/>
      </c>
      <c r="C336" s="16">
        <f>SUMIFS(Datos!$I$4:$I$1774,Datos!$C$4:$C$1774,"Nuvei",Datos!$A$4:$A$1774,A336)</f>
        <v/>
      </c>
      <c r="D336" s="16">
        <f>B336+C336</f>
        <v/>
      </c>
      <c r="E336" s="16">
        <f>SUMIFS(Datos!$J$4:$J$1774,Datos!$C$4:$C$1774,"Nuvei",Datos!$A$4:$A$1774,A336)</f>
        <v/>
      </c>
      <c r="F336" s="27">
        <f>D336+E336</f>
        <v/>
      </c>
    </row>
    <row r="337">
      <c r="A337" s="26" t="n">
        <v>46212</v>
      </c>
      <c r="B337" s="16">
        <f>SUMIFS(Datos!$H$4:$H$1774,Datos!$C$4:$C$1774,"Nuvei",Datos!$A$4:$A$1774,A337)</f>
        <v/>
      </c>
      <c r="C337" s="16">
        <f>SUMIFS(Datos!$I$4:$I$1774,Datos!$C$4:$C$1774,"Nuvei",Datos!$A$4:$A$1774,A337)</f>
        <v/>
      </c>
      <c r="D337" s="16">
        <f>B337+C337</f>
        <v/>
      </c>
      <c r="E337" s="16">
        <f>SUMIFS(Datos!$J$4:$J$1774,Datos!$C$4:$C$1774,"Nuvei",Datos!$A$4:$A$1774,A337)</f>
        <v/>
      </c>
      <c r="F337" s="27">
        <f>D337+E337</f>
        <v/>
      </c>
    </row>
    <row r="338">
      <c r="A338" s="26" t="n">
        <v>46213</v>
      </c>
      <c r="B338" s="16">
        <f>SUMIFS(Datos!$H$4:$H$1774,Datos!$C$4:$C$1774,"Nuvei",Datos!$A$4:$A$1774,A338)</f>
        <v/>
      </c>
      <c r="C338" s="16">
        <f>SUMIFS(Datos!$I$4:$I$1774,Datos!$C$4:$C$1774,"Nuvei",Datos!$A$4:$A$1774,A338)</f>
        <v/>
      </c>
      <c r="D338" s="16">
        <f>B338+C338</f>
        <v/>
      </c>
      <c r="E338" s="16">
        <f>SUMIFS(Datos!$J$4:$J$1774,Datos!$C$4:$C$1774,"Nuvei",Datos!$A$4:$A$1774,A338)</f>
        <v/>
      </c>
      <c r="F338" s="27">
        <f>D338+E338</f>
        <v/>
      </c>
    </row>
    <row r="339">
      <c r="A339" s="26" t="n">
        <v>46214</v>
      </c>
      <c r="B339" s="16">
        <f>SUMIFS(Datos!$H$4:$H$1774,Datos!$C$4:$C$1774,"Nuvei",Datos!$A$4:$A$1774,A339)</f>
        <v/>
      </c>
      <c r="C339" s="16">
        <f>SUMIFS(Datos!$I$4:$I$1774,Datos!$C$4:$C$1774,"Nuvei",Datos!$A$4:$A$1774,A339)</f>
        <v/>
      </c>
      <c r="D339" s="16">
        <f>B339+C339</f>
        <v/>
      </c>
      <c r="E339" s="16">
        <f>SUMIFS(Datos!$J$4:$J$1774,Datos!$C$4:$C$1774,"Nuvei",Datos!$A$4:$A$1774,A339)</f>
        <v/>
      </c>
      <c r="F339" s="27">
        <f>D339+E339</f>
        <v/>
      </c>
    </row>
    <row r="340">
      <c r="A340" s="26" t="n">
        <v>46215</v>
      </c>
      <c r="B340" s="16">
        <f>SUMIFS(Datos!$H$4:$H$1774,Datos!$C$4:$C$1774,"Nuvei",Datos!$A$4:$A$1774,A340)</f>
        <v/>
      </c>
      <c r="C340" s="16">
        <f>SUMIFS(Datos!$I$4:$I$1774,Datos!$C$4:$C$1774,"Nuvei",Datos!$A$4:$A$1774,A340)</f>
        <v/>
      </c>
      <c r="D340" s="16">
        <f>B340+C340</f>
        <v/>
      </c>
      <c r="E340" s="16">
        <f>SUMIFS(Datos!$J$4:$J$1774,Datos!$C$4:$C$1774,"Nuvei",Datos!$A$4:$A$1774,A340)</f>
        <v/>
      </c>
      <c r="F340" s="27">
        <f>D340+E340</f>
        <v/>
      </c>
    </row>
    <row r="341">
      <c r="A341" s="26" t="n">
        <v>46216</v>
      </c>
      <c r="B341" s="16">
        <f>SUMIFS(Datos!$H$4:$H$1774,Datos!$C$4:$C$1774,"Nuvei",Datos!$A$4:$A$1774,A341)</f>
        <v/>
      </c>
      <c r="C341" s="16">
        <f>SUMIFS(Datos!$I$4:$I$1774,Datos!$C$4:$C$1774,"Nuvei",Datos!$A$4:$A$1774,A341)</f>
        <v/>
      </c>
      <c r="D341" s="16">
        <f>B341+C341</f>
        <v/>
      </c>
      <c r="E341" s="16">
        <f>SUMIFS(Datos!$J$4:$J$1774,Datos!$C$4:$C$1774,"Nuvei",Datos!$A$4:$A$1774,A341)</f>
        <v/>
      </c>
      <c r="F341" s="27">
        <f>D341+E341</f>
        <v/>
      </c>
    </row>
    <row r="342">
      <c r="A342" s="26" t="n">
        <v>46217</v>
      </c>
      <c r="B342" s="16">
        <f>SUMIFS(Datos!$H$4:$H$1774,Datos!$C$4:$C$1774,"Nuvei",Datos!$A$4:$A$1774,A342)</f>
        <v/>
      </c>
      <c r="C342" s="16">
        <f>SUMIFS(Datos!$I$4:$I$1774,Datos!$C$4:$C$1774,"Nuvei",Datos!$A$4:$A$1774,A342)</f>
        <v/>
      </c>
      <c r="D342" s="16">
        <f>B342+C342</f>
        <v/>
      </c>
      <c r="E342" s="16">
        <f>SUMIFS(Datos!$J$4:$J$1774,Datos!$C$4:$C$1774,"Nuvei",Datos!$A$4:$A$1774,A342)</f>
        <v/>
      </c>
      <c r="F342" s="27">
        <f>D342+E342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30" t="inlineStr">
        <is>
          <t>ADYEN — Ventas, Fee, Cobro y Retenido</t>
        </is>
      </c>
      <c r="B1" s="31" t="n"/>
      <c r="C1" s="31" t="n"/>
      <c r="D1" s="31" t="n"/>
      <c r="E1" s="31" t="n"/>
      <c r="F1" s="31" t="n"/>
    </row>
    <row r="3">
      <c r="A3" s="12" t="inlineStr">
        <is>
          <t>POR SEMANA</t>
        </is>
      </c>
      <c r="B3" s="13" t="n"/>
      <c r="C3" s="13" t="n"/>
      <c r="D3" s="13" t="n"/>
      <c r="E3" s="13" t="n"/>
      <c r="F3" s="13" t="n"/>
    </row>
    <row r="4">
      <c r="A4" s="7" t="inlineStr">
        <is>
          <t>Semana</t>
        </is>
      </c>
      <c r="B4" s="7" t="inlineStr">
        <is>
          <t>Ventas (€)</t>
        </is>
      </c>
      <c r="C4" s="7" t="inlineStr">
        <is>
          <t>Fee (€)</t>
        </is>
      </c>
      <c r="D4" s="7" t="inlineStr">
        <is>
          <t>Cobro (€)</t>
        </is>
      </c>
      <c r="E4" s="7" t="inlineStr">
        <is>
          <t>Payout (€)</t>
        </is>
      </c>
      <c r="F4" s="7" t="inlineStr">
        <is>
          <t>Retenido neto (€)</t>
        </is>
      </c>
    </row>
    <row r="6">
      <c r="A6" s="15" t="inlineStr">
        <is>
          <t>2026-W01</t>
        </is>
      </c>
      <c r="B6" s="16">
        <f>SUMIFS(Datos!$H$4:$H$1774,Datos!$C$4:$C$1774,"Adyen",Datos!$B$4:$B$1774,A6)</f>
        <v/>
      </c>
      <c r="C6" s="16">
        <f>SUMIFS(Datos!$I$4:$I$1774,Datos!$C$4:$C$1774,"Adyen",Datos!$B$4:$B$1774,A6)</f>
        <v/>
      </c>
      <c r="D6" s="16">
        <f>B6+C6</f>
        <v/>
      </c>
      <c r="E6" s="16">
        <f>SUMIFS(Datos!$J$4:$J$1774,Datos!$C$4:$C$1774,"Adyen",Datos!$B$4:$B$1774,A6)</f>
        <v/>
      </c>
      <c r="F6" s="25">
        <f>D6+E6</f>
        <v/>
      </c>
    </row>
    <row r="7">
      <c r="A7" s="15" t="inlineStr">
        <is>
          <t>2026-W02</t>
        </is>
      </c>
      <c r="B7" s="16">
        <f>SUMIFS(Datos!$H$4:$H$1774,Datos!$C$4:$C$1774,"Adyen",Datos!$B$4:$B$1774,A7)</f>
        <v/>
      </c>
      <c r="C7" s="16">
        <f>SUMIFS(Datos!$I$4:$I$1774,Datos!$C$4:$C$1774,"Adyen",Datos!$B$4:$B$1774,A7)</f>
        <v/>
      </c>
      <c r="D7" s="16">
        <f>B7+C7</f>
        <v/>
      </c>
      <c r="E7" s="16">
        <f>SUMIFS(Datos!$J$4:$J$1774,Datos!$C$4:$C$1774,"Adyen",Datos!$B$4:$B$1774,A7)</f>
        <v/>
      </c>
      <c r="F7" s="25">
        <f>D7+E7</f>
        <v/>
      </c>
    </row>
    <row r="8">
      <c r="A8" s="15" t="inlineStr">
        <is>
          <t>2026-W03</t>
        </is>
      </c>
      <c r="B8" s="16">
        <f>SUMIFS(Datos!$H$4:$H$1774,Datos!$C$4:$C$1774,"Adyen",Datos!$B$4:$B$1774,A8)</f>
        <v/>
      </c>
      <c r="C8" s="16">
        <f>SUMIFS(Datos!$I$4:$I$1774,Datos!$C$4:$C$1774,"Adyen",Datos!$B$4:$B$1774,A8)</f>
        <v/>
      </c>
      <c r="D8" s="16">
        <f>B8+C8</f>
        <v/>
      </c>
      <c r="E8" s="16">
        <f>SUMIFS(Datos!$J$4:$J$1774,Datos!$C$4:$C$1774,"Adyen",Datos!$B$4:$B$1774,A8)</f>
        <v/>
      </c>
      <c r="F8" s="25">
        <f>D8+E8</f>
        <v/>
      </c>
    </row>
    <row r="9">
      <c r="A9" s="15" t="inlineStr">
        <is>
          <t>2026-W04</t>
        </is>
      </c>
      <c r="B9" s="16">
        <f>SUMIFS(Datos!$H$4:$H$1774,Datos!$C$4:$C$1774,"Adyen",Datos!$B$4:$B$1774,A9)</f>
        <v/>
      </c>
      <c r="C9" s="16">
        <f>SUMIFS(Datos!$I$4:$I$1774,Datos!$C$4:$C$1774,"Adyen",Datos!$B$4:$B$1774,A9)</f>
        <v/>
      </c>
      <c r="D9" s="16">
        <f>B9+C9</f>
        <v/>
      </c>
      <c r="E9" s="16">
        <f>SUMIFS(Datos!$J$4:$J$1774,Datos!$C$4:$C$1774,"Adyen",Datos!$B$4:$B$1774,A9)</f>
        <v/>
      </c>
      <c r="F9" s="25">
        <f>D9+E9</f>
        <v/>
      </c>
    </row>
    <row r="10">
      <c r="A10" s="15" t="inlineStr">
        <is>
          <t>2026-W05</t>
        </is>
      </c>
      <c r="B10" s="16">
        <f>SUMIFS(Datos!$H$4:$H$1774,Datos!$C$4:$C$1774,"Adyen",Datos!$B$4:$B$1774,A10)</f>
        <v/>
      </c>
      <c r="C10" s="16">
        <f>SUMIFS(Datos!$I$4:$I$1774,Datos!$C$4:$C$1774,"Adyen",Datos!$B$4:$B$1774,A10)</f>
        <v/>
      </c>
      <c r="D10" s="16">
        <f>B10+C10</f>
        <v/>
      </c>
      <c r="E10" s="16">
        <f>SUMIFS(Datos!$J$4:$J$1774,Datos!$C$4:$C$1774,"Adyen",Datos!$B$4:$B$1774,A10)</f>
        <v/>
      </c>
      <c r="F10" s="25">
        <f>D10+E10</f>
        <v/>
      </c>
    </row>
    <row r="11">
      <c r="A11" s="15" t="inlineStr">
        <is>
          <t>2026-W06</t>
        </is>
      </c>
      <c r="B11" s="16">
        <f>SUMIFS(Datos!$H$4:$H$1774,Datos!$C$4:$C$1774,"Adyen",Datos!$B$4:$B$1774,A11)</f>
        <v/>
      </c>
      <c r="C11" s="16">
        <f>SUMIFS(Datos!$I$4:$I$1774,Datos!$C$4:$C$1774,"Adyen",Datos!$B$4:$B$1774,A11)</f>
        <v/>
      </c>
      <c r="D11" s="16">
        <f>B11+C11</f>
        <v/>
      </c>
      <c r="E11" s="16">
        <f>SUMIFS(Datos!$J$4:$J$1774,Datos!$C$4:$C$1774,"Adyen",Datos!$B$4:$B$1774,A11)</f>
        <v/>
      </c>
      <c r="F11" s="25">
        <f>D11+E11</f>
        <v/>
      </c>
    </row>
    <row r="12">
      <c r="A12" s="15" t="inlineStr">
        <is>
          <t>2026-W07</t>
        </is>
      </c>
      <c r="B12" s="16">
        <f>SUMIFS(Datos!$H$4:$H$1774,Datos!$C$4:$C$1774,"Adyen",Datos!$B$4:$B$1774,A12)</f>
        <v/>
      </c>
      <c r="C12" s="16">
        <f>SUMIFS(Datos!$I$4:$I$1774,Datos!$C$4:$C$1774,"Adyen",Datos!$B$4:$B$1774,A12)</f>
        <v/>
      </c>
      <c r="D12" s="16">
        <f>B12+C12</f>
        <v/>
      </c>
      <c r="E12" s="16">
        <f>SUMIFS(Datos!$J$4:$J$1774,Datos!$C$4:$C$1774,"Adyen",Datos!$B$4:$B$1774,A12)</f>
        <v/>
      </c>
      <c r="F12" s="25">
        <f>D12+E12</f>
        <v/>
      </c>
    </row>
    <row r="13">
      <c r="A13" s="15" t="inlineStr">
        <is>
          <t>2026-W08</t>
        </is>
      </c>
      <c r="B13" s="16">
        <f>SUMIFS(Datos!$H$4:$H$1774,Datos!$C$4:$C$1774,"Adyen",Datos!$B$4:$B$1774,A13)</f>
        <v/>
      </c>
      <c r="C13" s="16">
        <f>SUMIFS(Datos!$I$4:$I$1774,Datos!$C$4:$C$1774,"Adyen",Datos!$B$4:$B$1774,A13)</f>
        <v/>
      </c>
      <c r="D13" s="16">
        <f>B13+C13</f>
        <v/>
      </c>
      <c r="E13" s="16">
        <f>SUMIFS(Datos!$J$4:$J$1774,Datos!$C$4:$C$1774,"Adyen",Datos!$B$4:$B$1774,A13)</f>
        <v/>
      </c>
      <c r="F13" s="25">
        <f>D13+E13</f>
        <v/>
      </c>
    </row>
    <row r="14">
      <c r="A14" s="15" t="inlineStr">
        <is>
          <t>2026-W09</t>
        </is>
      </c>
      <c r="B14" s="16">
        <f>SUMIFS(Datos!$H$4:$H$1774,Datos!$C$4:$C$1774,"Adyen",Datos!$B$4:$B$1774,A14)</f>
        <v/>
      </c>
      <c r="C14" s="16">
        <f>SUMIFS(Datos!$I$4:$I$1774,Datos!$C$4:$C$1774,"Adyen",Datos!$B$4:$B$1774,A14)</f>
        <v/>
      </c>
      <c r="D14" s="16">
        <f>B14+C14</f>
        <v/>
      </c>
      <c r="E14" s="16">
        <f>SUMIFS(Datos!$J$4:$J$1774,Datos!$C$4:$C$1774,"Adyen",Datos!$B$4:$B$1774,A14)</f>
        <v/>
      </c>
      <c r="F14" s="25">
        <f>D14+E14</f>
        <v/>
      </c>
    </row>
    <row r="15">
      <c r="A15" s="15" t="inlineStr">
        <is>
          <t>2026-W10</t>
        </is>
      </c>
      <c r="B15" s="16">
        <f>SUMIFS(Datos!$H$4:$H$1774,Datos!$C$4:$C$1774,"Adyen",Datos!$B$4:$B$1774,A15)</f>
        <v/>
      </c>
      <c r="C15" s="16">
        <f>SUMIFS(Datos!$I$4:$I$1774,Datos!$C$4:$C$1774,"Adyen",Datos!$B$4:$B$1774,A15)</f>
        <v/>
      </c>
      <c r="D15" s="16">
        <f>B15+C15</f>
        <v/>
      </c>
      <c r="E15" s="16">
        <f>SUMIFS(Datos!$J$4:$J$1774,Datos!$C$4:$C$1774,"Adyen",Datos!$B$4:$B$1774,A15)</f>
        <v/>
      </c>
      <c r="F15" s="25">
        <f>D15+E15</f>
        <v/>
      </c>
    </row>
    <row r="16">
      <c r="A16" s="15" t="inlineStr">
        <is>
          <t>2026-W11</t>
        </is>
      </c>
      <c r="B16" s="16">
        <f>SUMIFS(Datos!$H$4:$H$1774,Datos!$C$4:$C$1774,"Adyen",Datos!$B$4:$B$1774,A16)</f>
        <v/>
      </c>
      <c r="C16" s="16">
        <f>SUMIFS(Datos!$I$4:$I$1774,Datos!$C$4:$C$1774,"Adyen",Datos!$B$4:$B$1774,A16)</f>
        <v/>
      </c>
      <c r="D16" s="16">
        <f>B16+C16</f>
        <v/>
      </c>
      <c r="E16" s="16">
        <f>SUMIFS(Datos!$J$4:$J$1774,Datos!$C$4:$C$1774,"Adyen",Datos!$B$4:$B$1774,A16)</f>
        <v/>
      </c>
      <c r="F16" s="25">
        <f>D16+E16</f>
        <v/>
      </c>
    </row>
    <row r="17">
      <c r="A17" s="15" t="inlineStr">
        <is>
          <t>2026-W12</t>
        </is>
      </c>
      <c r="B17" s="16">
        <f>SUMIFS(Datos!$H$4:$H$1774,Datos!$C$4:$C$1774,"Adyen",Datos!$B$4:$B$1774,A17)</f>
        <v/>
      </c>
      <c r="C17" s="16">
        <f>SUMIFS(Datos!$I$4:$I$1774,Datos!$C$4:$C$1774,"Adyen",Datos!$B$4:$B$1774,A17)</f>
        <v/>
      </c>
      <c r="D17" s="16">
        <f>B17+C17</f>
        <v/>
      </c>
      <c r="E17" s="16">
        <f>SUMIFS(Datos!$J$4:$J$1774,Datos!$C$4:$C$1774,"Adyen",Datos!$B$4:$B$1774,A17)</f>
        <v/>
      </c>
      <c r="F17" s="25">
        <f>D17+E17</f>
        <v/>
      </c>
    </row>
    <row r="18">
      <c r="A18" s="15" t="inlineStr">
        <is>
          <t>2026-W13</t>
        </is>
      </c>
      <c r="B18" s="16">
        <f>SUMIFS(Datos!$H$4:$H$1774,Datos!$C$4:$C$1774,"Adyen",Datos!$B$4:$B$1774,A18)</f>
        <v/>
      </c>
      <c r="C18" s="16">
        <f>SUMIFS(Datos!$I$4:$I$1774,Datos!$C$4:$C$1774,"Adyen",Datos!$B$4:$B$1774,A18)</f>
        <v/>
      </c>
      <c r="D18" s="16">
        <f>B18+C18</f>
        <v/>
      </c>
      <c r="E18" s="16">
        <f>SUMIFS(Datos!$J$4:$J$1774,Datos!$C$4:$C$1774,"Adyen",Datos!$B$4:$B$1774,A18)</f>
        <v/>
      </c>
      <c r="F18" s="25">
        <f>D18+E18</f>
        <v/>
      </c>
    </row>
    <row r="19">
      <c r="A19" s="15" t="inlineStr">
        <is>
          <t>2026-W14</t>
        </is>
      </c>
      <c r="B19" s="16">
        <f>SUMIFS(Datos!$H$4:$H$1774,Datos!$C$4:$C$1774,"Adyen",Datos!$B$4:$B$1774,A19)</f>
        <v/>
      </c>
      <c r="C19" s="16">
        <f>SUMIFS(Datos!$I$4:$I$1774,Datos!$C$4:$C$1774,"Adyen",Datos!$B$4:$B$1774,A19)</f>
        <v/>
      </c>
      <c r="D19" s="16">
        <f>B19+C19</f>
        <v/>
      </c>
      <c r="E19" s="16">
        <f>SUMIFS(Datos!$J$4:$J$1774,Datos!$C$4:$C$1774,"Adyen",Datos!$B$4:$B$1774,A19)</f>
        <v/>
      </c>
      <c r="F19" s="25">
        <f>D19+E19</f>
        <v/>
      </c>
    </row>
    <row r="20">
      <c r="A20" s="15" t="inlineStr">
        <is>
          <t>2026-W15</t>
        </is>
      </c>
      <c r="B20" s="16">
        <f>SUMIFS(Datos!$H$4:$H$1774,Datos!$C$4:$C$1774,"Adyen",Datos!$B$4:$B$1774,A20)</f>
        <v/>
      </c>
      <c r="C20" s="16">
        <f>SUMIFS(Datos!$I$4:$I$1774,Datos!$C$4:$C$1774,"Adyen",Datos!$B$4:$B$1774,A20)</f>
        <v/>
      </c>
      <c r="D20" s="16">
        <f>B20+C20</f>
        <v/>
      </c>
      <c r="E20" s="16">
        <f>SUMIFS(Datos!$J$4:$J$1774,Datos!$C$4:$C$1774,"Adyen",Datos!$B$4:$B$1774,A20)</f>
        <v/>
      </c>
      <c r="F20" s="25">
        <f>D20+E20</f>
        <v/>
      </c>
    </row>
    <row r="21">
      <c r="A21" s="15" t="inlineStr">
        <is>
          <t>2026-W16</t>
        </is>
      </c>
      <c r="B21" s="16">
        <f>SUMIFS(Datos!$H$4:$H$1774,Datos!$C$4:$C$1774,"Adyen",Datos!$B$4:$B$1774,A21)</f>
        <v/>
      </c>
      <c r="C21" s="16">
        <f>SUMIFS(Datos!$I$4:$I$1774,Datos!$C$4:$C$1774,"Adyen",Datos!$B$4:$B$1774,A21)</f>
        <v/>
      </c>
      <c r="D21" s="16">
        <f>B21+C21</f>
        <v/>
      </c>
      <c r="E21" s="16">
        <f>SUMIFS(Datos!$J$4:$J$1774,Datos!$C$4:$C$1774,"Adyen",Datos!$B$4:$B$1774,A21)</f>
        <v/>
      </c>
      <c r="F21" s="25">
        <f>D21+E21</f>
        <v/>
      </c>
    </row>
    <row r="22">
      <c r="A22" s="15" t="inlineStr">
        <is>
          <t>2026-W17</t>
        </is>
      </c>
      <c r="B22" s="16">
        <f>SUMIFS(Datos!$H$4:$H$1774,Datos!$C$4:$C$1774,"Adyen",Datos!$B$4:$B$1774,A22)</f>
        <v/>
      </c>
      <c r="C22" s="16">
        <f>SUMIFS(Datos!$I$4:$I$1774,Datos!$C$4:$C$1774,"Adyen",Datos!$B$4:$B$1774,A22)</f>
        <v/>
      </c>
      <c r="D22" s="16">
        <f>B22+C22</f>
        <v/>
      </c>
      <c r="E22" s="16">
        <f>SUMIFS(Datos!$J$4:$J$1774,Datos!$C$4:$C$1774,"Adyen",Datos!$B$4:$B$1774,A22)</f>
        <v/>
      </c>
      <c r="F22" s="25">
        <f>D22+E22</f>
        <v/>
      </c>
    </row>
    <row r="23">
      <c r="A23" s="15" t="inlineStr">
        <is>
          <t>2026-W18</t>
        </is>
      </c>
      <c r="B23" s="16">
        <f>SUMIFS(Datos!$H$4:$H$1774,Datos!$C$4:$C$1774,"Adyen",Datos!$B$4:$B$1774,A23)</f>
        <v/>
      </c>
      <c r="C23" s="16">
        <f>SUMIFS(Datos!$I$4:$I$1774,Datos!$C$4:$C$1774,"Adyen",Datos!$B$4:$B$1774,A23)</f>
        <v/>
      </c>
      <c r="D23" s="16">
        <f>B23+C23</f>
        <v/>
      </c>
      <c r="E23" s="16">
        <f>SUMIFS(Datos!$J$4:$J$1774,Datos!$C$4:$C$1774,"Adyen",Datos!$B$4:$B$1774,A23)</f>
        <v/>
      </c>
      <c r="F23" s="25">
        <f>D23+E23</f>
        <v/>
      </c>
    </row>
    <row r="24">
      <c r="A24" s="15" t="inlineStr">
        <is>
          <t>2026-W19</t>
        </is>
      </c>
      <c r="B24" s="16">
        <f>SUMIFS(Datos!$H$4:$H$1774,Datos!$C$4:$C$1774,"Adyen",Datos!$B$4:$B$1774,A24)</f>
        <v/>
      </c>
      <c r="C24" s="16">
        <f>SUMIFS(Datos!$I$4:$I$1774,Datos!$C$4:$C$1774,"Adyen",Datos!$B$4:$B$1774,A24)</f>
        <v/>
      </c>
      <c r="D24" s="16">
        <f>B24+C24</f>
        <v/>
      </c>
      <c r="E24" s="16">
        <f>SUMIFS(Datos!$J$4:$J$1774,Datos!$C$4:$C$1774,"Adyen",Datos!$B$4:$B$1774,A24)</f>
        <v/>
      </c>
      <c r="F24" s="25">
        <f>D24+E24</f>
        <v/>
      </c>
    </row>
    <row r="25">
      <c r="A25" s="15" t="inlineStr">
        <is>
          <t>2026-W20</t>
        </is>
      </c>
      <c r="B25" s="16">
        <f>SUMIFS(Datos!$H$4:$H$1774,Datos!$C$4:$C$1774,"Adyen",Datos!$B$4:$B$1774,A25)</f>
        <v/>
      </c>
      <c r="C25" s="16">
        <f>SUMIFS(Datos!$I$4:$I$1774,Datos!$C$4:$C$1774,"Adyen",Datos!$B$4:$B$1774,A25)</f>
        <v/>
      </c>
      <c r="D25" s="16">
        <f>B25+C25</f>
        <v/>
      </c>
      <c r="E25" s="16">
        <f>SUMIFS(Datos!$J$4:$J$1774,Datos!$C$4:$C$1774,"Adyen",Datos!$B$4:$B$1774,A25)</f>
        <v/>
      </c>
      <c r="F25" s="25">
        <f>D25+E25</f>
        <v/>
      </c>
    </row>
    <row r="26">
      <c r="A26" s="15" t="inlineStr">
        <is>
          <t>2026-W21</t>
        </is>
      </c>
      <c r="B26" s="16">
        <f>SUMIFS(Datos!$H$4:$H$1774,Datos!$C$4:$C$1774,"Adyen",Datos!$B$4:$B$1774,A26)</f>
        <v/>
      </c>
      <c r="C26" s="16">
        <f>SUMIFS(Datos!$I$4:$I$1774,Datos!$C$4:$C$1774,"Adyen",Datos!$B$4:$B$1774,A26)</f>
        <v/>
      </c>
      <c r="D26" s="16">
        <f>B26+C26</f>
        <v/>
      </c>
      <c r="E26" s="16">
        <f>SUMIFS(Datos!$J$4:$J$1774,Datos!$C$4:$C$1774,"Adyen",Datos!$B$4:$B$1774,A26)</f>
        <v/>
      </c>
      <c r="F26" s="25">
        <f>D26+E26</f>
        <v/>
      </c>
    </row>
    <row r="27">
      <c r="A27" s="15" t="inlineStr">
        <is>
          <t>2026-W22</t>
        </is>
      </c>
      <c r="B27" s="16">
        <f>SUMIFS(Datos!$H$4:$H$1774,Datos!$C$4:$C$1774,"Adyen",Datos!$B$4:$B$1774,A27)</f>
        <v/>
      </c>
      <c r="C27" s="16">
        <f>SUMIFS(Datos!$I$4:$I$1774,Datos!$C$4:$C$1774,"Adyen",Datos!$B$4:$B$1774,A27)</f>
        <v/>
      </c>
      <c r="D27" s="16">
        <f>B27+C27</f>
        <v/>
      </c>
      <c r="E27" s="16">
        <f>SUMIFS(Datos!$J$4:$J$1774,Datos!$C$4:$C$1774,"Adyen",Datos!$B$4:$B$1774,A27)</f>
        <v/>
      </c>
      <c r="F27" s="25">
        <f>D27+E27</f>
        <v/>
      </c>
    </row>
    <row r="28">
      <c r="A28" s="15" t="inlineStr">
        <is>
          <t>2026-W23</t>
        </is>
      </c>
      <c r="B28" s="16">
        <f>SUMIFS(Datos!$H$4:$H$1774,Datos!$C$4:$C$1774,"Adyen",Datos!$B$4:$B$1774,A28)</f>
        <v/>
      </c>
      <c r="C28" s="16">
        <f>SUMIFS(Datos!$I$4:$I$1774,Datos!$C$4:$C$1774,"Adyen",Datos!$B$4:$B$1774,A28)</f>
        <v/>
      </c>
      <c r="D28" s="16">
        <f>B28+C28</f>
        <v/>
      </c>
      <c r="E28" s="16">
        <f>SUMIFS(Datos!$J$4:$J$1774,Datos!$C$4:$C$1774,"Adyen",Datos!$B$4:$B$1774,A28)</f>
        <v/>
      </c>
      <c r="F28" s="25">
        <f>D28+E28</f>
        <v/>
      </c>
    </row>
    <row r="29">
      <c r="A29" s="15" t="inlineStr">
        <is>
          <t>2026-W24</t>
        </is>
      </c>
      <c r="B29" s="16">
        <f>SUMIFS(Datos!$H$4:$H$1774,Datos!$C$4:$C$1774,"Adyen",Datos!$B$4:$B$1774,A29)</f>
        <v/>
      </c>
      <c r="C29" s="16">
        <f>SUMIFS(Datos!$I$4:$I$1774,Datos!$C$4:$C$1774,"Adyen",Datos!$B$4:$B$1774,A29)</f>
        <v/>
      </c>
      <c r="D29" s="16">
        <f>B29+C29</f>
        <v/>
      </c>
      <c r="E29" s="16">
        <f>SUMIFS(Datos!$J$4:$J$1774,Datos!$C$4:$C$1774,"Adyen",Datos!$B$4:$B$1774,A29)</f>
        <v/>
      </c>
      <c r="F29" s="25">
        <f>D29+E29</f>
        <v/>
      </c>
    </row>
    <row r="30">
      <c r="A30" s="15" t="inlineStr">
        <is>
          <t>2026-W25</t>
        </is>
      </c>
      <c r="B30" s="16">
        <f>SUMIFS(Datos!$H$4:$H$1774,Datos!$C$4:$C$1774,"Adyen",Datos!$B$4:$B$1774,A30)</f>
        <v/>
      </c>
      <c r="C30" s="16">
        <f>SUMIFS(Datos!$I$4:$I$1774,Datos!$C$4:$C$1774,"Adyen",Datos!$B$4:$B$1774,A30)</f>
        <v/>
      </c>
      <c r="D30" s="16">
        <f>B30+C30</f>
        <v/>
      </c>
      <c r="E30" s="16">
        <f>SUMIFS(Datos!$J$4:$J$1774,Datos!$C$4:$C$1774,"Adyen",Datos!$B$4:$B$1774,A30)</f>
        <v/>
      </c>
      <c r="F30" s="25">
        <f>D30+E30</f>
        <v/>
      </c>
    </row>
    <row r="31">
      <c r="A31" s="15" t="inlineStr">
        <is>
          <t>2026-W26</t>
        </is>
      </c>
      <c r="B31" s="16">
        <f>SUMIFS(Datos!$H$4:$H$1774,Datos!$C$4:$C$1774,"Adyen",Datos!$B$4:$B$1774,A31)</f>
        <v/>
      </c>
      <c r="C31" s="16">
        <f>SUMIFS(Datos!$I$4:$I$1774,Datos!$C$4:$C$1774,"Adyen",Datos!$B$4:$B$1774,A31)</f>
        <v/>
      </c>
      <c r="D31" s="16">
        <f>B31+C31</f>
        <v/>
      </c>
      <c r="E31" s="16">
        <f>SUMIFS(Datos!$J$4:$J$1774,Datos!$C$4:$C$1774,"Adyen",Datos!$B$4:$B$1774,A31)</f>
        <v/>
      </c>
      <c r="F31" s="25">
        <f>D31+E31</f>
        <v/>
      </c>
    </row>
    <row r="32">
      <c r="A32" s="15" t="inlineStr">
        <is>
          <t>2026-W27</t>
        </is>
      </c>
      <c r="B32" s="16">
        <f>SUMIFS(Datos!$H$4:$H$1774,Datos!$C$4:$C$1774,"Adyen",Datos!$B$4:$B$1774,A32)</f>
        <v/>
      </c>
      <c r="C32" s="16">
        <f>SUMIFS(Datos!$I$4:$I$1774,Datos!$C$4:$C$1774,"Adyen",Datos!$B$4:$B$1774,A32)</f>
        <v/>
      </c>
      <c r="D32" s="16">
        <f>B32+C32</f>
        <v/>
      </c>
      <c r="E32" s="16">
        <f>SUMIFS(Datos!$J$4:$J$1774,Datos!$C$4:$C$1774,"Adyen",Datos!$B$4:$B$1774,A32)</f>
        <v/>
      </c>
      <c r="F32" s="25">
        <f>D32+E32</f>
        <v/>
      </c>
    </row>
    <row r="33">
      <c r="A33" s="15" t="inlineStr">
        <is>
          <t>2026-W28</t>
        </is>
      </c>
      <c r="B33" s="16">
        <f>SUMIFS(Datos!$H$4:$H$1774,Datos!$C$4:$C$1774,"Adyen",Datos!$B$4:$B$1774,A33)</f>
        <v/>
      </c>
      <c r="C33" s="16">
        <f>SUMIFS(Datos!$I$4:$I$1774,Datos!$C$4:$C$1774,"Adyen",Datos!$B$4:$B$1774,A33)</f>
        <v/>
      </c>
      <c r="D33" s="16">
        <f>B33+C33</f>
        <v/>
      </c>
      <c r="E33" s="16">
        <f>SUMIFS(Datos!$J$4:$J$1774,Datos!$C$4:$C$1774,"Adyen",Datos!$B$4:$B$1774,A33)</f>
        <v/>
      </c>
      <c r="F33" s="25">
        <f>D33+E33</f>
        <v/>
      </c>
    </row>
    <row r="34">
      <c r="A34" s="15" t="inlineStr">
        <is>
          <t>2026-W29</t>
        </is>
      </c>
      <c r="B34" s="16">
        <f>SUMIFS(Datos!$H$4:$H$1774,Datos!$C$4:$C$1774,"Adyen",Datos!$B$4:$B$1774,A34)</f>
        <v/>
      </c>
      <c r="C34" s="16">
        <f>SUMIFS(Datos!$I$4:$I$1774,Datos!$C$4:$C$1774,"Adyen",Datos!$B$4:$B$1774,A34)</f>
        <v/>
      </c>
      <c r="D34" s="16">
        <f>B34+C34</f>
        <v/>
      </c>
      <c r="E34" s="16">
        <f>SUMIFS(Datos!$J$4:$J$1774,Datos!$C$4:$C$1774,"Adyen",Datos!$B$4:$B$1774,A34)</f>
        <v/>
      </c>
      <c r="F34" s="25">
        <f>D34+E34</f>
        <v/>
      </c>
    </row>
    <row r="35">
      <c r="A35" s="5" t="inlineStr">
        <is>
          <t>TOTAL</t>
        </is>
      </c>
      <c r="B35" s="18">
        <f>SUM(B6:B34)</f>
        <v/>
      </c>
      <c r="C35" s="18">
        <f>SUM(C6:C34)</f>
        <v/>
      </c>
      <c r="D35" s="18">
        <f>SUM(D6:D34)</f>
        <v/>
      </c>
      <c r="E35" s="18">
        <f>SUM(E6:E34)</f>
        <v/>
      </c>
      <c r="F35" s="18">
        <f>SUM(F6:F34)</f>
        <v/>
      </c>
    </row>
    <row r="38">
      <c r="A38" s="12" t="inlineStr">
        <is>
          <t>POR DÍA</t>
        </is>
      </c>
      <c r="B38" s="13" t="n"/>
      <c r="C38" s="13" t="n"/>
      <c r="D38" s="13" t="n"/>
      <c r="E38" s="13" t="n"/>
      <c r="F38" s="13" t="n"/>
    </row>
    <row r="39">
      <c r="A39" s="7" t="inlineStr">
        <is>
          <t>Fecha</t>
        </is>
      </c>
      <c r="B39" s="7" t="inlineStr">
        <is>
          <t>Ventas (€)</t>
        </is>
      </c>
      <c r="C39" s="7" t="inlineStr">
        <is>
          <t>Fee (€)</t>
        </is>
      </c>
      <c r="D39" s="7" t="inlineStr">
        <is>
          <t>Cobro (€)</t>
        </is>
      </c>
      <c r="E39" s="7" t="inlineStr">
        <is>
          <t>Payout (€)</t>
        </is>
      </c>
      <c r="F39" s="7" t="inlineStr">
        <is>
          <t>Retenido neto (€)</t>
        </is>
      </c>
    </row>
    <row r="40">
      <c r="A40" s="26" t="n">
        <v>46020</v>
      </c>
      <c r="B40" s="16">
        <f>SUMIFS(Datos!$H$4:$H$1774,Datos!$C$4:$C$1774,"Adyen",Datos!$A$4:$A$1774,A40)</f>
        <v/>
      </c>
      <c r="C40" s="16">
        <f>SUMIFS(Datos!$I$4:$I$1774,Datos!$C$4:$C$1774,"Adyen",Datos!$A$4:$A$1774,A40)</f>
        <v/>
      </c>
      <c r="D40" s="16">
        <f>B40+C40</f>
        <v/>
      </c>
      <c r="E40" s="16">
        <f>SUMIFS(Datos!$J$4:$J$1774,Datos!$C$4:$C$1774,"Adyen",Datos!$A$4:$A$1774,A40)</f>
        <v/>
      </c>
      <c r="F40" s="27">
        <f>D40+E40</f>
        <v/>
      </c>
    </row>
    <row r="41">
      <c r="A41" s="26" t="n">
        <v>46021</v>
      </c>
      <c r="B41" s="16">
        <f>SUMIFS(Datos!$H$4:$H$1774,Datos!$C$4:$C$1774,"Adyen",Datos!$A$4:$A$1774,A41)</f>
        <v/>
      </c>
      <c r="C41" s="16">
        <f>SUMIFS(Datos!$I$4:$I$1774,Datos!$C$4:$C$1774,"Adyen",Datos!$A$4:$A$1774,A41)</f>
        <v/>
      </c>
      <c r="D41" s="16">
        <f>B41+C41</f>
        <v/>
      </c>
      <c r="E41" s="16">
        <f>SUMIFS(Datos!$J$4:$J$1774,Datos!$C$4:$C$1774,"Adyen",Datos!$A$4:$A$1774,A41)</f>
        <v/>
      </c>
      <c r="F41" s="27">
        <f>D41+E41</f>
        <v/>
      </c>
    </row>
    <row r="42">
      <c r="A42" s="26" t="n">
        <v>46022</v>
      </c>
      <c r="B42" s="16">
        <f>SUMIFS(Datos!$H$4:$H$1774,Datos!$C$4:$C$1774,"Adyen",Datos!$A$4:$A$1774,A42)</f>
        <v/>
      </c>
      <c r="C42" s="16">
        <f>SUMIFS(Datos!$I$4:$I$1774,Datos!$C$4:$C$1774,"Adyen",Datos!$A$4:$A$1774,A42)</f>
        <v/>
      </c>
      <c r="D42" s="16">
        <f>B42+C42</f>
        <v/>
      </c>
      <c r="E42" s="16">
        <f>SUMIFS(Datos!$J$4:$J$1774,Datos!$C$4:$C$1774,"Adyen",Datos!$A$4:$A$1774,A42)</f>
        <v/>
      </c>
      <c r="F42" s="27">
        <f>D42+E42</f>
        <v/>
      </c>
    </row>
    <row r="43">
      <c r="A43" s="26" t="n">
        <v>46023</v>
      </c>
      <c r="B43" s="16">
        <f>SUMIFS(Datos!$H$4:$H$1774,Datos!$C$4:$C$1774,"Adyen",Datos!$A$4:$A$1774,A43)</f>
        <v/>
      </c>
      <c r="C43" s="16">
        <f>SUMIFS(Datos!$I$4:$I$1774,Datos!$C$4:$C$1774,"Adyen",Datos!$A$4:$A$1774,A43)</f>
        <v/>
      </c>
      <c r="D43" s="16">
        <f>B43+C43</f>
        <v/>
      </c>
      <c r="E43" s="16">
        <f>SUMIFS(Datos!$J$4:$J$1774,Datos!$C$4:$C$1774,"Adyen",Datos!$A$4:$A$1774,A43)</f>
        <v/>
      </c>
      <c r="F43" s="27">
        <f>D43+E43</f>
        <v/>
      </c>
    </row>
    <row r="44">
      <c r="A44" s="26" t="n">
        <v>46024</v>
      </c>
      <c r="B44" s="16">
        <f>SUMIFS(Datos!$H$4:$H$1774,Datos!$C$4:$C$1774,"Adyen",Datos!$A$4:$A$1774,A44)</f>
        <v/>
      </c>
      <c r="C44" s="16">
        <f>SUMIFS(Datos!$I$4:$I$1774,Datos!$C$4:$C$1774,"Adyen",Datos!$A$4:$A$1774,A44)</f>
        <v/>
      </c>
      <c r="D44" s="16">
        <f>B44+C44</f>
        <v/>
      </c>
      <c r="E44" s="16">
        <f>SUMIFS(Datos!$J$4:$J$1774,Datos!$C$4:$C$1774,"Adyen",Datos!$A$4:$A$1774,A44)</f>
        <v/>
      </c>
      <c r="F44" s="27">
        <f>D44+E44</f>
        <v/>
      </c>
    </row>
    <row r="45">
      <c r="A45" s="26" t="n">
        <v>46025</v>
      </c>
      <c r="B45" s="16">
        <f>SUMIFS(Datos!$H$4:$H$1774,Datos!$C$4:$C$1774,"Adyen",Datos!$A$4:$A$1774,A45)</f>
        <v/>
      </c>
      <c r="C45" s="16">
        <f>SUMIFS(Datos!$I$4:$I$1774,Datos!$C$4:$C$1774,"Adyen",Datos!$A$4:$A$1774,A45)</f>
        <v/>
      </c>
      <c r="D45" s="16">
        <f>B45+C45</f>
        <v/>
      </c>
      <c r="E45" s="16">
        <f>SUMIFS(Datos!$J$4:$J$1774,Datos!$C$4:$C$1774,"Adyen",Datos!$A$4:$A$1774,A45)</f>
        <v/>
      </c>
      <c r="F45" s="27">
        <f>D45+E45</f>
        <v/>
      </c>
    </row>
    <row r="46">
      <c r="A46" s="26" t="n">
        <v>46026</v>
      </c>
      <c r="B46" s="16">
        <f>SUMIFS(Datos!$H$4:$H$1774,Datos!$C$4:$C$1774,"Adyen",Datos!$A$4:$A$1774,A46)</f>
        <v/>
      </c>
      <c r="C46" s="16">
        <f>SUMIFS(Datos!$I$4:$I$1774,Datos!$C$4:$C$1774,"Adyen",Datos!$A$4:$A$1774,A46)</f>
        <v/>
      </c>
      <c r="D46" s="16">
        <f>B46+C46</f>
        <v/>
      </c>
      <c r="E46" s="16">
        <f>SUMIFS(Datos!$J$4:$J$1774,Datos!$C$4:$C$1774,"Adyen",Datos!$A$4:$A$1774,A46)</f>
        <v/>
      </c>
      <c r="F46" s="27">
        <f>D46+E46</f>
        <v/>
      </c>
    </row>
    <row r="47">
      <c r="A47" s="26" t="n">
        <v>46027</v>
      </c>
      <c r="B47" s="16">
        <f>SUMIFS(Datos!$H$4:$H$1774,Datos!$C$4:$C$1774,"Adyen",Datos!$A$4:$A$1774,A47)</f>
        <v/>
      </c>
      <c r="C47" s="16">
        <f>SUMIFS(Datos!$I$4:$I$1774,Datos!$C$4:$C$1774,"Adyen",Datos!$A$4:$A$1774,A47)</f>
        <v/>
      </c>
      <c r="D47" s="16">
        <f>B47+C47</f>
        <v/>
      </c>
      <c r="E47" s="16">
        <f>SUMIFS(Datos!$J$4:$J$1774,Datos!$C$4:$C$1774,"Adyen",Datos!$A$4:$A$1774,A47)</f>
        <v/>
      </c>
      <c r="F47" s="27">
        <f>D47+E47</f>
        <v/>
      </c>
    </row>
    <row r="48">
      <c r="A48" s="26" t="n">
        <v>46028</v>
      </c>
      <c r="B48" s="16">
        <f>SUMIFS(Datos!$H$4:$H$1774,Datos!$C$4:$C$1774,"Adyen",Datos!$A$4:$A$1774,A48)</f>
        <v/>
      </c>
      <c r="C48" s="16">
        <f>SUMIFS(Datos!$I$4:$I$1774,Datos!$C$4:$C$1774,"Adyen",Datos!$A$4:$A$1774,A48)</f>
        <v/>
      </c>
      <c r="D48" s="16">
        <f>B48+C48</f>
        <v/>
      </c>
      <c r="E48" s="16">
        <f>SUMIFS(Datos!$J$4:$J$1774,Datos!$C$4:$C$1774,"Adyen",Datos!$A$4:$A$1774,A48)</f>
        <v/>
      </c>
      <c r="F48" s="27">
        <f>D48+E48</f>
        <v/>
      </c>
    </row>
    <row r="49">
      <c r="A49" s="26" t="n">
        <v>46029</v>
      </c>
      <c r="B49" s="16">
        <f>SUMIFS(Datos!$H$4:$H$1774,Datos!$C$4:$C$1774,"Adyen",Datos!$A$4:$A$1774,A49)</f>
        <v/>
      </c>
      <c r="C49" s="16">
        <f>SUMIFS(Datos!$I$4:$I$1774,Datos!$C$4:$C$1774,"Adyen",Datos!$A$4:$A$1774,A49)</f>
        <v/>
      </c>
      <c r="D49" s="16">
        <f>B49+C49</f>
        <v/>
      </c>
      <c r="E49" s="16">
        <f>SUMIFS(Datos!$J$4:$J$1774,Datos!$C$4:$C$1774,"Adyen",Datos!$A$4:$A$1774,A49)</f>
        <v/>
      </c>
      <c r="F49" s="27">
        <f>D49+E49</f>
        <v/>
      </c>
    </row>
    <row r="50">
      <c r="A50" s="26" t="n">
        <v>46030</v>
      </c>
      <c r="B50" s="16">
        <f>SUMIFS(Datos!$H$4:$H$1774,Datos!$C$4:$C$1774,"Adyen",Datos!$A$4:$A$1774,A50)</f>
        <v/>
      </c>
      <c r="C50" s="16">
        <f>SUMIFS(Datos!$I$4:$I$1774,Datos!$C$4:$C$1774,"Adyen",Datos!$A$4:$A$1774,A50)</f>
        <v/>
      </c>
      <c r="D50" s="16">
        <f>B50+C50</f>
        <v/>
      </c>
      <c r="E50" s="16">
        <f>SUMIFS(Datos!$J$4:$J$1774,Datos!$C$4:$C$1774,"Adyen",Datos!$A$4:$A$1774,A50)</f>
        <v/>
      </c>
      <c r="F50" s="27">
        <f>D50+E50</f>
        <v/>
      </c>
    </row>
    <row r="51">
      <c r="A51" s="26" t="n">
        <v>46031</v>
      </c>
      <c r="B51" s="16">
        <f>SUMIFS(Datos!$H$4:$H$1774,Datos!$C$4:$C$1774,"Adyen",Datos!$A$4:$A$1774,A51)</f>
        <v/>
      </c>
      <c r="C51" s="16">
        <f>SUMIFS(Datos!$I$4:$I$1774,Datos!$C$4:$C$1774,"Adyen",Datos!$A$4:$A$1774,A51)</f>
        <v/>
      </c>
      <c r="D51" s="16">
        <f>B51+C51</f>
        <v/>
      </c>
      <c r="E51" s="16">
        <f>SUMIFS(Datos!$J$4:$J$1774,Datos!$C$4:$C$1774,"Adyen",Datos!$A$4:$A$1774,A51)</f>
        <v/>
      </c>
      <c r="F51" s="27">
        <f>D51+E51</f>
        <v/>
      </c>
    </row>
    <row r="52">
      <c r="A52" s="26" t="n">
        <v>46032</v>
      </c>
      <c r="B52" s="16">
        <f>SUMIFS(Datos!$H$4:$H$1774,Datos!$C$4:$C$1774,"Adyen",Datos!$A$4:$A$1774,A52)</f>
        <v/>
      </c>
      <c r="C52" s="16">
        <f>SUMIFS(Datos!$I$4:$I$1774,Datos!$C$4:$C$1774,"Adyen",Datos!$A$4:$A$1774,A52)</f>
        <v/>
      </c>
      <c r="D52" s="16">
        <f>B52+C52</f>
        <v/>
      </c>
      <c r="E52" s="16">
        <f>SUMIFS(Datos!$J$4:$J$1774,Datos!$C$4:$C$1774,"Adyen",Datos!$A$4:$A$1774,A52)</f>
        <v/>
      </c>
      <c r="F52" s="27">
        <f>D52+E52</f>
        <v/>
      </c>
    </row>
    <row r="53">
      <c r="A53" s="26" t="n">
        <v>46033</v>
      </c>
      <c r="B53" s="16">
        <f>SUMIFS(Datos!$H$4:$H$1774,Datos!$C$4:$C$1774,"Adyen",Datos!$A$4:$A$1774,A53)</f>
        <v/>
      </c>
      <c r="C53" s="16">
        <f>SUMIFS(Datos!$I$4:$I$1774,Datos!$C$4:$C$1774,"Adyen",Datos!$A$4:$A$1774,A53)</f>
        <v/>
      </c>
      <c r="D53" s="16">
        <f>B53+C53</f>
        <v/>
      </c>
      <c r="E53" s="16">
        <f>SUMIFS(Datos!$J$4:$J$1774,Datos!$C$4:$C$1774,"Adyen",Datos!$A$4:$A$1774,A53)</f>
        <v/>
      </c>
      <c r="F53" s="27">
        <f>D53+E53</f>
        <v/>
      </c>
    </row>
    <row r="54">
      <c r="A54" s="26" t="n">
        <v>46034</v>
      </c>
      <c r="B54" s="16">
        <f>SUMIFS(Datos!$H$4:$H$1774,Datos!$C$4:$C$1774,"Adyen",Datos!$A$4:$A$1774,A54)</f>
        <v/>
      </c>
      <c r="C54" s="16">
        <f>SUMIFS(Datos!$I$4:$I$1774,Datos!$C$4:$C$1774,"Adyen",Datos!$A$4:$A$1774,A54)</f>
        <v/>
      </c>
      <c r="D54" s="16">
        <f>B54+C54</f>
        <v/>
      </c>
      <c r="E54" s="16">
        <f>SUMIFS(Datos!$J$4:$J$1774,Datos!$C$4:$C$1774,"Adyen",Datos!$A$4:$A$1774,A54)</f>
        <v/>
      </c>
      <c r="F54" s="27">
        <f>D54+E54</f>
        <v/>
      </c>
    </row>
    <row r="55">
      <c r="A55" s="26" t="n">
        <v>46035</v>
      </c>
      <c r="B55" s="16">
        <f>SUMIFS(Datos!$H$4:$H$1774,Datos!$C$4:$C$1774,"Adyen",Datos!$A$4:$A$1774,A55)</f>
        <v/>
      </c>
      <c r="C55" s="16">
        <f>SUMIFS(Datos!$I$4:$I$1774,Datos!$C$4:$C$1774,"Adyen",Datos!$A$4:$A$1774,A55)</f>
        <v/>
      </c>
      <c r="D55" s="16">
        <f>B55+C55</f>
        <v/>
      </c>
      <c r="E55" s="16">
        <f>SUMIFS(Datos!$J$4:$J$1774,Datos!$C$4:$C$1774,"Adyen",Datos!$A$4:$A$1774,A55)</f>
        <v/>
      </c>
      <c r="F55" s="27">
        <f>D55+E55</f>
        <v/>
      </c>
    </row>
    <row r="56">
      <c r="A56" s="26" t="n">
        <v>46036</v>
      </c>
      <c r="B56" s="16">
        <f>SUMIFS(Datos!$H$4:$H$1774,Datos!$C$4:$C$1774,"Adyen",Datos!$A$4:$A$1774,A56)</f>
        <v/>
      </c>
      <c r="C56" s="16">
        <f>SUMIFS(Datos!$I$4:$I$1774,Datos!$C$4:$C$1774,"Adyen",Datos!$A$4:$A$1774,A56)</f>
        <v/>
      </c>
      <c r="D56" s="16">
        <f>B56+C56</f>
        <v/>
      </c>
      <c r="E56" s="16">
        <f>SUMIFS(Datos!$J$4:$J$1774,Datos!$C$4:$C$1774,"Adyen",Datos!$A$4:$A$1774,A56)</f>
        <v/>
      </c>
      <c r="F56" s="27">
        <f>D56+E56</f>
        <v/>
      </c>
    </row>
    <row r="57">
      <c r="A57" s="26" t="n">
        <v>46037</v>
      </c>
      <c r="B57" s="16">
        <f>SUMIFS(Datos!$H$4:$H$1774,Datos!$C$4:$C$1774,"Adyen",Datos!$A$4:$A$1774,A57)</f>
        <v/>
      </c>
      <c r="C57" s="16">
        <f>SUMIFS(Datos!$I$4:$I$1774,Datos!$C$4:$C$1774,"Adyen",Datos!$A$4:$A$1774,A57)</f>
        <v/>
      </c>
      <c r="D57" s="16">
        <f>B57+C57</f>
        <v/>
      </c>
      <c r="E57" s="16">
        <f>SUMIFS(Datos!$J$4:$J$1774,Datos!$C$4:$C$1774,"Adyen",Datos!$A$4:$A$1774,A57)</f>
        <v/>
      </c>
      <c r="F57" s="27">
        <f>D57+E57</f>
        <v/>
      </c>
    </row>
    <row r="58">
      <c r="A58" s="26" t="n">
        <v>46038</v>
      </c>
      <c r="B58" s="16">
        <f>SUMIFS(Datos!$H$4:$H$1774,Datos!$C$4:$C$1774,"Adyen",Datos!$A$4:$A$1774,A58)</f>
        <v/>
      </c>
      <c r="C58" s="16">
        <f>SUMIFS(Datos!$I$4:$I$1774,Datos!$C$4:$C$1774,"Adyen",Datos!$A$4:$A$1774,A58)</f>
        <v/>
      </c>
      <c r="D58" s="16">
        <f>B58+C58</f>
        <v/>
      </c>
      <c r="E58" s="16">
        <f>SUMIFS(Datos!$J$4:$J$1774,Datos!$C$4:$C$1774,"Adyen",Datos!$A$4:$A$1774,A58)</f>
        <v/>
      </c>
      <c r="F58" s="27">
        <f>D58+E58</f>
        <v/>
      </c>
    </row>
    <row r="59">
      <c r="A59" s="26" t="n">
        <v>46039</v>
      </c>
      <c r="B59" s="16">
        <f>SUMIFS(Datos!$H$4:$H$1774,Datos!$C$4:$C$1774,"Adyen",Datos!$A$4:$A$1774,A59)</f>
        <v/>
      </c>
      <c r="C59" s="16">
        <f>SUMIFS(Datos!$I$4:$I$1774,Datos!$C$4:$C$1774,"Adyen",Datos!$A$4:$A$1774,A59)</f>
        <v/>
      </c>
      <c r="D59" s="16">
        <f>B59+C59</f>
        <v/>
      </c>
      <c r="E59" s="16">
        <f>SUMIFS(Datos!$J$4:$J$1774,Datos!$C$4:$C$1774,"Adyen",Datos!$A$4:$A$1774,A59)</f>
        <v/>
      </c>
      <c r="F59" s="27">
        <f>D59+E59</f>
        <v/>
      </c>
    </row>
    <row r="60">
      <c r="A60" s="26" t="n">
        <v>46040</v>
      </c>
      <c r="B60" s="16">
        <f>SUMIFS(Datos!$H$4:$H$1774,Datos!$C$4:$C$1774,"Adyen",Datos!$A$4:$A$1774,A60)</f>
        <v/>
      </c>
      <c r="C60" s="16">
        <f>SUMIFS(Datos!$I$4:$I$1774,Datos!$C$4:$C$1774,"Adyen",Datos!$A$4:$A$1774,A60)</f>
        <v/>
      </c>
      <c r="D60" s="16">
        <f>B60+C60</f>
        <v/>
      </c>
      <c r="E60" s="16">
        <f>SUMIFS(Datos!$J$4:$J$1774,Datos!$C$4:$C$1774,"Adyen",Datos!$A$4:$A$1774,A60)</f>
        <v/>
      </c>
      <c r="F60" s="27">
        <f>D60+E60</f>
        <v/>
      </c>
    </row>
    <row r="61">
      <c r="A61" s="26" t="n">
        <v>46041</v>
      </c>
      <c r="B61" s="16">
        <f>SUMIFS(Datos!$H$4:$H$1774,Datos!$C$4:$C$1774,"Adyen",Datos!$A$4:$A$1774,A61)</f>
        <v/>
      </c>
      <c r="C61" s="16">
        <f>SUMIFS(Datos!$I$4:$I$1774,Datos!$C$4:$C$1774,"Adyen",Datos!$A$4:$A$1774,A61)</f>
        <v/>
      </c>
      <c r="D61" s="16">
        <f>B61+C61</f>
        <v/>
      </c>
      <c r="E61" s="16">
        <f>SUMIFS(Datos!$J$4:$J$1774,Datos!$C$4:$C$1774,"Adyen",Datos!$A$4:$A$1774,A61)</f>
        <v/>
      </c>
      <c r="F61" s="27">
        <f>D61+E61</f>
        <v/>
      </c>
    </row>
    <row r="62">
      <c r="A62" s="26" t="n">
        <v>46042</v>
      </c>
      <c r="B62" s="16">
        <f>SUMIFS(Datos!$H$4:$H$1774,Datos!$C$4:$C$1774,"Adyen",Datos!$A$4:$A$1774,A62)</f>
        <v/>
      </c>
      <c r="C62" s="16">
        <f>SUMIFS(Datos!$I$4:$I$1774,Datos!$C$4:$C$1774,"Adyen",Datos!$A$4:$A$1774,A62)</f>
        <v/>
      </c>
      <c r="D62" s="16">
        <f>B62+C62</f>
        <v/>
      </c>
      <c r="E62" s="16">
        <f>SUMIFS(Datos!$J$4:$J$1774,Datos!$C$4:$C$1774,"Adyen",Datos!$A$4:$A$1774,A62)</f>
        <v/>
      </c>
      <c r="F62" s="27">
        <f>D62+E62</f>
        <v/>
      </c>
    </row>
    <row r="63">
      <c r="A63" s="26" t="n">
        <v>46043</v>
      </c>
      <c r="B63" s="16">
        <f>SUMIFS(Datos!$H$4:$H$1774,Datos!$C$4:$C$1774,"Adyen",Datos!$A$4:$A$1774,A63)</f>
        <v/>
      </c>
      <c r="C63" s="16">
        <f>SUMIFS(Datos!$I$4:$I$1774,Datos!$C$4:$C$1774,"Adyen",Datos!$A$4:$A$1774,A63)</f>
        <v/>
      </c>
      <c r="D63" s="16">
        <f>B63+C63</f>
        <v/>
      </c>
      <c r="E63" s="16">
        <f>SUMIFS(Datos!$J$4:$J$1774,Datos!$C$4:$C$1774,"Adyen",Datos!$A$4:$A$1774,A63)</f>
        <v/>
      </c>
      <c r="F63" s="27">
        <f>D63+E63</f>
        <v/>
      </c>
    </row>
    <row r="64">
      <c r="A64" s="26" t="n">
        <v>46044</v>
      </c>
      <c r="B64" s="16">
        <f>SUMIFS(Datos!$H$4:$H$1774,Datos!$C$4:$C$1774,"Adyen",Datos!$A$4:$A$1774,A64)</f>
        <v/>
      </c>
      <c r="C64" s="16">
        <f>SUMIFS(Datos!$I$4:$I$1774,Datos!$C$4:$C$1774,"Adyen",Datos!$A$4:$A$1774,A64)</f>
        <v/>
      </c>
      <c r="D64" s="16">
        <f>B64+C64</f>
        <v/>
      </c>
      <c r="E64" s="16">
        <f>SUMIFS(Datos!$J$4:$J$1774,Datos!$C$4:$C$1774,"Adyen",Datos!$A$4:$A$1774,A64)</f>
        <v/>
      </c>
      <c r="F64" s="27">
        <f>D64+E64</f>
        <v/>
      </c>
    </row>
    <row r="65">
      <c r="A65" s="26" t="n">
        <v>46045</v>
      </c>
      <c r="B65" s="16">
        <f>SUMIFS(Datos!$H$4:$H$1774,Datos!$C$4:$C$1774,"Adyen",Datos!$A$4:$A$1774,A65)</f>
        <v/>
      </c>
      <c r="C65" s="16">
        <f>SUMIFS(Datos!$I$4:$I$1774,Datos!$C$4:$C$1774,"Adyen",Datos!$A$4:$A$1774,A65)</f>
        <v/>
      </c>
      <c r="D65" s="16">
        <f>B65+C65</f>
        <v/>
      </c>
      <c r="E65" s="16">
        <f>SUMIFS(Datos!$J$4:$J$1774,Datos!$C$4:$C$1774,"Adyen",Datos!$A$4:$A$1774,A65)</f>
        <v/>
      </c>
      <c r="F65" s="27">
        <f>D65+E65</f>
        <v/>
      </c>
    </row>
    <row r="66">
      <c r="A66" s="26" t="n">
        <v>46046</v>
      </c>
      <c r="B66" s="16">
        <f>SUMIFS(Datos!$H$4:$H$1774,Datos!$C$4:$C$1774,"Adyen",Datos!$A$4:$A$1774,A66)</f>
        <v/>
      </c>
      <c r="C66" s="16">
        <f>SUMIFS(Datos!$I$4:$I$1774,Datos!$C$4:$C$1774,"Adyen",Datos!$A$4:$A$1774,A66)</f>
        <v/>
      </c>
      <c r="D66" s="16">
        <f>B66+C66</f>
        <v/>
      </c>
      <c r="E66" s="16">
        <f>SUMIFS(Datos!$J$4:$J$1774,Datos!$C$4:$C$1774,"Adyen",Datos!$A$4:$A$1774,A66)</f>
        <v/>
      </c>
      <c r="F66" s="27">
        <f>D66+E66</f>
        <v/>
      </c>
    </row>
    <row r="67">
      <c r="A67" s="26" t="n">
        <v>46047</v>
      </c>
      <c r="B67" s="16">
        <f>SUMIFS(Datos!$H$4:$H$1774,Datos!$C$4:$C$1774,"Adyen",Datos!$A$4:$A$1774,A67)</f>
        <v/>
      </c>
      <c r="C67" s="16">
        <f>SUMIFS(Datos!$I$4:$I$1774,Datos!$C$4:$C$1774,"Adyen",Datos!$A$4:$A$1774,A67)</f>
        <v/>
      </c>
      <c r="D67" s="16">
        <f>B67+C67</f>
        <v/>
      </c>
      <c r="E67" s="16">
        <f>SUMIFS(Datos!$J$4:$J$1774,Datos!$C$4:$C$1774,"Adyen",Datos!$A$4:$A$1774,A67)</f>
        <v/>
      </c>
      <c r="F67" s="27">
        <f>D67+E67</f>
        <v/>
      </c>
    </row>
    <row r="68">
      <c r="A68" s="26" t="n">
        <v>46048</v>
      </c>
      <c r="B68" s="16">
        <f>SUMIFS(Datos!$H$4:$H$1774,Datos!$C$4:$C$1774,"Adyen",Datos!$A$4:$A$1774,A68)</f>
        <v/>
      </c>
      <c r="C68" s="16">
        <f>SUMIFS(Datos!$I$4:$I$1774,Datos!$C$4:$C$1774,"Adyen",Datos!$A$4:$A$1774,A68)</f>
        <v/>
      </c>
      <c r="D68" s="16">
        <f>B68+C68</f>
        <v/>
      </c>
      <c r="E68" s="16">
        <f>SUMIFS(Datos!$J$4:$J$1774,Datos!$C$4:$C$1774,"Adyen",Datos!$A$4:$A$1774,A68)</f>
        <v/>
      </c>
      <c r="F68" s="27">
        <f>D68+E68</f>
        <v/>
      </c>
    </row>
    <row r="69">
      <c r="A69" s="26" t="n">
        <v>46049</v>
      </c>
      <c r="B69" s="16">
        <f>SUMIFS(Datos!$H$4:$H$1774,Datos!$C$4:$C$1774,"Adyen",Datos!$A$4:$A$1774,A69)</f>
        <v/>
      </c>
      <c r="C69" s="16">
        <f>SUMIFS(Datos!$I$4:$I$1774,Datos!$C$4:$C$1774,"Adyen",Datos!$A$4:$A$1774,A69)</f>
        <v/>
      </c>
      <c r="D69" s="16">
        <f>B69+C69</f>
        <v/>
      </c>
      <c r="E69" s="16">
        <f>SUMIFS(Datos!$J$4:$J$1774,Datos!$C$4:$C$1774,"Adyen",Datos!$A$4:$A$1774,A69)</f>
        <v/>
      </c>
      <c r="F69" s="27">
        <f>D69+E69</f>
        <v/>
      </c>
    </row>
    <row r="70">
      <c r="A70" s="26" t="n">
        <v>46050</v>
      </c>
      <c r="B70" s="16">
        <f>SUMIFS(Datos!$H$4:$H$1774,Datos!$C$4:$C$1774,"Adyen",Datos!$A$4:$A$1774,A70)</f>
        <v/>
      </c>
      <c r="C70" s="16">
        <f>SUMIFS(Datos!$I$4:$I$1774,Datos!$C$4:$C$1774,"Adyen",Datos!$A$4:$A$1774,A70)</f>
        <v/>
      </c>
      <c r="D70" s="16">
        <f>B70+C70</f>
        <v/>
      </c>
      <c r="E70" s="16">
        <f>SUMIFS(Datos!$J$4:$J$1774,Datos!$C$4:$C$1774,"Adyen",Datos!$A$4:$A$1774,A70)</f>
        <v/>
      </c>
      <c r="F70" s="27">
        <f>D70+E70</f>
        <v/>
      </c>
    </row>
    <row r="71">
      <c r="A71" s="26" t="n">
        <v>46051</v>
      </c>
      <c r="B71" s="16">
        <f>SUMIFS(Datos!$H$4:$H$1774,Datos!$C$4:$C$1774,"Adyen",Datos!$A$4:$A$1774,A71)</f>
        <v/>
      </c>
      <c r="C71" s="16">
        <f>SUMIFS(Datos!$I$4:$I$1774,Datos!$C$4:$C$1774,"Adyen",Datos!$A$4:$A$1774,A71)</f>
        <v/>
      </c>
      <c r="D71" s="16">
        <f>B71+C71</f>
        <v/>
      </c>
      <c r="E71" s="16">
        <f>SUMIFS(Datos!$J$4:$J$1774,Datos!$C$4:$C$1774,"Adyen",Datos!$A$4:$A$1774,A71)</f>
        <v/>
      </c>
      <c r="F71" s="27">
        <f>D71+E71</f>
        <v/>
      </c>
    </row>
    <row r="72">
      <c r="A72" s="26" t="n">
        <v>46052</v>
      </c>
      <c r="B72" s="16">
        <f>SUMIFS(Datos!$H$4:$H$1774,Datos!$C$4:$C$1774,"Adyen",Datos!$A$4:$A$1774,A72)</f>
        <v/>
      </c>
      <c r="C72" s="16">
        <f>SUMIFS(Datos!$I$4:$I$1774,Datos!$C$4:$C$1774,"Adyen",Datos!$A$4:$A$1774,A72)</f>
        <v/>
      </c>
      <c r="D72" s="16">
        <f>B72+C72</f>
        <v/>
      </c>
      <c r="E72" s="16">
        <f>SUMIFS(Datos!$J$4:$J$1774,Datos!$C$4:$C$1774,"Adyen",Datos!$A$4:$A$1774,A72)</f>
        <v/>
      </c>
      <c r="F72" s="27">
        <f>D72+E72</f>
        <v/>
      </c>
    </row>
    <row r="73">
      <c r="A73" s="26" t="n">
        <v>46053</v>
      </c>
      <c r="B73" s="16">
        <f>SUMIFS(Datos!$H$4:$H$1774,Datos!$C$4:$C$1774,"Adyen",Datos!$A$4:$A$1774,A73)</f>
        <v/>
      </c>
      <c r="C73" s="16">
        <f>SUMIFS(Datos!$I$4:$I$1774,Datos!$C$4:$C$1774,"Adyen",Datos!$A$4:$A$1774,A73)</f>
        <v/>
      </c>
      <c r="D73" s="16">
        <f>B73+C73</f>
        <v/>
      </c>
      <c r="E73" s="16">
        <f>SUMIFS(Datos!$J$4:$J$1774,Datos!$C$4:$C$1774,"Adyen",Datos!$A$4:$A$1774,A73)</f>
        <v/>
      </c>
      <c r="F73" s="27">
        <f>D73+E73</f>
        <v/>
      </c>
    </row>
    <row r="74">
      <c r="A74" s="26" t="n">
        <v>46054</v>
      </c>
      <c r="B74" s="16">
        <f>SUMIFS(Datos!$H$4:$H$1774,Datos!$C$4:$C$1774,"Adyen",Datos!$A$4:$A$1774,A74)</f>
        <v/>
      </c>
      <c r="C74" s="16">
        <f>SUMIFS(Datos!$I$4:$I$1774,Datos!$C$4:$C$1774,"Adyen",Datos!$A$4:$A$1774,A74)</f>
        <v/>
      </c>
      <c r="D74" s="16">
        <f>B74+C74</f>
        <v/>
      </c>
      <c r="E74" s="16">
        <f>SUMIFS(Datos!$J$4:$J$1774,Datos!$C$4:$C$1774,"Adyen",Datos!$A$4:$A$1774,A74)</f>
        <v/>
      </c>
      <c r="F74" s="27">
        <f>D74+E74</f>
        <v/>
      </c>
    </row>
    <row r="75">
      <c r="A75" s="26" t="n">
        <v>46055</v>
      </c>
      <c r="B75" s="16">
        <f>SUMIFS(Datos!$H$4:$H$1774,Datos!$C$4:$C$1774,"Adyen",Datos!$A$4:$A$1774,A75)</f>
        <v/>
      </c>
      <c r="C75" s="16">
        <f>SUMIFS(Datos!$I$4:$I$1774,Datos!$C$4:$C$1774,"Adyen",Datos!$A$4:$A$1774,A75)</f>
        <v/>
      </c>
      <c r="D75" s="16">
        <f>B75+C75</f>
        <v/>
      </c>
      <c r="E75" s="16">
        <f>SUMIFS(Datos!$J$4:$J$1774,Datos!$C$4:$C$1774,"Adyen",Datos!$A$4:$A$1774,A75)</f>
        <v/>
      </c>
      <c r="F75" s="27">
        <f>D75+E75</f>
        <v/>
      </c>
    </row>
    <row r="76">
      <c r="A76" s="26" t="n">
        <v>46056</v>
      </c>
      <c r="B76" s="16">
        <f>SUMIFS(Datos!$H$4:$H$1774,Datos!$C$4:$C$1774,"Adyen",Datos!$A$4:$A$1774,A76)</f>
        <v/>
      </c>
      <c r="C76" s="16">
        <f>SUMIFS(Datos!$I$4:$I$1774,Datos!$C$4:$C$1774,"Adyen",Datos!$A$4:$A$1774,A76)</f>
        <v/>
      </c>
      <c r="D76" s="16">
        <f>B76+C76</f>
        <v/>
      </c>
      <c r="E76" s="16">
        <f>SUMIFS(Datos!$J$4:$J$1774,Datos!$C$4:$C$1774,"Adyen",Datos!$A$4:$A$1774,A76)</f>
        <v/>
      </c>
      <c r="F76" s="27">
        <f>D76+E76</f>
        <v/>
      </c>
    </row>
    <row r="77">
      <c r="A77" s="26" t="n">
        <v>46057</v>
      </c>
      <c r="B77" s="16">
        <f>SUMIFS(Datos!$H$4:$H$1774,Datos!$C$4:$C$1774,"Adyen",Datos!$A$4:$A$1774,A77)</f>
        <v/>
      </c>
      <c r="C77" s="16">
        <f>SUMIFS(Datos!$I$4:$I$1774,Datos!$C$4:$C$1774,"Adyen",Datos!$A$4:$A$1774,A77)</f>
        <v/>
      </c>
      <c r="D77" s="16">
        <f>B77+C77</f>
        <v/>
      </c>
      <c r="E77" s="16">
        <f>SUMIFS(Datos!$J$4:$J$1774,Datos!$C$4:$C$1774,"Adyen",Datos!$A$4:$A$1774,A77)</f>
        <v/>
      </c>
      <c r="F77" s="27">
        <f>D77+E77</f>
        <v/>
      </c>
    </row>
    <row r="78">
      <c r="A78" s="26" t="n">
        <v>46058</v>
      </c>
      <c r="B78" s="16">
        <f>SUMIFS(Datos!$H$4:$H$1774,Datos!$C$4:$C$1774,"Adyen",Datos!$A$4:$A$1774,A78)</f>
        <v/>
      </c>
      <c r="C78" s="16">
        <f>SUMIFS(Datos!$I$4:$I$1774,Datos!$C$4:$C$1774,"Adyen",Datos!$A$4:$A$1774,A78)</f>
        <v/>
      </c>
      <c r="D78" s="16">
        <f>B78+C78</f>
        <v/>
      </c>
      <c r="E78" s="16">
        <f>SUMIFS(Datos!$J$4:$J$1774,Datos!$C$4:$C$1774,"Adyen",Datos!$A$4:$A$1774,A78)</f>
        <v/>
      </c>
      <c r="F78" s="27">
        <f>D78+E78</f>
        <v/>
      </c>
    </row>
    <row r="79">
      <c r="A79" s="26" t="n">
        <v>46059</v>
      </c>
      <c r="B79" s="16">
        <f>SUMIFS(Datos!$H$4:$H$1774,Datos!$C$4:$C$1774,"Adyen",Datos!$A$4:$A$1774,A79)</f>
        <v/>
      </c>
      <c r="C79" s="16">
        <f>SUMIFS(Datos!$I$4:$I$1774,Datos!$C$4:$C$1774,"Adyen",Datos!$A$4:$A$1774,A79)</f>
        <v/>
      </c>
      <c r="D79" s="16">
        <f>B79+C79</f>
        <v/>
      </c>
      <c r="E79" s="16">
        <f>SUMIFS(Datos!$J$4:$J$1774,Datos!$C$4:$C$1774,"Adyen",Datos!$A$4:$A$1774,A79)</f>
        <v/>
      </c>
      <c r="F79" s="27">
        <f>D79+E79</f>
        <v/>
      </c>
    </row>
    <row r="80">
      <c r="A80" s="26" t="n">
        <v>46060</v>
      </c>
      <c r="B80" s="16">
        <f>SUMIFS(Datos!$H$4:$H$1774,Datos!$C$4:$C$1774,"Adyen",Datos!$A$4:$A$1774,A80)</f>
        <v/>
      </c>
      <c r="C80" s="16">
        <f>SUMIFS(Datos!$I$4:$I$1774,Datos!$C$4:$C$1774,"Adyen",Datos!$A$4:$A$1774,A80)</f>
        <v/>
      </c>
      <c r="D80" s="16">
        <f>B80+C80</f>
        <v/>
      </c>
      <c r="E80" s="16">
        <f>SUMIFS(Datos!$J$4:$J$1774,Datos!$C$4:$C$1774,"Adyen",Datos!$A$4:$A$1774,A80)</f>
        <v/>
      </c>
      <c r="F80" s="27">
        <f>D80+E80</f>
        <v/>
      </c>
    </row>
    <row r="81">
      <c r="A81" s="26" t="n">
        <v>46061</v>
      </c>
      <c r="B81" s="16">
        <f>SUMIFS(Datos!$H$4:$H$1774,Datos!$C$4:$C$1774,"Adyen",Datos!$A$4:$A$1774,A81)</f>
        <v/>
      </c>
      <c r="C81" s="16">
        <f>SUMIFS(Datos!$I$4:$I$1774,Datos!$C$4:$C$1774,"Adyen",Datos!$A$4:$A$1774,A81)</f>
        <v/>
      </c>
      <c r="D81" s="16">
        <f>B81+C81</f>
        <v/>
      </c>
      <c r="E81" s="16">
        <f>SUMIFS(Datos!$J$4:$J$1774,Datos!$C$4:$C$1774,"Adyen",Datos!$A$4:$A$1774,A81)</f>
        <v/>
      </c>
      <c r="F81" s="27">
        <f>D81+E81</f>
        <v/>
      </c>
    </row>
    <row r="82">
      <c r="A82" s="26" t="n">
        <v>46062</v>
      </c>
      <c r="B82" s="16">
        <f>SUMIFS(Datos!$H$4:$H$1774,Datos!$C$4:$C$1774,"Adyen",Datos!$A$4:$A$1774,A82)</f>
        <v/>
      </c>
      <c r="C82" s="16">
        <f>SUMIFS(Datos!$I$4:$I$1774,Datos!$C$4:$C$1774,"Adyen",Datos!$A$4:$A$1774,A82)</f>
        <v/>
      </c>
      <c r="D82" s="16">
        <f>B82+C82</f>
        <v/>
      </c>
      <c r="E82" s="16">
        <f>SUMIFS(Datos!$J$4:$J$1774,Datos!$C$4:$C$1774,"Adyen",Datos!$A$4:$A$1774,A82)</f>
        <v/>
      </c>
      <c r="F82" s="27">
        <f>D82+E82</f>
        <v/>
      </c>
    </row>
    <row r="83">
      <c r="A83" s="26" t="n">
        <v>46063</v>
      </c>
      <c r="B83" s="16">
        <f>SUMIFS(Datos!$H$4:$H$1774,Datos!$C$4:$C$1774,"Adyen",Datos!$A$4:$A$1774,A83)</f>
        <v/>
      </c>
      <c r="C83" s="16">
        <f>SUMIFS(Datos!$I$4:$I$1774,Datos!$C$4:$C$1774,"Adyen",Datos!$A$4:$A$1774,A83)</f>
        <v/>
      </c>
      <c r="D83" s="16">
        <f>B83+C83</f>
        <v/>
      </c>
      <c r="E83" s="16">
        <f>SUMIFS(Datos!$J$4:$J$1774,Datos!$C$4:$C$1774,"Adyen",Datos!$A$4:$A$1774,A83)</f>
        <v/>
      </c>
      <c r="F83" s="27">
        <f>D83+E83</f>
        <v/>
      </c>
    </row>
    <row r="84">
      <c r="A84" s="26" t="n">
        <v>46064</v>
      </c>
      <c r="B84" s="16">
        <f>SUMIFS(Datos!$H$4:$H$1774,Datos!$C$4:$C$1774,"Adyen",Datos!$A$4:$A$1774,A84)</f>
        <v/>
      </c>
      <c r="C84" s="16">
        <f>SUMIFS(Datos!$I$4:$I$1774,Datos!$C$4:$C$1774,"Adyen",Datos!$A$4:$A$1774,A84)</f>
        <v/>
      </c>
      <c r="D84" s="16">
        <f>B84+C84</f>
        <v/>
      </c>
      <c r="E84" s="16">
        <f>SUMIFS(Datos!$J$4:$J$1774,Datos!$C$4:$C$1774,"Adyen",Datos!$A$4:$A$1774,A84)</f>
        <v/>
      </c>
      <c r="F84" s="27">
        <f>D84+E84</f>
        <v/>
      </c>
    </row>
    <row r="85">
      <c r="A85" s="26" t="n">
        <v>46065</v>
      </c>
      <c r="B85" s="16">
        <f>SUMIFS(Datos!$H$4:$H$1774,Datos!$C$4:$C$1774,"Adyen",Datos!$A$4:$A$1774,A85)</f>
        <v/>
      </c>
      <c r="C85" s="16">
        <f>SUMIFS(Datos!$I$4:$I$1774,Datos!$C$4:$C$1774,"Adyen",Datos!$A$4:$A$1774,A85)</f>
        <v/>
      </c>
      <c r="D85" s="16">
        <f>B85+C85</f>
        <v/>
      </c>
      <c r="E85" s="16">
        <f>SUMIFS(Datos!$J$4:$J$1774,Datos!$C$4:$C$1774,"Adyen",Datos!$A$4:$A$1774,A85)</f>
        <v/>
      </c>
      <c r="F85" s="27">
        <f>D85+E85</f>
        <v/>
      </c>
    </row>
    <row r="86">
      <c r="A86" s="26" t="n">
        <v>46066</v>
      </c>
      <c r="B86" s="16">
        <f>SUMIFS(Datos!$H$4:$H$1774,Datos!$C$4:$C$1774,"Adyen",Datos!$A$4:$A$1774,A86)</f>
        <v/>
      </c>
      <c r="C86" s="16">
        <f>SUMIFS(Datos!$I$4:$I$1774,Datos!$C$4:$C$1774,"Adyen",Datos!$A$4:$A$1774,A86)</f>
        <v/>
      </c>
      <c r="D86" s="16">
        <f>B86+C86</f>
        <v/>
      </c>
      <c r="E86" s="16">
        <f>SUMIFS(Datos!$J$4:$J$1774,Datos!$C$4:$C$1774,"Adyen",Datos!$A$4:$A$1774,A86)</f>
        <v/>
      </c>
      <c r="F86" s="27">
        <f>D86+E86</f>
        <v/>
      </c>
    </row>
    <row r="87">
      <c r="A87" s="26" t="n">
        <v>46067</v>
      </c>
      <c r="B87" s="16">
        <f>SUMIFS(Datos!$H$4:$H$1774,Datos!$C$4:$C$1774,"Adyen",Datos!$A$4:$A$1774,A87)</f>
        <v/>
      </c>
      <c r="C87" s="16">
        <f>SUMIFS(Datos!$I$4:$I$1774,Datos!$C$4:$C$1774,"Adyen",Datos!$A$4:$A$1774,A87)</f>
        <v/>
      </c>
      <c r="D87" s="16">
        <f>B87+C87</f>
        <v/>
      </c>
      <c r="E87" s="16">
        <f>SUMIFS(Datos!$J$4:$J$1774,Datos!$C$4:$C$1774,"Adyen",Datos!$A$4:$A$1774,A87)</f>
        <v/>
      </c>
      <c r="F87" s="27">
        <f>D87+E87</f>
        <v/>
      </c>
    </row>
    <row r="88">
      <c r="A88" s="26" t="n">
        <v>46068</v>
      </c>
      <c r="B88" s="16">
        <f>SUMIFS(Datos!$H$4:$H$1774,Datos!$C$4:$C$1774,"Adyen",Datos!$A$4:$A$1774,A88)</f>
        <v/>
      </c>
      <c r="C88" s="16">
        <f>SUMIFS(Datos!$I$4:$I$1774,Datos!$C$4:$C$1774,"Adyen",Datos!$A$4:$A$1774,A88)</f>
        <v/>
      </c>
      <c r="D88" s="16">
        <f>B88+C88</f>
        <v/>
      </c>
      <c r="E88" s="16">
        <f>SUMIFS(Datos!$J$4:$J$1774,Datos!$C$4:$C$1774,"Adyen",Datos!$A$4:$A$1774,A88)</f>
        <v/>
      </c>
      <c r="F88" s="27">
        <f>D88+E88</f>
        <v/>
      </c>
    </row>
    <row r="89">
      <c r="A89" s="26" t="n">
        <v>46069</v>
      </c>
      <c r="B89" s="16">
        <f>SUMIFS(Datos!$H$4:$H$1774,Datos!$C$4:$C$1774,"Adyen",Datos!$A$4:$A$1774,A89)</f>
        <v/>
      </c>
      <c r="C89" s="16">
        <f>SUMIFS(Datos!$I$4:$I$1774,Datos!$C$4:$C$1774,"Adyen",Datos!$A$4:$A$1774,A89)</f>
        <v/>
      </c>
      <c r="D89" s="16">
        <f>B89+C89</f>
        <v/>
      </c>
      <c r="E89" s="16">
        <f>SUMIFS(Datos!$J$4:$J$1774,Datos!$C$4:$C$1774,"Adyen",Datos!$A$4:$A$1774,A89)</f>
        <v/>
      </c>
      <c r="F89" s="27">
        <f>D89+E89</f>
        <v/>
      </c>
    </row>
    <row r="90">
      <c r="A90" s="26" t="n">
        <v>46070</v>
      </c>
      <c r="B90" s="16">
        <f>SUMIFS(Datos!$H$4:$H$1774,Datos!$C$4:$C$1774,"Adyen",Datos!$A$4:$A$1774,A90)</f>
        <v/>
      </c>
      <c r="C90" s="16">
        <f>SUMIFS(Datos!$I$4:$I$1774,Datos!$C$4:$C$1774,"Adyen",Datos!$A$4:$A$1774,A90)</f>
        <v/>
      </c>
      <c r="D90" s="16">
        <f>B90+C90</f>
        <v/>
      </c>
      <c r="E90" s="16">
        <f>SUMIFS(Datos!$J$4:$J$1774,Datos!$C$4:$C$1774,"Adyen",Datos!$A$4:$A$1774,A90)</f>
        <v/>
      </c>
      <c r="F90" s="27">
        <f>D90+E90</f>
        <v/>
      </c>
    </row>
    <row r="91">
      <c r="A91" s="26" t="n">
        <v>46071</v>
      </c>
      <c r="B91" s="16">
        <f>SUMIFS(Datos!$H$4:$H$1774,Datos!$C$4:$C$1774,"Adyen",Datos!$A$4:$A$1774,A91)</f>
        <v/>
      </c>
      <c r="C91" s="16">
        <f>SUMIFS(Datos!$I$4:$I$1774,Datos!$C$4:$C$1774,"Adyen",Datos!$A$4:$A$1774,A91)</f>
        <v/>
      </c>
      <c r="D91" s="16">
        <f>B91+C91</f>
        <v/>
      </c>
      <c r="E91" s="16">
        <f>SUMIFS(Datos!$J$4:$J$1774,Datos!$C$4:$C$1774,"Adyen",Datos!$A$4:$A$1774,A91)</f>
        <v/>
      </c>
      <c r="F91" s="27">
        <f>D91+E91</f>
        <v/>
      </c>
    </row>
    <row r="92">
      <c r="A92" s="26" t="n">
        <v>46072</v>
      </c>
      <c r="B92" s="16">
        <f>SUMIFS(Datos!$H$4:$H$1774,Datos!$C$4:$C$1774,"Adyen",Datos!$A$4:$A$1774,A92)</f>
        <v/>
      </c>
      <c r="C92" s="16">
        <f>SUMIFS(Datos!$I$4:$I$1774,Datos!$C$4:$C$1774,"Adyen",Datos!$A$4:$A$1774,A92)</f>
        <v/>
      </c>
      <c r="D92" s="16">
        <f>B92+C92</f>
        <v/>
      </c>
      <c r="E92" s="16">
        <f>SUMIFS(Datos!$J$4:$J$1774,Datos!$C$4:$C$1774,"Adyen",Datos!$A$4:$A$1774,A92)</f>
        <v/>
      </c>
      <c r="F92" s="27">
        <f>D92+E92</f>
        <v/>
      </c>
    </row>
    <row r="93">
      <c r="A93" s="26" t="n">
        <v>46073</v>
      </c>
      <c r="B93" s="16">
        <f>SUMIFS(Datos!$H$4:$H$1774,Datos!$C$4:$C$1774,"Adyen",Datos!$A$4:$A$1774,A93)</f>
        <v/>
      </c>
      <c r="C93" s="16">
        <f>SUMIFS(Datos!$I$4:$I$1774,Datos!$C$4:$C$1774,"Adyen",Datos!$A$4:$A$1774,A93)</f>
        <v/>
      </c>
      <c r="D93" s="16">
        <f>B93+C93</f>
        <v/>
      </c>
      <c r="E93" s="16">
        <f>SUMIFS(Datos!$J$4:$J$1774,Datos!$C$4:$C$1774,"Adyen",Datos!$A$4:$A$1774,A93)</f>
        <v/>
      </c>
      <c r="F93" s="27">
        <f>D93+E93</f>
        <v/>
      </c>
    </row>
    <row r="94">
      <c r="A94" s="26" t="n">
        <v>46074</v>
      </c>
      <c r="B94" s="16">
        <f>SUMIFS(Datos!$H$4:$H$1774,Datos!$C$4:$C$1774,"Adyen",Datos!$A$4:$A$1774,A94)</f>
        <v/>
      </c>
      <c r="C94" s="16">
        <f>SUMIFS(Datos!$I$4:$I$1774,Datos!$C$4:$C$1774,"Adyen",Datos!$A$4:$A$1774,A94)</f>
        <v/>
      </c>
      <c r="D94" s="16">
        <f>B94+C94</f>
        <v/>
      </c>
      <c r="E94" s="16">
        <f>SUMIFS(Datos!$J$4:$J$1774,Datos!$C$4:$C$1774,"Adyen",Datos!$A$4:$A$1774,A94)</f>
        <v/>
      </c>
      <c r="F94" s="27">
        <f>D94+E94</f>
        <v/>
      </c>
    </row>
    <row r="95">
      <c r="A95" s="26" t="n">
        <v>46075</v>
      </c>
      <c r="B95" s="16">
        <f>SUMIFS(Datos!$H$4:$H$1774,Datos!$C$4:$C$1774,"Adyen",Datos!$A$4:$A$1774,A95)</f>
        <v/>
      </c>
      <c r="C95" s="16">
        <f>SUMIFS(Datos!$I$4:$I$1774,Datos!$C$4:$C$1774,"Adyen",Datos!$A$4:$A$1774,A95)</f>
        <v/>
      </c>
      <c r="D95" s="16">
        <f>B95+C95</f>
        <v/>
      </c>
      <c r="E95" s="16">
        <f>SUMIFS(Datos!$J$4:$J$1774,Datos!$C$4:$C$1774,"Adyen",Datos!$A$4:$A$1774,A95)</f>
        <v/>
      </c>
      <c r="F95" s="27">
        <f>D95+E95</f>
        <v/>
      </c>
    </row>
    <row r="96">
      <c r="A96" s="26" t="n">
        <v>46076</v>
      </c>
      <c r="B96" s="16">
        <f>SUMIFS(Datos!$H$4:$H$1774,Datos!$C$4:$C$1774,"Adyen",Datos!$A$4:$A$1774,A96)</f>
        <v/>
      </c>
      <c r="C96" s="16">
        <f>SUMIFS(Datos!$I$4:$I$1774,Datos!$C$4:$C$1774,"Adyen",Datos!$A$4:$A$1774,A96)</f>
        <v/>
      </c>
      <c r="D96" s="16">
        <f>B96+C96</f>
        <v/>
      </c>
      <c r="E96" s="16">
        <f>SUMIFS(Datos!$J$4:$J$1774,Datos!$C$4:$C$1774,"Adyen",Datos!$A$4:$A$1774,A96)</f>
        <v/>
      </c>
      <c r="F96" s="27">
        <f>D96+E96</f>
        <v/>
      </c>
    </row>
    <row r="97">
      <c r="A97" s="26" t="n">
        <v>46077</v>
      </c>
      <c r="B97" s="16">
        <f>SUMIFS(Datos!$H$4:$H$1774,Datos!$C$4:$C$1774,"Adyen",Datos!$A$4:$A$1774,A97)</f>
        <v/>
      </c>
      <c r="C97" s="16">
        <f>SUMIFS(Datos!$I$4:$I$1774,Datos!$C$4:$C$1774,"Adyen",Datos!$A$4:$A$1774,A97)</f>
        <v/>
      </c>
      <c r="D97" s="16">
        <f>B97+C97</f>
        <v/>
      </c>
      <c r="E97" s="16">
        <f>SUMIFS(Datos!$J$4:$J$1774,Datos!$C$4:$C$1774,"Adyen",Datos!$A$4:$A$1774,A97)</f>
        <v/>
      </c>
      <c r="F97" s="27">
        <f>D97+E97</f>
        <v/>
      </c>
    </row>
    <row r="98">
      <c r="A98" s="26" t="n">
        <v>46078</v>
      </c>
      <c r="B98" s="16">
        <f>SUMIFS(Datos!$H$4:$H$1774,Datos!$C$4:$C$1774,"Adyen",Datos!$A$4:$A$1774,A98)</f>
        <v/>
      </c>
      <c r="C98" s="16">
        <f>SUMIFS(Datos!$I$4:$I$1774,Datos!$C$4:$C$1774,"Adyen",Datos!$A$4:$A$1774,A98)</f>
        <v/>
      </c>
      <c r="D98" s="16">
        <f>B98+C98</f>
        <v/>
      </c>
      <c r="E98" s="16">
        <f>SUMIFS(Datos!$J$4:$J$1774,Datos!$C$4:$C$1774,"Adyen",Datos!$A$4:$A$1774,A98)</f>
        <v/>
      </c>
      <c r="F98" s="27">
        <f>D98+E98</f>
        <v/>
      </c>
    </row>
    <row r="99">
      <c r="A99" s="26" t="n">
        <v>46079</v>
      </c>
      <c r="B99" s="16">
        <f>SUMIFS(Datos!$H$4:$H$1774,Datos!$C$4:$C$1774,"Adyen",Datos!$A$4:$A$1774,A99)</f>
        <v/>
      </c>
      <c r="C99" s="16">
        <f>SUMIFS(Datos!$I$4:$I$1774,Datos!$C$4:$C$1774,"Adyen",Datos!$A$4:$A$1774,A99)</f>
        <v/>
      </c>
      <c r="D99" s="16">
        <f>B99+C99</f>
        <v/>
      </c>
      <c r="E99" s="16">
        <f>SUMIFS(Datos!$J$4:$J$1774,Datos!$C$4:$C$1774,"Adyen",Datos!$A$4:$A$1774,A99)</f>
        <v/>
      </c>
      <c r="F99" s="27">
        <f>D99+E99</f>
        <v/>
      </c>
    </row>
    <row r="100">
      <c r="A100" s="26" t="n">
        <v>46080</v>
      </c>
      <c r="B100" s="16">
        <f>SUMIFS(Datos!$H$4:$H$1774,Datos!$C$4:$C$1774,"Adyen",Datos!$A$4:$A$1774,A100)</f>
        <v/>
      </c>
      <c r="C100" s="16">
        <f>SUMIFS(Datos!$I$4:$I$1774,Datos!$C$4:$C$1774,"Adyen",Datos!$A$4:$A$1774,A100)</f>
        <v/>
      </c>
      <c r="D100" s="16">
        <f>B100+C100</f>
        <v/>
      </c>
      <c r="E100" s="16">
        <f>SUMIFS(Datos!$J$4:$J$1774,Datos!$C$4:$C$1774,"Adyen",Datos!$A$4:$A$1774,A100)</f>
        <v/>
      </c>
      <c r="F100" s="27">
        <f>D100+E100</f>
        <v/>
      </c>
    </row>
    <row r="101">
      <c r="A101" s="26" t="n">
        <v>46081</v>
      </c>
      <c r="B101" s="16">
        <f>SUMIFS(Datos!$H$4:$H$1774,Datos!$C$4:$C$1774,"Adyen",Datos!$A$4:$A$1774,A101)</f>
        <v/>
      </c>
      <c r="C101" s="16">
        <f>SUMIFS(Datos!$I$4:$I$1774,Datos!$C$4:$C$1774,"Adyen",Datos!$A$4:$A$1774,A101)</f>
        <v/>
      </c>
      <c r="D101" s="16">
        <f>B101+C101</f>
        <v/>
      </c>
      <c r="E101" s="16">
        <f>SUMIFS(Datos!$J$4:$J$1774,Datos!$C$4:$C$1774,"Adyen",Datos!$A$4:$A$1774,A101)</f>
        <v/>
      </c>
      <c r="F101" s="27">
        <f>D101+E101</f>
        <v/>
      </c>
    </row>
    <row r="102">
      <c r="A102" s="26" t="n">
        <v>46082</v>
      </c>
      <c r="B102" s="16">
        <f>SUMIFS(Datos!$H$4:$H$1774,Datos!$C$4:$C$1774,"Adyen",Datos!$A$4:$A$1774,A102)</f>
        <v/>
      </c>
      <c r="C102" s="16">
        <f>SUMIFS(Datos!$I$4:$I$1774,Datos!$C$4:$C$1774,"Adyen",Datos!$A$4:$A$1774,A102)</f>
        <v/>
      </c>
      <c r="D102" s="16">
        <f>B102+C102</f>
        <v/>
      </c>
      <c r="E102" s="16">
        <f>SUMIFS(Datos!$J$4:$J$1774,Datos!$C$4:$C$1774,"Adyen",Datos!$A$4:$A$1774,A102)</f>
        <v/>
      </c>
      <c r="F102" s="27">
        <f>D102+E102</f>
        <v/>
      </c>
    </row>
    <row r="103">
      <c r="A103" s="26" t="n">
        <v>46083</v>
      </c>
      <c r="B103" s="16">
        <f>SUMIFS(Datos!$H$4:$H$1774,Datos!$C$4:$C$1774,"Adyen",Datos!$A$4:$A$1774,A103)</f>
        <v/>
      </c>
      <c r="C103" s="16">
        <f>SUMIFS(Datos!$I$4:$I$1774,Datos!$C$4:$C$1774,"Adyen",Datos!$A$4:$A$1774,A103)</f>
        <v/>
      </c>
      <c r="D103" s="16">
        <f>B103+C103</f>
        <v/>
      </c>
      <c r="E103" s="16">
        <f>SUMIFS(Datos!$J$4:$J$1774,Datos!$C$4:$C$1774,"Adyen",Datos!$A$4:$A$1774,A103)</f>
        <v/>
      </c>
      <c r="F103" s="27">
        <f>D103+E103</f>
        <v/>
      </c>
    </row>
    <row r="104">
      <c r="A104" s="26" t="n">
        <v>46084</v>
      </c>
      <c r="B104" s="16">
        <f>SUMIFS(Datos!$H$4:$H$1774,Datos!$C$4:$C$1774,"Adyen",Datos!$A$4:$A$1774,A104)</f>
        <v/>
      </c>
      <c r="C104" s="16">
        <f>SUMIFS(Datos!$I$4:$I$1774,Datos!$C$4:$C$1774,"Adyen",Datos!$A$4:$A$1774,A104)</f>
        <v/>
      </c>
      <c r="D104" s="16">
        <f>B104+C104</f>
        <v/>
      </c>
      <c r="E104" s="16">
        <f>SUMIFS(Datos!$J$4:$J$1774,Datos!$C$4:$C$1774,"Adyen",Datos!$A$4:$A$1774,A104)</f>
        <v/>
      </c>
      <c r="F104" s="27">
        <f>D104+E104</f>
        <v/>
      </c>
    </row>
    <row r="105">
      <c r="A105" s="26" t="n">
        <v>46085</v>
      </c>
      <c r="B105" s="16">
        <f>SUMIFS(Datos!$H$4:$H$1774,Datos!$C$4:$C$1774,"Adyen",Datos!$A$4:$A$1774,A105)</f>
        <v/>
      </c>
      <c r="C105" s="16">
        <f>SUMIFS(Datos!$I$4:$I$1774,Datos!$C$4:$C$1774,"Adyen",Datos!$A$4:$A$1774,A105)</f>
        <v/>
      </c>
      <c r="D105" s="16">
        <f>B105+C105</f>
        <v/>
      </c>
      <c r="E105" s="16">
        <f>SUMIFS(Datos!$J$4:$J$1774,Datos!$C$4:$C$1774,"Adyen",Datos!$A$4:$A$1774,A105)</f>
        <v/>
      </c>
      <c r="F105" s="27">
        <f>D105+E105</f>
        <v/>
      </c>
    </row>
    <row r="106">
      <c r="A106" s="26" t="n">
        <v>46086</v>
      </c>
      <c r="B106" s="16">
        <f>SUMIFS(Datos!$H$4:$H$1774,Datos!$C$4:$C$1774,"Adyen",Datos!$A$4:$A$1774,A106)</f>
        <v/>
      </c>
      <c r="C106" s="16">
        <f>SUMIFS(Datos!$I$4:$I$1774,Datos!$C$4:$C$1774,"Adyen",Datos!$A$4:$A$1774,A106)</f>
        <v/>
      </c>
      <c r="D106" s="16">
        <f>B106+C106</f>
        <v/>
      </c>
      <c r="E106" s="16">
        <f>SUMIFS(Datos!$J$4:$J$1774,Datos!$C$4:$C$1774,"Adyen",Datos!$A$4:$A$1774,A106)</f>
        <v/>
      </c>
      <c r="F106" s="27">
        <f>D106+E106</f>
        <v/>
      </c>
    </row>
    <row r="107">
      <c r="A107" s="26" t="n">
        <v>46087</v>
      </c>
      <c r="B107" s="16">
        <f>SUMIFS(Datos!$H$4:$H$1774,Datos!$C$4:$C$1774,"Adyen",Datos!$A$4:$A$1774,A107)</f>
        <v/>
      </c>
      <c r="C107" s="16">
        <f>SUMIFS(Datos!$I$4:$I$1774,Datos!$C$4:$C$1774,"Adyen",Datos!$A$4:$A$1774,A107)</f>
        <v/>
      </c>
      <c r="D107" s="16">
        <f>B107+C107</f>
        <v/>
      </c>
      <c r="E107" s="16">
        <f>SUMIFS(Datos!$J$4:$J$1774,Datos!$C$4:$C$1774,"Adyen",Datos!$A$4:$A$1774,A107)</f>
        <v/>
      </c>
      <c r="F107" s="27">
        <f>D107+E107</f>
        <v/>
      </c>
    </row>
    <row r="108">
      <c r="A108" s="26" t="n">
        <v>46088</v>
      </c>
      <c r="B108" s="16">
        <f>SUMIFS(Datos!$H$4:$H$1774,Datos!$C$4:$C$1774,"Adyen",Datos!$A$4:$A$1774,A108)</f>
        <v/>
      </c>
      <c r="C108" s="16">
        <f>SUMIFS(Datos!$I$4:$I$1774,Datos!$C$4:$C$1774,"Adyen",Datos!$A$4:$A$1774,A108)</f>
        <v/>
      </c>
      <c r="D108" s="16">
        <f>B108+C108</f>
        <v/>
      </c>
      <c r="E108" s="16">
        <f>SUMIFS(Datos!$J$4:$J$1774,Datos!$C$4:$C$1774,"Adyen",Datos!$A$4:$A$1774,A108)</f>
        <v/>
      </c>
      <c r="F108" s="27">
        <f>D108+E108</f>
        <v/>
      </c>
    </row>
    <row r="109">
      <c r="A109" s="26" t="n">
        <v>46089</v>
      </c>
      <c r="B109" s="16">
        <f>SUMIFS(Datos!$H$4:$H$1774,Datos!$C$4:$C$1774,"Adyen",Datos!$A$4:$A$1774,A109)</f>
        <v/>
      </c>
      <c r="C109" s="16">
        <f>SUMIFS(Datos!$I$4:$I$1774,Datos!$C$4:$C$1774,"Adyen",Datos!$A$4:$A$1774,A109)</f>
        <v/>
      </c>
      <c r="D109" s="16">
        <f>B109+C109</f>
        <v/>
      </c>
      <c r="E109" s="16">
        <f>SUMIFS(Datos!$J$4:$J$1774,Datos!$C$4:$C$1774,"Adyen",Datos!$A$4:$A$1774,A109)</f>
        <v/>
      </c>
      <c r="F109" s="27">
        <f>D109+E109</f>
        <v/>
      </c>
    </row>
    <row r="110">
      <c r="A110" s="26" t="n">
        <v>46090</v>
      </c>
      <c r="B110" s="16">
        <f>SUMIFS(Datos!$H$4:$H$1774,Datos!$C$4:$C$1774,"Adyen",Datos!$A$4:$A$1774,A110)</f>
        <v/>
      </c>
      <c r="C110" s="16">
        <f>SUMIFS(Datos!$I$4:$I$1774,Datos!$C$4:$C$1774,"Adyen",Datos!$A$4:$A$1774,A110)</f>
        <v/>
      </c>
      <c r="D110" s="16">
        <f>B110+C110</f>
        <v/>
      </c>
      <c r="E110" s="16">
        <f>SUMIFS(Datos!$J$4:$J$1774,Datos!$C$4:$C$1774,"Adyen",Datos!$A$4:$A$1774,A110)</f>
        <v/>
      </c>
      <c r="F110" s="27">
        <f>D110+E110</f>
        <v/>
      </c>
    </row>
    <row r="111">
      <c r="A111" s="26" t="n">
        <v>46091</v>
      </c>
      <c r="B111" s="16">
        <f>SUMIFS(Datos!$H$4:$H$1774,Datos!$C$4:$C$1774,"Adyen",Datos!$A$4:$A$1774,A111)</f>
        <v/>
      </c>
      <c r="C111" s="16">
        <f>SUMIFS(Datos!$I$4:$I$1774,Datos!$C$4:$C$1774,"Adyen",Datos!$A$4:$A$1774,A111)</f>
        <v/>
      </c>
      <c r="D111" s="16">
        <f>B111+C111</f>
        <v/>
      </c>
      <c r="E111" s="16">
        <f>SUMIFS(Datos!$J$4:$J$1774,Datos!$C$4:$C$1774,"Adyen",Datos!$A$4:$A$1774,A111)</f>
        <v/>
      </c>
      <c r="F111" s="27">
        <f>D111+E111</f>
        <v/>
      </c>
    </row>
    <row r="112">
      <c r="A112" s="26" t="n">
        <v>46092</v>
      </c>
      <c r="B112" s="16">
        <f>SUMIFS(Datos!$H$4:$H$1774,Datos!$C$4:$C$1774,"Adyen",Datos!$A$4:$A$1774,A112)</f>
        <v/>
      </c>
      <c r="C112" s="16">
        <f>SUMIFS(Datos!$I$4:$I$1774,Datos!$C$4:$C$1774,"Adyen",Datos!$A$4:$A$1774,A112)</f>
        <v/>
      </c>
      <c r="D112" s="16">
        <f>B112+C112</f>
        <v/>
      </c>
      <c r="E112" s="16">
        <f>SUMIFS(Datos!$J$4:$J$1774,Datos!$C$4:$C$1774,"Adyen",Datos!$A$4:$A$1774,A112)</f>
        <v/>
      </c>
      <c r="F112" s="27">
        <f>D112+E112</f>
        <v/>
      </c>
    </row>
    <row r="113">
      <c r="A113" s="26" t="n">
        <v>46093</v>
      </c>
      <c r="B113" s="16">
        <f>SUMIFS(Datos!$H$4:$H$1774,Datos!$C$4:$C$1774,"Adyen",Datos!$A$4:$A$1774,A113)</f>
        <v/>
      </c>
      <c r="C113" s="16">
        <f>SUMIFS(Datos!$I$4:$I$1774,Datos!$C$4:$C$1774,"Adyen",Datos!$A$4:$A$1774,A113)</f>
        <v/>
      </c>
      <c r="D113" s="16">
        <f>B113+C113</f>
        <v/>
      </c>
      <c r="E113" s="16">
        <f>SUMIFS(Datos!$J$4:$J$1774,Datos!$C$4:$C$1774,"Adyen",Datos!$A$4:$A$1774,A113)</f>
        <v/>
      </c>
      <c r="F113" s="27">
        <f>D113+E113</f>
        <v/>
      </c>
    </row>
    <row r="114">
      <c r="A114" s="26" t="n">
        <v>46094</v>
      </c>
      <c r="B114" s="16">
        <f>SUMIFS(Datos!$H$4:$H$1774,Datos!$C$4:$C$1774,"Adyen",Datos!$A$4:$A$1774,A114)</f>
        <v/>
      </c>
      <c r="C114" s="16">
        <f>SUMIFS(Datos!$I$4:$I$1774,Datos!$C$4:$C$1774,"Adyen",Datos!$A$4:$A$1774,A114)</f>
        <v/>
      </c>
      <c r="D114" s="16">
        <f>B114+C114</f>
        <v/>
      </c>
      <c r="E114" s="16">
        <f>SUMIFS(Datos!$J$4:$J$1774,Datos!$C$4:$C$1774,"Adyen",Datos!$A$4:$A$1774,A114)</f>
        <v/>
      </c>
      <c r="F114" s="27">
        <f>D114+E114</f>
        <v/>
      </c>
    </row>
    <row r="115">
      <c r="A115" s="26" t="n">
        <v>46095</v>
      </c>
      <c r="B115" s="16">
        <f>SUMIFS(Datos!$H$4:$H$1774,Datos!$C$4:$C$1774,"Adyen",Datos!$A$4:$A$1774,A115)</f>
        <v/>
      </c>
      <c r="C115" s="16">
        <f>SUMIFS(Datos!$I$4:$I$1774,Datos!$C$4:$C$1774,"Adyen",Datos!$A$4:$A$1774,A115)</f>
        <v/>
      </c>
      <c r="D115" s="16">
        <f>B115+C115</f>
        <v/>
      </c>
      <c r="E115" s="16">
        <f>SUMIFS(Datos!$J$4:$J$1774,Datos!$C$4:$C$1774,"Adyen",Datos!$A$4:$A$1774,A115)</f>
        <v/>
      </c>
      <c r="F115" s="27">
        <f>D115+E115</f>
        <v/>
      </c>
    </row>
    <row r="116">
      <c r="A116" s="26" t="n">
        <v>46096</v>
      </c>
      <c r="B116" s="16">
        <f>SUMIFS(Datos!$H$4:$H$1774,Datos!$C$4:$C$1774,"Adyen",Datos!$A$4:$A$1774,A116)</f>
        <v/>
      </c>
      <c r="C116" s="16">
        <f>SUMIFS(Datos!$I$4:$I$1774,Datos!$C$4:$C$1774,"Adyen",Datos!$A$4:$A$1774,A116)</f>
        <v/>
      </c>
      <c r="D116" s="16">
        <f>B116+C116</f>
        <v/>
      </c>
      <c r="E116" s="16">
        <f>SUMIFS(Datos!$J$4:$J$1774,Datos!$C$4:$C$1774,"Adyen",Datos!$A$4:$A$1774,A116)</f>
        <v/>
      </c>
      <c r="F116" s="27">
        <f>D116+E116</f>
        <v/>
      </c>
    </row>
    <row r="117">
      <c r="A117" s="26" t="n">
        <v>46097</v>
      </c>
      <c r="B117" s="16">
        <f>SUMIFS(Datos!$H$4:$H$1774,Datos!$C$4:$C$1774,"Adyen",Datos!$A$4:$A$1774,A117)</f>
        <v/>
      </c>
      <c r="C117" s="16">
        <f>SUMIFS(Datos!$I$4:$I$1774,Datos!$C$4:$C$1774,"Adyen",Datos!$A$4:$A$1774,A117)</f>
        <v/>
      </c>
      <c r="D117" s="16">
        <f>B117+C117</f>
        <v/>
      </c>
      <c r="E117" s="16">
        <f>SUMIFS(Datos!$J$4:$J$1774,Datos!$C$4:$C$1774,"Adyen",Datos!$A$4:$A$1774,A117)</f>
        <v/>
      </c>
      <c r="F117" s="27">
        <f>D117+E117</f>
        <v/>
      </c>
    </row>
    <row r="118">
      <c r="A118" s="26" t="n">
        <v>46098</v>
      </c>
      <c r="B118" s="16">
        <f>SUMIFS(Datos!$H$4:$H$1774,Datos!$C$4:$C$1774,"Adyen",Datos!$A$4:$A$1774,A118)</f>
        <v/>
      </c>
      <c r="C118" s="16">
        <f>SUMIFS(Datos!$I$4:$I$1774,Datos!$C$4:$C$1774,"Adyen",Datos!$A$4:$A$1774,A118)</f>
        <v/>
      </c>
      <c r="D118" s="16">
        <f>B118+C118</f>
        <v/>
      </c>
      <c r="E118" s="16">
        <f>SUMIFS(Datos!$J$4:$J$1774,Datos!$C$4:$C$1774,"Adyen",Datos!$A$4:$A$1774,A118)</f>
        <v/>
      </c>
      <c r="F118" s="27">
        <f>D118+E118</f>
        <v/>
      </c>
    </row>
    <row r="119">
      <c r="A119" s="26" t="n">
        <v>46099</v>
      </c>
      <c r="B119" s="16">
        <f>SUMIFS(Datos!$H$4:$H$1774,Datos!$C$4:$C$1774,"Adyen",Datos!$A$4:$A$1774,A119)</f>
        <v/>
      </c>
      <c r="C119" s="16">
        <f>SUMIFS(Datos!$I$4:$I$1774,Datos!$C$4:$C$1774,"Adyen",Datos!$A$4:$A$1774,A119)</f>
        <v/>
      </c>
      <c r="D119" s="16">
        <f>B119+C119</f>
        <v/>
      </c>
      <c r="E119" s="16">
        <f>SUMIFS(Datos!$J$4:$J$1774,Datos!$C$4:$C$1774,"Adyen",Datos!$A$4:$A$1774,A119)</f>
        <v/>
      </c>
      <c r="F119" s="27">
        <f>D119+E119</f>
        <v/>
      </c>
    </row>
    <row r="120">
      <c r="A120" s="26" t="n">
        <v>46100</v>
      </c>
      <c r="B120" s="16">
        <f>SUMIFS(Datos!$H$4:$H$1774,Datos!$C$4:$C$1774,"Adyen",Datos!$A$4:$A$1774,A120)</f>
        <v/>
      </c>
      <c r="C120" s="16">
        <f>SUMIFS(Datos!$I$4:$I$1774,Datos!$C$4:$C$1774,"Adyen",Datos!$A$4:$A$1774,A120)</f>
        <v/>
      </c>
      <c r="D120" s="16">
        <f>B120+C120</f>
        <v/>
      </c>
      <c r="E120" s="16">
        <f>SUMIFS(Datos!$J$4:$J$1774,Datos!$C$4:$C$1774,"Adyen",Datos!$A$4:$A$1774,A120)</f>
        <v/>
      </c>
      <c r="F120" s="27">
        <f>D120+E120</f>
        <v/>
      </c>
    </row>
    <row r="121">
      <c r="A121" s="26" t="n">
        <v>46101</v>
      </c>
      <c r="B121" s="16">
        <f>SUMIFS(Datos!$H$4:$H$1774,Datos!$C$4:$C$1774,"Adyen",Datos!$A$4:$A$1774,A121)</f>
        <v/>
      </c>
      <c r="C121" s="16">
        <f>SUMIFS(Datos!$I$4:$I$1774,Datos!$C$4:$C$1774,"Adyen",Datos!$A$4:$A$1774,A121)</f>
        <v/>
      </c>
      <c r="D121" s="16">
        <f>B121+C121</f>
        <v/>
      </c>
      <c r="E121" s="16">
        <f>SUMIFS(Datos!$J$4:$J$1774,Datos!$C$4:$C$1774,"Adyen",Datos!$A$4:$A$1774,A121)</f>
        <v/>
      </c>
      <c r="F121" s="27">
        <f>D121+E121</f>
        <v/>
      </c>
    </row>
    <row r="122">
      <c r="A122" s="26" t="n">
        <v>46102</v>
      </c>
      <c r="B122" s="16">
        <f>SUMIFS(Datos!$H$4:$H$1774,Datos!$C$4:$C$1774,"Adyen",Datos!$A$4:$A$1774,A122)</f>
        <v/>
      </c>
      <c r="C122" s="16">
        <f>SUMIFS(Datos!$I$4:$I$1774,Datos!$C$4:$C$1774,"Adyen",Datos!$A$4:$A$1774,A122)</f>
        <v/>
      </c>
      <c r="D122" s="16">
        <f>B122+C122</f>
        <v/>
      </c>
      <c r="E122" s="16">
        <f>SUMIFS(Datos!$J$4:$J$1774,Datos!$C$4:$C$1774,"Adyen",Datos!$A$4:$A$1774,A122)</f>
        <v/>
      </c>
      <c r="F122" s="27">
        <f>D122+E122</f>
        <v/>
      </c>
    </row>
    <row r="123">
      <c r="A123" s="26" t="n">
        <v>46103</v>
      </c>
      <c r="B123" s="16">
        <f>SUMIFS(Datos!$H$4:$H$1774,Datos!$C$4:$C$1774,"Adyen",Datos!$A$4:$A$1774,A123)</f>
        <v/>
      </c>
      <c r="C123" s="16">
        <f>SUMIFS(Datos!$I$4:$I$1774,Datos!$C$4:$C$1774,"Adyen",Datos!$A$4:$A$1774,A123)</f>
        <v/>
      </c>
      <c r="D123" s="16">
        <f>B123+C123</f>
        <v/>
      </c>
      <c r="E123" s="16">
        <f>SUMIFS(Datos!$J$4:$J$1774,Datos!$C$4:$C$1774,"Adyen",Datos!$A$4:$A$1774,A123)</f>
        <v/>
      </c>
      <c r="F123" s="27">
        <f>D123+E123</f>
        <v/>
      </c>
    </row>
    <row r="124">
      <c r="A124" s="26" t="n">
        <v>46104</v>
      </c>
      <c r="B124" s="16">
        <f>SUMIFS(Datos!$H$4:$H$1774,Datos!$C$4:$C$1774,"Adyen",Datos!$A$4:$A$1774,A124)</f>
        <v/>
      </c>
      <c r="C124" s="16">
        <f>SUMIFS(Datos!$I$4:$I$1774,Datos!$C$4:$C$1774,"Adyen",Datos!$A$4:$A$1774,A124)</f>
        <v/>
      </c>
      <c r="D124" s="16">
        <f>B124+C124</f>
        <v/>
      </c>
      <c r="E124" s="16">
        <f>SUMIFS(Datos!$J$4:$J$1774,Datos!$C$4:$C$1774,"Adyen",Datos!$A$4:$A$1774,A124)</f>
        <v/>
      </c>
      <c r="F124" s="27">
        <f>D124+E124</f>
        <v/>
      </c>
    </row>
    <row r="125">
      <c r="A125" s="26" t="n">
        <v>46105</v>
      </c>
      <c r="B125" s="16">
        <f>SUMIFS(Datos!$H$4:$H$1774,Datos!$C$4:$C$1774,"Adyen",Datos!$A$4:$A$1774,A125)</f>
        <v/>
      </c>
      <c r="C125" s="16">
        <f>SUMIFS(Datos!$I$4:$I$1774,Datos!$C$4:$C$1774,"Adyen",Datos!$A$4:$A$1774,A125)</f>
        <v/>
      </c>
      <c r="D125" s="16">
        <f>B125+C125</f>
        <v/>
      </c>
      <c r="E125" s="16">
        <f>SUMIFS(Datos!$J$4:$J$1774,Datos!$C$4:$C$1774,"Adyen",Datos!$A$4:$A$1774,A125)</f>
        <v/>
      </c>
      <c r="F125" s="27">
        <f>D125+E125</f>
        <v/>
      </c>
    </row>
    <row r="126">
      <c r="A126" s="26" t="n">
        <v>46106</v>
      </c>
      <c r="B126" s="16">
        <f>SUMIFS(Datos!$H$4:$H$1774,Datos!$C$4:$C$1774,"Adyen",Datos!$A$4:$A$1774,A126)</f>
        <v/>
      </c>
      <c r="C126" s="16">
        <f>SUMIFS(Datos!$I$4:$I$1774,Datos!$C$4:$C$1774,"Adyen",Datos!$A$4:$A$1774,A126)</f>
        <v/>
      </c>
      <c r="D126" s="16">
        <f>B126+C126</f>
        <v/>
      </c>
      <c r="E126" s="16">
        <f>SUMIFS(Datos!$J$4:$J$1774,Datos!$C$4:$C$1774,"Adyen",Datos!$A$4:$A$1774,A126)</f>
        <v/>
      </c>
      <c r="F126" s="27">
        <f>D126+E126</f>
        <v/>
      </c>
    </row>
    <row r="127">
      <c r="A127" s="26" t="n">
        <v>46107</v>
      </c>
      <c r="B127" s="16">
        <f>SUMIFS(Datos!$H$4:$H$1774,Datos!$C$4:$C$1774,"Adyen",Datos!$A$4:$A$1774,A127)</f>
        <v/>
      </c>
      <c r="C127" s="16">
        <f>SUMIFS(Datos!$I$4:$I$1774,Datos!$C$4:$C$1774,"Adyen",Datos!$A$4:$A$1774,A127)</f>
        <v/>
      </c>
      <c r="D127" s="16">
        <f>B127+C127</f>
        <v/>
      </c>
      <c r="E127" s="16">
        <f>SUMIFS(Datos!$J$4:$J$1774,Datos!$C$4:$C$1774,"Adyen",Datos!$A$4:$A$1774,A127)</f>
        <v/>
      </c>
      <c r="F127" s="27">
        <f>D127+E127</f>
        <v/>
      </c>
    </row>
    <row r="128">
      <c r="A128" s="26" t="n">
        <v>46108</v>
      </c>
      <c r="B128" s="16">
        <f>SUMIFS(Datos!$H$4:$H$1774,Datos!$C$4:$C$1774,"Adyen",Datos!$A$4:$A$1774,A128)</f>
        <v/>
      </c>
      <c r="C128" s="16">
        <f>SUMIFS(Datos!$I$4:$I$1774,Datos!$C$4:$C$1774,"Adyen",Datos!$A$4:$A$1774,A128)</f>
        <v/>
      </c>
      <c r="D128" s="16">
        <f>B128+C128</f>
        <v/>
      </c>
      <c r="E128" s="16">
        <f>SUMIFS(Datos!$J$4:$J$1774,Datos!$C$4:$C$1774,"Adyen",Datos!$A$4:$A$1774,A128)</f>
        <v/>
      </c>
      <c r="F128" s="27">
        <f>D128+E128</f>
        <v/>
      </c>
    </row>
    <row r="129">
      <c r="A129" s="26" t="n">
        <v>46109</v>
      </c>
      <c r="B129" s="16">
        <f>SUMIFS(Datos!$H$4:$H$1774,Datos!$C$4:$C$1774,"Adyen",Datos!$A$4:$A$1774,A129)</f>
        <v/>
      </c>
      <c r="C129" s="16">
        <f>SUMIFS(Datos!$I$4:$I$1774,Datos!$C$4:$C$1774,"Adyen",Datos!$A$4:$A$1774,A129)</f>
        <v/>
      </c>
      <c r="D129" s="16">
        <f>B129+C129</f>
        <v/>
      </c>
      <c r="E129" s="16">
        <f>SUMIFS(Datos!$J$4:$J$1774,Datos!$C$4:$C$1774,"Adyen",Datos!$A$4:$A$1774,A129)</f>
        <v/>
      </c>
      <c r="F129" s="27">
        <f>D129+E129</f>
        <v/>
      </c>
    </row>
    <row r="130">
      <c r="A130" s="26" t="n">
        <v>46110</v>
      </c>
      <c r="B130" s="16">
        <f>SUMIFS(Datos!$H$4:$H$1774,Datos!$C$4:$C$1774,"Adyen",Datos!$A$4:$A$1774,A130)</f>
        <v/>
      </c>
      <c r="C130" s="16">
        <f>SUMIFS(Datos!$I$4:$I$1774,Datos!$C$4:$C$1774,"Adyen",Datos!$A$4:$A$1774,A130)</f>
        <v/>
      </c>
      <c r="D130" s="16">
        <f>B130+C130</f>
        <v/>
      </c>
      <c r="E130" s="16">
        <f>SUMIFS(Datos!$J$4:$J$1774,Datos!$C$4:$C$1774,"Adyen",Datos!$A$4:$A$1774,A130)</f>
        <v/>
      </c>
      <c r="F130" s="27">
        <f>D130+E130</f>
        <v/>
      </c>
    </row>
    <row r="131">
      <c r="A131" s="26" t="n">
        <v>46111</v>
      </c>
      <c r="B131" s="16">
        <f>SUMIFS(Datos!$H$4:$H$1774,Datos!$C$4:$C$1774,"Adyen",Datos!$A$4:$A$1774,A131)</f>
        <v/>
      </c>
      <c r="C131" s="16">
        <f>SUMIFS(Datos!$I$4:$I$1774,Datos!$C$4:$C$1774,"Adyen",Datos!$A$4:$A$1774,A131)</f>
        <v/>
      </c>
      <c r="D131" s="16">
        <f>B131+C131</f>
        <v/>
      </c>
      <c r="E131" s="16">
        <f>SUMIFS(Datos!$J$4:$J$1774,Datos!$C$4:$C$1774,"Adyen",Datos!$A$4:$A$1774,A131)</f>
        <v/>
      </c>
      <c r="F131" s="27">
        <f>D131+E131</f>
        <v/>
      </c>
    </row>
    <row r="132">
      <c r="A132" s="26" t="n">
        <v>46112</v>
      </c>
      <c r="B132" s="16">
        <f>SUMIFS(Datos!$H$4:$H$1774,Datos!$C$4:$C$1774,"Adyen",Datos!$A$4:$A$1774,A132)</f>
        <v/>
      </c>
      <c r="C132" s="16">
        <f>SUMIFS(Datos!$I$4:$I$1774,Datos!$C$4:$C$1774,"Adyen",Datos!$A$4:$A$1774,A132)</f>
        <v/>
      </c>
      <c r="D132" s="16">
        <f>B132+C132</f>
        <v/>
      </c>
      <c r="E132" s="16">
        <f>SUMIFS(Datos!$J$4:$J$1774,Datos!$C$4:$C$1774,"Adyen",Datos!$A$4:$A$1774,A132)</f>
        <v/>
      </c>
      <c r="F132" s="27">
        <f>D132+E132</f>
        <v/>
      </c>
    </row>
    <row r="133">
      <c r="A133" s="26" t="n">
        <v>46113</v>
      </c>
      <c r="B133" s="16">
        <f>SUMIFS(Datos!$H$4:$H$1774,Datos!$C$4:$C$1774,"Adyen",Datos!$A$4:$A$1774,A133)</f>
        <v/>
      </c>
      <c r="C133" s="16">
        <f>SUMIFS(Datos!$I$4:$I$1774,Datos!$C$4:$C$1774,"Adyen",Datos!$A$4:$A$1774,A133)</f>
        <v/>
      </c>
      <c r="D133" s="16">
        <f>B133+C133</f>
        <v/>
      </c>
      <c r="E133" s="16">
        <f>SUMIFS(Datos!$J$4:$J$1774,Datos!$C$4:$C$1774,"Adyen",Datos!$A$4:$A$1774,A133)</f>
        <v/>
      </c>
      <c r="F133" s="27">
        <f>D133+E133</f>
        <v/>
      </c>
    </row>
    <row r="134">
      <c r="A134" s="26" t="n">
        <v>46114</v>
      </c>
      <c r="B134" s="16">
        <f>SUMIFS(Datos!$H$4:$H$1774,Datos!$C$4:$C$1774,"Adyen",Datos!$A$4:$A$1774,A134)</f>
        <v/>
      </c>
      <c r="C134" s="16">
        <f>SUMIFS(Datos!$I$4:$I$1774,Datos!$C$4:$C$1774,"Adyen",Datos!$A$4:$A$1774,A134)</f>
        <v/>
      </c>
      <c r="D134" s="16">
        <f>B134+C134</f>
        <v/>
      </c>
      <c r="E134" s="16">
        <f>SUMIFS(Datos!$J$4:$J$1774,Datos!$C$4:$C$1774,"Adyen",Datos!$A$4:$A$1774,A134)</f>
        <v/>
      </c>
      <c r="F134" s="27">
        <f>D134+E134</f>
        <v/>
      </c>
    </row>
    <row r="135">
      <c r="A135" s="26" t="n">
        <v>46115</v>
      </c>
      <c r="B135" s="16">
        <f>SUMIFS(Datos!$H$4:$H$1774,Datos!$C$4:$C$1774,"Adyen",Datos!$A$4:$A$1774,A135)</f>
        <v/>
      </c>
      <c r="C135" s="16">
        <f>SUMIFS(Datos!$I$4:$I$1774,Datos!$C$4:$C$1774,"Adyen",Datos!$A$4:$A$1774,A135)</f>
        <v/>
      </c>
      <c r="D135" s="16">
        <f>B135+C135</f>
        <v/>
      </c>
      <c r="E135" s="16">
        <f>SUMIFS(Datos!$J$4:$J$1774,Datos!$C$4:$C$1774,"Adyen",Datos!$A$4:$A$1774,A135)</f>
        <v/>
      </c>
      <c r="F135" s="27">
        <f>D135+E135</f>
        <v/>
      </c>
    </row>
    <row r="136">
      <c r="A136" s="26" t="n">
        <v>46116</v>
      </c>
      <c r="B136" s="16">
        <f>SUMIFS(Datos!$H$4:$H$1774,Datos!$C$4:$C$1774,"Adyen",Datos!$A$4:$A$1774,A136)</f>
        <v/>
      </c>
      <c r="C136" s="16">
        <f>SUMIFS(Datos!$I$4:$I$1774,Datos!$C$4:$C$1774,"Adyen",Datos!$A$4:$A$1774,A136)</f>
        <v/>
      </c>
      <c r="D136" s="16">
        <f>B136+C136</f>
        <v/>
      </c>
      <c r="E136" s="16">
        <f>SUMIFS(Datos!$J$4:$J$1774,Datos!$C$4:$C$1774,"Adyen",Datos!$A$4:$A$1774,A136)</f>
        <v/>
      </c>
      <c r="F136" s="27">
        <f>D136+E136</f>
        <v/>
      </c>
    </row>
    <row r="137">
      <c r="A137" s="26" t="n">
        <v>46117</v>
      </c>
      <c r="B137" s="16">
        <f>SUMIFS(Datos!$H$4:$H$1774,Datos!$C$4:$C$1774,"Adyen",Datos!$A$4:$A$1774,A137)</f>
        <v/>
      </c>
      <c r="C137" s="16">
        <f>SUMIFS(Datos!$I$4:$I$1774,Datos!$C$4:$C$1774,"Adyen",Datos!$A$4:$A$1774,A137)</f>
        <v/>
      </c>
      <c r="D137" s="16">
        <f>B137+C137</f>
        <v/>
      </c>
      <c r="E137" s="16">
        <f>SUMIFS(Datos!$J$4:$J$1774,Datos!$C$4:$C$1774,"Adyen",Datos!$A$4:$A$1774,A137)</f>
        <v/>
      </c>
      <c r="F137" s="27">
        <f>D137+E137</f>
        <v/>
      </c>
    </row>
    <row r="138">
      <c r="A138" s="26" t="n">
        <v>46118</v>
      </c>
      <c r="B138" s="16">
        <f>SUMIFS(Datos!$H$4:$H$1774,Datos!$C$4:$C$1774,"Adyen",Datos!$A$4:$A$1774,A138)</f>
        <v/>
      </c>
      <c r="C138" s="16">
        <f>SUMIFS(Datos!$I$4:$I$1774,Datos!$C$4:$C$1774,"Adyen",Datos!$A$4:$A$1774,A138)</f>
        <v/>
      </c>
      <c r="D138" s="16">
        <f>B138+C138</f>
        <v/>
      </c>
      <c r="E138" s="16">
        <f>SUMIFS(Datos!$J$4:$J$1774,Datos!$C$4:$C$1774,"Adyen",Datos!$A$4:$A$1774,A138)</f>
        <v/>
      </c>
      <c r="F138" s="27">
        <f>D138+E138</f>
        <v/>
      </c>
    </row>
    <row r="139">
      <c r="A139" s="26" t="n">
        <v>46119</v>
      </c>
      <c r="B139" s="16">
        <f>SUMIFS(Datos!$H$4:$H$1774,Datos!$C$4:$C$1774,"Adyen",Datos!$A$4:$A$1774,A139)</f>
        <v/>
      </c>
      <c r="C139" s="16">
        <f>SUMIFS(Datos!$I$4:$I$1774,Datos!$C$4:$C$1774,"Adyen",Datos!$A$4:$A$1774,A139)</f>
        <v/>
      </c>
      <c r="D139" s="16">
        <f>B139+C139</f>
        <v/>
      </c>
      <c r="E139" s="16">
        <f>SUMIFS(Datos!$J$4:$J$1774,Datos!$C$4:$C$1774,"Adyen",Datos!$A$4:$A$1774,A139)</f>
        <v/>
      </c>
      <c r="F139" s="27">
        <f>D139+E139</f>
        <v/>
      </c>
    </row>
    <row r="140">
      <c r="A140" s="26" t="n">
        <v>46120</v>
      </c>
      <c r="B140" s="16">
        <f>SUMIFS(Datos!$H$4:$H$1774,Datos!$C$4:$C$1774,"Adyen",Datos!$A$4:$A$1774,A140)</f>
        <v/>
      </c>
      <c r="C140" s="16">
        <f>SUMIFS(Datos!$I$4:$I$1774,Datos!$C$4:$C$1774,"Adyen",Datos!$A$4:$A$1774,A140)</f>
        <v/>
      </c>
      <c r="D140" s="16">
        <f>B140+C140</f>
        <v/>
      </c>
      <c r="E140" s="16">
        <f>SUMIFS(Datos!$J$4:$J$1774,Datos!$C$4:$C$1774,"Adyen",Datos!$A$4:$A$1774,A140)</f>
        <v/>
      </c>
      <c r="F140" s="27">
        <f>D140+E140</f>
        <v/>
      </c>
    </row>
    <row r="141">
      <c r="A141" s="26" t="n">
        <v>46121</v>
      </c>
      <c r="B141" s="16">
        <f>SUMIFS(Datos!$H$4:$H$1774,Datos!$C$4:$C$1774,"Adyen",Datos!$A$4:$A$1774,A141)</f>
        <v/>
      </c>
      <c r="C141" s="16">
        <f>SUMIFS(Datos!$I$4:$I$1774,Datos!$C$4:$C$1774,"Adyen",Datos!$A$4:$A$1774,A141)</f>
        <v/>
      </c>
      <c r="D141" s="16">
        <f>B141+C141</f>
        <v/>
      </c>
      <c r="E141" s="16">
        <f>SUMIFS(Datos!$J$4:$J$1774,Datos!$C$4:$C$1774,"Adyen",Datos!$A$4:$A$1774,A141)</f>
        <v/>
      </c>
      <c r="F141" s="27">
        <f>D141+E141</f>
        <v/>
      </c>
    </row>
    <row r="142">
      <c r="A142" s="26" t="n">
        <v>46122</v>
      </c>
      <c r="B142" s="16">
        <f>SUMIFS(Datos!$H$4:$H$1774,Datos!$C$4:$C$1774,"Adyen",Datos!$A$4:$A$1774,A142)</f>
        <v/>
      </c>
      <c r="C142" s="16">
        <f>SUMIFS(Datos!$I$4:$I$1774,Datos!$C$4:$C$1774,"Adyen",Datos!$A$4:$A$1774,A142)</f>
        <v/>
      </c>
      <c r="D142" s="16">
        <f>B142+C142</f>
        <v/>
      </c>
      <c r="E142" s="16">
        <f>SUMIFS(Datos!$J$4:$J$1774,Datos!$C$4:$C$1774,"Adyen",Datos!$A$4:$A$1774,A142)</f>
        <v/>
      </c>
      <c r="F142" s="27">
        <f>D142+E142</f>
        <v/>
      </c>
    </row>
    <row r="143">
      <c r="A143" s="26" t="n">
        <v>46123</v>
      </c>
      <c r="B143" s="16">
        <f>SUMIFS(Datos!$H$4:$H$1774,Datos!$C$4:$C$1774,"Adyen",Datos!$A$4:$A$1774,A143)</f>
        <v/>
      </c>
      <c r="C143" s="16">
        <f>SUMIFS(Datos!$I$4:$I$1774,Datos!$C$4:$C$1774,"Adyen",Datos!$A$4:$A$1774,A143)</f>
        <v/>
      </c>
      <c r="D143" s="16">
        <f>B143+C143</f>
        <v/>
      </c>
      <c r="E143" s="16">
        <f>SUMIFS(Datos!$J$4:$J$1774,Datos!$C$4:$C$1774,"Adyen",Datos!$A$4:$A$1774,A143)</f>
        <v/>
      </c>
      <c r="F143" s="27">
        <f>D143+E143</f>
        <v/>
      </c>
    </row>
    <row r="144">
      <c r="A144" s="26" t="n">
        <v>46124</v>
      </c>
      <c r="B144" s="16">
        <f>SUMIFS(Datos!$H$4:$H$1774,Datos!$C$4:$C$1774,"Adyen",Datos!$A$4:$A$1774,A144)</f>
        <v/>
      </c>
      <c r="C144" s="16">
        <f>SUMIFS(Datos!$I$4:$I$1774,Datos!$C$4:$C$1774,"Adyen",Datos!$A$4:$A$1774,A144)</f>
        <v/>
      </c>
      <c r="D144" s="16">
        <f>B144+C144</f>
        <v/>
      </c>
      <c r="E144" s="16">
        <f>SUMIFS(Datos!$J$4:$J$1774,Datos!$C$4:$C$1774,"Adyen",Datos!$A$4:$A$1774,A144)</f>
        <v/>
      </c>
      <c r="F144" s="27">
        <f>D144+E144</f>
        <v/>
      </c>
    </row>
    <row r="145">
      <c r="A145" s="26" t="n">
        <v>46125</v>
      </c>
      <c r="B145" s="16">
        <f>SUMIFS(Datos!$H$4:$H$1774,Datos!$C$4:$C$1774,"Adyen",Datos!$A$4:$A$1774,A145)</f>
        <v/>
      </c>
      <c r="C145" s="16">
        <f>SUMIFS(Datos!$I$4:$I$1774,Datos!$C$4:$C$1774,"Adyen",Datos!$A$4:$A$1774,A145)</f>
        <v/>
      </c>
      <c r="D145" s="16">
        <f>B145+C145</f>
        <v/>
      </c>
      <c r="E145" s="16">
        <f>SUMIFS(Datos!$J$4:$J$1774,Datos!$C$4:$C$1774,"Adyen",Datos!$A$4:$A$1774,A145)</f>
        <v/>
      </c>
      <c r="F145" s="27">
        <f>D145+E145</f>
        <v/>
      </c>
    </row>
    <row r="146">
      <c r="A146" s="26" t="n">
        <v>46126</v>
      </c>
      <c r="B146" s="16">
        <f>SUMIFS(Datos!$H$4:$H$1774,Datos!$C$4:$C$1774,"Adyen",Datos!$A$4:$A$1774,A146)</f>
        <v/>
      </c>
      <c r="C146" s="16">
        <f>SUMIFS(Datos!$I$4:$I$1774,Datos!$C$4:$C$1774,"Adyen",Datos!$A$4:$A$1774,A146)</f>
        <v/>
      </c>
      <c r="D146" s="16">
        <f>B146+C146</f>
        <v/>
      </c>
      <c r="E146" s="16">
        <f>SUMIFS(Datos!$J$4:$J$1774,Datos!$C$4:$C$1774,"Adyen",Datos!$A$4:$A$1774,A146)</f>
        <v/>
      </c>
      <c r="F146" s="27">
        <f>D146+E146</f>
        <v/>
      </c>
    </row>
    <row r="147">
      <c r="A147" s="26" t="n">
        <v>46127</v>
      </c>
      <c r="B147" s="16">
        <f>SUMIFS(Datos!$H$4:$H$1774,Datos!$C$4:$C$1774,"Adyen",Datos!$A$4:$A$1774,A147)</f>
        <v/>
      </c>
      <c r="C147" s="16">
        <f>SUMIFS(Datos!$I$4:$I$1774,Datos!$C$4:$C$1774,"Adyen",Datos!$A$4:$A$1774,A147)</f>
        <v/>
      </c>
      <c r="D147" s="16">
        <f>B147+C147</f>
        <v/>
      </c>
      <c r="E147" s="16">
        <f>SUMIFS(Datos!$J$4:$J$1774,Datos!$C$4:$C$1774,"Adyen",Datos!$A$4:$A$1774,A147)</f>
        <v/>
      </c>
      <c r="F147" s="27">
        <f>D147+E147</f>
        <v/>
      </c>
    </row>
    <row r="148">
      <c r="A148" s="26" t="n">
        <v>46128</v>
      </c>
      <c r="B148" s="16">
        <f>SUMIFS(Datos!$H$4:$H$1774,Datos!$C$4:$C$1774,"Adyen",Datos!$A$4:$A$1774,A148)</f>
        <v/>
      </c>
      <c r="C148" s="16">
        <f>SUMIFS(Datos!$I$4:$I$1774,Datos!$C$4:$C$1774,"Adyen",Datos!$A$4:$A$1774,A148)</f>
        <v/>
      </c>
      <c r="D148" s="16">
        <f>B148+C148</f>
        <v/>
      </c>
      <c r="E148" s="16">
        <f>SUMIFS(Datos!$J$4:$J$1774,Datos!$C$4:$C$1774,"Adyen",Datos!$A$4:$A$1774,A148)</f>
        <v/>
      </c>
      <c r="F148" s="27">
        <f>D148+E148</f>
        <v/>
      </c>
    </row>
    <row r="149">
      <c r="A149" s="26" t="n">
        <v>46129</v>
      </c>
      <c r="B149" s="16">
        <f>SUMIFS(Datos!$H$4:$H$1774,Datos!$C$4:$C$1774,"Adyen",Datos!$A$4:$A$1774,A149)</f>
        <v/>
      </c>
      <c r="C149" s="16">
        <f>SUMIFS(Datos!$I$4:$I$1774,Datos!$C$4:$C$1774,"Adyen",Datos!$A$4:$A$1774,A149)</f>
        <v/>
      </c>
      <c r="D149" s="16">
        <f>B149+C149</f>
        <v/>
      </c>
      <c r="E149" s="16">
        <f>SUMIFS(Datos!$J$4:$J$1774,Datos!$C$4:$C$1774,"Adyen",Datos!$A$4:$A$1774,A149)</f>
        <v/>
      </c>
      <c r="F149" s="27">
        <f>D149+E149</f>
        <v/>
      </c>
    </row>
    <row r="150">
      <c r="A150" s="26" t="n">
        <v>46130</v>
      </c>
      <c r="B150" s="16">
        <f>SUMIFS(Datos!$H$4:$H$1774,Datos!$C$4:$C$1774,"Adyen",Datos!$A$4:$A$1774,A150)</f>
        <v/>
      </c>
      <c r="C150" s="16">
        <f>SUMIFS(Datos!$I$4:$I$1774,Datos!$C$4:$C$1774,"Adyen",Datos!$A$4:$A$1774,A150)</f>
        <v/>
      </c>
      <c r="D150" s="16">
        <f>B150+C150</f>
        <v/>
      </c>
      <c r="E150" s="16">
        <f>SUMIFS(Datos!$J$4:$J$1774,Datos!$C$4:$C$1774,"Adyen",Datos!$A$4:$A$1774,A150)</f>
        <v/>
      </c>
      <c r="F150" s="27">
        <f>D150+E150</f>
        <v/>
      </c>
    </row>
    <row r="151">
      <c r="A151" s="26" t="n">
        <v>46131</v>
      </c>
      <c r="B151" s="16">
        <f>SUMIFS(Datos!$H$4:$H$1774,Datos!$C$4:$C$1774,"Adyen",Datos!$A$4:$A$1774,A151)</f>
        <v/>
      </c>
      <c r="C151" s="16">
        <f>SUMIFS(Datos!$I$4:$I$1774,Datos!$C$4:$C$1774,"Adyen",Datos!$A$4:$A$1774,A151)</f>
        <v/>
      </c>
      <c r="D151" s="16">
        <f>B151+C151</f>
        <v/>
      </c>
      <c r="E151" s="16">
        <f>SUMIFS(Datos!$J$4:$J$1774,Datos!$C$4:$C$1774,"Adyen",Datos!$A$4:$A$1774,A151)</f>
        <v/>
      </c>
      <c r="F151" s="27">
        <f>D151+E151</f>
        <v/>
      </c>
    </row>
    <row r="152">
      <c r="A152" s="26" t="n">
        <v>46132</v>
      </c>
      <c r="B152" s="16">
        <f>SUMIFS(Datos!$H$4:$H$1774,Datos!$C$4:$C$1774,"Adyen",Datos!$A$4:$A$1774,A152)</f>
        <v/>
      </c>
      <c r="C152" s="16">
        <f>SUMIFS(Datos!$I$4:$I$1774,Datos!$C$4:$C$1774,"Adyen",Datos!$A$4:$A$1774,A152)</f>
        <v/>
      </c>
      <c r="D152" s="16">
        <f>B152+C152</f>
        <v/>
      </c>
      <c r="E152" s="16">
        <f>SUMIFS(Datos!$J$4:$J$1774,Datos!$C$4:$C$1774,"Adyen",Datos!$A$4:$A$1774,A152)</f>
        <v/>
      </c>
      <c r="F152" s="27">
        <f>D152+E152</f>
        <v/>
      </c>
    </row>
    <row r="153">
      <c r="A153" s="26" t="n">
        <v>46133</v>
      </c>
      <c r="B153" s="16">
        <f>SUMIFS(Datos!$H$4:$H$1774,Datos!$C$4:$C$1774,"Adyen",Datos!$A$4:$A$1774,A153)</f>
        <v/>
      </c>
      <c r="C153" s="16">
        <f>SUMIFS(Datos!$I$4:$I$1774,Datos!$C$4:$C$1774,"Adyen",Datos!$A$4:$A$1774,A153)</f>
        <v/>
      </c>
      <c r="D153" s="16">
        <f>B153+C153</f>
        <v/>
      </c>
      <c r="E153" s="16">
        <f>SUMIFS(Datos!$J$4:$J$1774,Datos!$C$4:$C$1774,"Adyen",Datos!$A$4:$A$1774,A153)</f>
        <v/>
      </c>
      <c r="F153" s="27">
        <f>D153+E153</f>
        <v/>
      </c>
    </row>
    <row r="154">
      <c r="A154" s="26" t="n">
        <v>46134</v>
      </c>
      <c r="B154" s="16">
        <f>SUMIFS(Datos!$H$4:$H$1774,Datos!$C$4:$C$1774,"Adyen",Datos!$A$4:$A$1774,A154)</f>
        <v/>
      </c>
      <c r="C154" s="16">
        <f>SUMIFS(Datos!$I$4:$I$1774,Datos!$C$4:$C$1774,"Adyen",Datos!$A$4:$A$1774,A154)</f>
        <v/>
      </c>
      <c r="D154" s="16">
        <f>B154+C154</f>
        <v/>
      </c>
      <c r="E154" s="16">
        <f>SUMIFS(Datos!$J$4:$J$1774,Datos!$C$4:$C$1774,"Adyen",Datos!$A$4:$A$1774,A154)</f>
        <v/>
      </c>
      <c r="F154" s="27">
        <f>D154+E154</f>
        <v/>
      </c>
    </row>
    <row r="155">
      <c r="A155" s="26" t="n">
        <v>46135</v>
      </c>
      <c r="B155" s="16">
        <f>SUMIFS(Datos!$H$4:$H$1774,Datos!$C$4:$C$1774,"Adyen",Datos!$A$4:$A$1774,A155)</f>
        <v/>
      </c>
      <c r="C155" s="16">
        <f>SUMIFS(Datos!$I$4:$I$1774,Datos!$C$4:$C$1774,"Adyen",Datos!$A$4:$A$1774,A155)</f>
        <v/>
      </c>
      <c r="D155" s="16">
        <f>B155+C155</f>
        <v/>
      </c>
      <c r="E155" s="16">
        <f>SUMIFS(Datos!$J$4:$J$1774,Datos!$C$4:$C$1774,"Adyen",Datos!$A$4:$A$1774,A155)</f>
        <v/>
      </c>
      <c r="F155" s="27">
        <f>D155+E155</f>
        <v/>
      </c>
    </row>
    <row r="156">
      <c r="A156" s="26" t="n">
        <v>46136</v>
      </c>
      <c r="B156" s="16">
        <f>SUMIFS(Datos!$H$4:$H$1774,Datos!$C$4:$C$1774,"Adyen",Datos!$A$4:$A$1774,A156)</f>
        <v/>
      </c>
      <c r="C156" s="16">
        <f>SUMIFS(Datos!$I$4:$I$1774,Datos!$C$4:$C$1774,"Adyen",Datos!$A$4:$A$1774,A156)</f>
        <v/>
      </c>
      <c r="D156" s="16">
        <f>B156+C156</f>
        <v/>
      </c>
      <c r="E156" s="16">
        <f>SUMIFS(Datos!$J$4:$J$1774,Datos!$C$4:$C$1774,"Adyen",Datos!$A$4:$A$1774,A156)</f>
        <v/>
      </c>
      <c r="F156" s="27">
        <f>D156+E156</f>
        <v/>
      </c>
    </row>
    <row r="157">
      <c r="A157" s="26" t="n">
        <v>46137</v>
      </c>
      <c r="B157" s="16">
        <f>SUMIFS(Datos!$H$4:$H$1774,Datos!$C$4:$C$1774,"Adyen",Datos!$A$4:$A$1774,A157)</f>
        <v/>
      </c>
      <c r="C157" s="16">
        <f>SUMIFS(Datos!$I$4:$I$1774,Datos!$C$4:$C$1774,"Adyen",Datos!$A$4:$A$1774,A157)</f>
        <v/>
      </c>
      <c r="D157" s="16">
        <f>B157+C157</f>
        <v/>
      </c>
      <c r="E157" s="16">
        <f>SUMIFS(Datos!$J$4:$J$1774,Datos!$C$4:$C$1774,"Adyen",Datos!$A$4:$A$1774,A157)</f>
        <v/>
      </c>
      <c r="F157" s="27">
        <f>D157+E157</f>
        <v/>
      </c>
    </row>
    <row r="158">
      <c r="A158" s="26" t="n">
        <v>46138</v>
      </c>
      <c r="B158" s="16">
        <f>SUMIFS(Datos!$H$4:$H$1774,Datos!$C$4:$C$1774,"Adyen",Datos!$A$4:$A$1774,A158)</f>
        <v/>
      </c>
      <c r="C158" s="16">
        <f>SUMIFS(Datos!$I$4:$I$1774,Datos!$C$4:$C$1774,"Adyen",Datos!$A$4:$A$1774,A158)</f>
        <v/>
      </c>
      <c r="D158" s="16">
        <f>B158+C158</f>
        <v/>
      </c>
      <c r="E158" s="16">
        <f>SUMIFS(Datos!$J$4:$J$1774,Datos!$C$4:$C$1774,"Adyen",Datos!$A$4:$A$1774,A158)</f>
        <v/>
      </c>
      <c r="F158" s="27">
        <f>D158+E158</f>
        <v/>
      </c>
    </row>
    <row r="159">
      <c r="A159" s="26" t="n">
        <v>46139</v>
      </c>
      <c r="B159" s="16">
        <f>SUMIFS(Datos!$H$4:$H$1774,Datos!$C$4:$C$1774,"Adyen",Datos!$A$4:$A$1774,A159)</f>
        <v/>
      </c>
      <c r="C159" s="16">
        <f>SUMIFS(Datos!$I$4:$I$1774,Datos!$C$4:$C$1774,"Adyen",Datos!$A$4:$A$1774,A159)</f>
        <v/>
      </c>
      <c r="D159" s="16">
        <f>B159+C159</f>
        <v/>
      </c>
      <c r="E159" s="16">
        <f>SUMIFS(Datos!$J$4:$J$1774,Datos!$C$4:$C$1774,"Adyen",Datos!$A$4:$A$1774,A159)</f>
        <v/>
      </c>
      <c r="F159" s="27">
        <f>D159+E159</f>
        <v/>
      </c>
    </row>
    <row r="160">
      <c r="A160" s="26" t="n">
        <v>46140</v>
      </c>
      <c r="B160" s="16">
        <f>SUMIFS(Datos!$H$4:$H$1774,Datos!$C$4:$C$1774,"Adyen",Datos!$A$4:$A$1774,A160)</f>
        <v/>
      </c>
      <c r="C160" s="16">
        <f>SUMIFS(Datos!$I$4:$I$1774,Datos!$C$4:$C$1774,"Adyen",Datos!$A$4:$A$1774,A160)</f>
        <v/>
      </c>
      <c r="D160" s="16">
        <f>B160+C160</f>
        <v/>
      </c>
      <c r="E160" s="16">
        <f>SUMIFS(Datos!$J$4:$J$1774,Datos!$C$4:$C$1774,"Adyen",Datos!$A$4:$A$1774,A160)</f>
        <v/>
      </c>
      <c r="F160" s="27">
        <f>D160+E160</f>
        <v/>
      </c>
    </row>
    <row r="161">
      <c r="A161" s="26" t="n">
        <v>46141</v>
      </c>
      <c r="B161" s="16">
        <f>SUMIFS(Datos!$H$4:$H$1774,Datos!$C$4:$C$1774,"Adyen",Datos!$A$4:$A$1774,A161)</f>
        <v/>
      </c>
      <c r="C161" s="16">
        <f>SUMIFS(Datos!$I$4:$I$1774,Datos!$C$4:$C$1774,"Adyen",Datos!$A$4:$A$1774,A161)</f>
        <v/>
      </c>
      <c r="D161" s="16">
        <f>B161+C161</f>
        <v/>
      </c>
      <c r="E161" s="16">
        <f>SUMIFS(Datos!$J$4:$J$1774,Datos!$C$4:$C$1774,"Adyen",Datos!$A$4:$A$1774,A161)</f>
        <v/>
      </c>
      <c r="F161" s="27">
        <f>D161+E161</f>
        <v/>
      </c>
    </row>
    <row r="162">
      <c r="A162" s="26" t="n">
        <v>46142</v>
      </c>
      <c r="B162" s="16">
        <f>SUMIFS(Datos!$H$4:$H$1774,Datos!$C$4:$C$1774,"Adyen",Datos!$A$4:$A$1774,A162)</f>
        <v/>
      </c>
      <c r="C162" s="16">
        <f>SUMIFS(Datos!$I$4:$I$1774,Datos!$C$4:$C$1774,"Adyen",Datos!$A$4:$A$1774,A162)</f>
        <v/>
      </c>
      <c r="D162" s="16">
        <f>B162+C162</f>
        <v/>
      </c>
      <c r="E162" s="16">
        <f>SUMIFS(Datos!$J$4:$J$1774,Datos!$C$4:$C$1774,"Adyen",Datos!$A$4:$A$1774,A162)</f>
        <v/>
      </c>
      <c r="F162" s="27">
        <f>D162+E162</f>
        <v/>
      </c>
    </row>
    <row r="163">
      <c r="A163" s="26" t="n">
        <v>46143</v>
      </c>
      <c r="B163" s="16">
        <f>SUMIFS(Datos!$H$4:$H$1774,Datos!$C$4:$C$1774,"Adyen",Datos!$A$4:$A$1774,A163)</f>
        <v/>
      </c>
      <c r="C163" s="16">
        <f>SUMIFS(Datos!$I$4:$I$1774,Datos!$C$4:$C$1774,"Adyen",Datos!$A$4:$A$1774,A163)</f>
        <v/>
      </c>
      <c r="D163" s="16">
        <f>B163+C163</f>
        <v/>
      </c>
      <c r="E163" s="16">
        <f>SUMIFS(Datos!$J$4:$J$1774,Datos!$C$4:$C$1774,"Adyen",Datos!$A$4:$A$1774,A163)</f>
        <v/>
      </c>
      <c r="F163" s="27">
        <f>D163+E163</f>
        <v/>
      </c>
    </row>
    <row r="164">
      <c r="A164" s="26" t="n">
        <v>46144</v>
      </c>
      <c r="B164" s="16">
        <f>SUMIFS(Datos!$H$4:$H$1774,Datos!$C$4:$C$1774,"Adyen",Datos!$A$4:$A$1774,A164)</f>
        <v/>
      </c>
      <c r="C164" s="16">
        <f>SUMIFS(Datos!$I$4:$I$1774,Datos!$C$4:$C$1774,"Adyen",Datos!$A$4:$A$1774,A164)</f>
        <v/>
      </c>
      <c r="D164" s="16">
        <f>B164+C164</f>
        <v/>
      </c>
      <c r="E164" s="16">
        <f>SUMIFS(Datos!$J$4:$J$1774,Datos!$C$4:$C$1774,"Adyen",Datos!$A$4:$A$1774,A164)</f>
        <v/>
      </c>
      <c r="F164" s="27">
        <f>D164+E164</f>
        <v/>
      </c>
    </row>
    <row r="165">
      <c r="A165" s="26" t="n">
        <v>46145</v>
      </c>
      <c r="B165" s="16">
        <f>SUMIFS(Datos!$H$4:$H$1774,Datos!$C$4:$C$1774,"Adyen",Datos!$A$4:$A$1774,A165)</f>
        <v/>
      </c>
      <c r="C165" s="16">
        <f>SUMIFS(Datos!$I$4:$I$1774,Datos!$C$4:$C$1774,"Adyen",Datos!$A$4:$A$1774,A165)</f>
        <v/>
      </c>
      <c r="D165" s="16">
        <f>B165+C165</f>
        <v/>
      </c>
      <c r="E165" s="16">
        <f>SUMIFS(Datos!$J$4:$J$1774,Datos!$C$4:$C$1774,"Adyen",Datos!$A$4:$A$1774,A165)</f>
        <v/>
      </c>
      <c r="F165" s="27">
        <f>D165+E165</f>
        <v/>
      </c>
    </row>
    <row r="166">
      <c r="A166" s="26" t="n">
        <v>46146</v>
      </c>
      <c r="B166" s="16">
        <f>SUMIFS(Datos!$H$4:$H$1774,Datos!$C$4:$C$1774,"Adyen",Datos!$A$4:$A$1774,A166)</f>
        <v/>
      </c>
      <c r="C166" s="16">
        <f>SUMIFS(Datos!$I$4:$I$1774,Datos!$C$4:$C$1774,"Adyen",Datos!$A$4:$A$1774,A166)</f>
        <v/>
      </c>
      <c r="D166" s="16">
        <f>B166+C166</f>
        <v/>
      </c>
      <c r="E166" s="16">
        <f>SUMIFS(Datos!$J$4:$J$1774,Datos!$C$4:$C$1774,"Adyen",Datos!$A$4:$A$1774,A166)</f>
        <v/>
      </c>
      <c r="F166" s="27">
        <f>D166+E166</f>
        <v/>
      </c>
    </row>
    <row r="167">
      <c r="A167" s="26" t="n">
        <v>46147</v>
      </c>
      <c r="B167" s="16">
        <f>SUMIFS(Datos!$H$4:$H$1774,Datos!$C$4:$C$1774,"Adyen",Datos!$A$4:$A$1774,A167)</f>
        <v/>
      </c>
      <c r="C167" s="16">
        <f>SUMIFS(Datos!$I$4:$I$1774,Datos!$C$4:$C$1774,"Adyen",Datos!$A$4:$A$1774,A167)</f>
        <v/>
      </c>
      <c r="D167" s="16">
        <f>B167+C167</f>
        <v/>
      </c>
      <c r="E167" s="16">
        <f>SUMIFS(Datos!$J$4:$J$1774,Datos!$C$4:$C$1774,"Adyen",Datos!$A$4:$A$1774,A167)</f>
        <v/>
      </c>
      <c r="F167" s="27">
        <f>D167+E167</f>
        <v/>
      </c>
    </row>
    <row r="168">
      <c r="A168" s="26" t="n">
        <v>46148</v>
      </c>
      <c r="B168" s="16">
        <f>SUMIFS(Datos!$H$4:$H$1774,Datos!$C$4:$C$1774,"Adyen",Datos!$A$4:$A$1774,A168)</f>
        <v/>
      </c>
      <c r="C168" s="16">
        <f>SUMIFS(Datos!$I$4:$I$1774,Datos!$C$4:$C$1774,"Adyen",Datos!$A$4:$A$1774,A168)</f>
        <v/>
      </c>
      <c r="D168" s="16">
        <f>B168+C168</f>
        <v/>
      </c>
      <c r="E168" s="16">
        <f>SUMIFS(Datos!$J$4:$J$1774,Datos!$C$4:$C$1774,"Adyen",Datos!$A$4:$A$1774,A168)</f>
        <v/>
      </c>
      <c r="F168" s="27">
        <f>D168+E168</f>
        <v/>
      </c>
    </row>
    <row r="169">
      <c r="A169" s="26" t="n">
        <v>46149</v>
      </c>
      <c r="B169" s="16">
        <f>SUMIFS(Datos!$H$4:$H$1774,Datos!$C$4:$C$1774,"Adyen",Datos!$A$4:$A$1774,A169)</f>
        <v/>
      </c>
      <c r="C169" s="16">
        <f>SUMIFS(Datos!$I$4:$I$1774,Datos!$C$4:$C$1774,"Adyen",Datos!$A$4:$A$1774,A169)</f>
        <v/>
      </c>
      <c r="D169" s="16">
        <f>B169+C169</f>
        <v/>
      </c>
      <c r="E169" s="16">
        <f>SUMIFS(Datos!$J$4:$J$1774,Datos!$C$4:$C$1774,"Adyen",Datos!$A$4:$A$1774,A169)</f>
        <v/>
      </c>
      <c r="F169" s="27">
        <f>D169+E169</f>
        <v/>
      </c>
    </row>
    <row r="170">
      <c r="A170" s="26" t="n">
        <v>46150</v>
      </c>
      <c r="B170" s="16">
        <f>SUMIFS(Datos!$H$4:$H$1774,Datos!$C$4:$C$1774,"Adyen",Datos!$A$4:$A$1774,A170)</f>
        <v/>
      </c>
      <c r="C170" s="16">
        <f>SUMIFS(Datos!$I$4:$I$1774,Datos!$C$4:$C$1774,"Adyen",Datos!$A$4:$A$1774,A170)</f>
        <v/>
      </c>
      <c r="D170" s="16">
        <f>B170+C170</f>
        <v/>
      </c>
      <c r="E170" s="16">
        <f>SUMIFS(Datos!$J$4:$J$1774,Datos!$C$4:$C$1774,"Adyen",Datos!$A$4:$A$1774,A170)</f>
        <v/>
      </c>
      <c r="F170" s="27">
        <f>D170+E170</f>
        <v/>
      </c>
    </row>
    <row r="171">
      <c r="A171" s="26" t="n">
        <v>46151</v>
      </c>
      <c r="B171" s="16">
        <f>SUMIFS(Datos!$H$4:$H$1774,Datos!$C$4:$C$1774,"Adyen",Datos!$A$4:$A$1774,A171)</f>
        <v/>
      </c>
      <c r="C171" s="16">
        <f>SUMIFS(Datos!$I$4:$I$1774,Datos!$C$4:$C$1774,"Adyen",Datos!$A$4:$A$1774,A171)</f>
        <v/>
      </c>
      <c r="D171" s="16">
        <f>B171+C171</f>
        <v/>
      </c>
      <c r="E171" s="16">
        <f>SUMIFS(Datos!$J$4:$J$1774,Datos!$C$4:$C$1774,"Adyen",Datos!$A$4:$A$1774,A171)</f>
        <v/>
      </c>
      <c r="F171" s="27">
        <f>D171+E171</f>
        <v/>
      </c>
    </row>
    <row r="172">
      <c r="A172" s="26" t="n">
        <v>46152</v>
      </c>
      <c r="B172" s="16">
        <f>SUMIFS(Datos!$H$4:$H$1774,Datos!$C$4:$C$1774,"Adyen",Datos!$A$4:$A$1774,A172)</f>
        <v/>
      </c>
      <c r="C172" s="16">
        <f>SUMIFS(Datos!$I$4:$I$1774,Datos!$C$4:$C$1774,"Adyen",Datos!$A$4:$A$1774,A172)</f>
        <v/>
      </c>
      <c r="D172" s="16">
        <f>B172+C172</f>
        <v/>
      </c>
      <c r="E172" s="16">
        <f>SUMIFS(Datos!$J$4:$J$1774,Datos!$C$4:$C$1774,"Adyen",Datos!$A$4:$A$1774,A172)</f>
        <v/>
      </c>
      <c r="F172" s="27">
        <f>D172+E172</f>
        <v/>
      </c>
    </row>
    <row r="173">
      <c r="A173" s="26" t="n">
        <v>46153</v>
      </c>
      <c r="B173" s="16">
        <f>SUMIFS(Datos!$H$4:$H$1774,Datos!$C$4:$C$1774,"Adyen",Datos!$A$4:$A$1774,A173)</f>
        <v/>
      </c>
      <c r="C173" s="16">
        <f>SUMIFS(Datos!$I$4:$I$1774,Datos!$C$4:$C$1774,"Adyen",Datos!$A$4:$A$1774,A173)</f>
        <v/>
      </c>
      <c r="D173" s="16">
        <f>B173+C173</f>
        <v/>
      </c>
      <c r="E173" s="16">
        <f>SUMIFS(Datos!$J$4:$J$1774,Datos!$C$4:$C$1774,"Adyen",Datos!$A$4:$A$1774,A173)</f>
        <v/>
      </c>
      <c r="F173" s="27">
        <f>D173+E173</f>
        <v/>
      </c>
    </row>
    <row r="174">
      <c r="A174" s="26" t="n">
        <v>46154</v>
      </c>
      <c r="B174" s="16">
        <f>SUMIFS(Datos!$H$4:$H$1774,Datos!$C$4:$C$1774,"Adyen",Datos!$A$4:$A$1774,A174)</f>
        <v/>
      </c>
      <c r="C174" s="16">
        <f>SUMIFS(Datos!$I$4:$I$1774,Datos!$C$4:$C$1774,"Adyen",Datos!$A$4:$A$1774,A174)</f>
        <v/>
      </c>
      <c r="D174" s="16">
        <f>B174+C174</f>
        <v/>
      </c>
      <c r="E174" s="16">
        <f>SUMIFS(Datos!$J$4:$J$1774,Datos!$C$4:$C$1774,"Adyen",Datos!$A$4:$A$1774,A174)</f>
        <v/>
      </c>
      <c r="F174" s="27">
        <f>D174+E174</f>
        <v/>
      </c>
    </row>
    <row r="175">
      <c r="A175" s="26" t="n">
        <v>46155</v>
      </c>
      <c r="B175" s="16">
        <f>SUMIFS(Datos!$H$4:$H$1774,Datos!$C$4:$C$1774,"Adyen",Datos!$A$4:$A$1774,A175)</f>
        <v/>
      </c>
      <c r="C175" s="16">
        <f>SUMIFS(Datos!$I$4:$I$1774,Datos!$C$4:$C$1774,"Adyen",Datos!$A$4:$A$1774,A175)</f>
        <v/>
      </c>
      <c r="D175" s="16">
        <f>B175+C175</f>
        <v/>
      </c>
      <c r="E175" s="16">
        <f>SUMIFS(Datos!$J$4:$J$1774,Datos!$C$4:$C$1774,"Adyen",Datos!$A$4:$A$1774,A175)</f>
        <v/>
      </c>
      <c r="F175" s="27">
        <f>D175+E175</f>
        <v/>
      </c>
    </row>
    <row r="176">
      <c r="A176" s="26" t="n">
        <v>46156</v>
      </c>
      <c r="B176" s="16">
        <f>SUMIFS(Datos!$H$4:$H$1774,Datos!$C$4:$C$1774,"Adyen",Datos!$A$4:$A$1774,A176)</f>
        <v/>
      </c>
      <c r="C176" s="16">
        <f>SUMIFS(Datos!$I$4:$I$1774,Datos!$C$4:$C$1774,"Adyen",Datos!$A$4:$A$1774,A176)</f>
        <v/>
      </c>
      <c r="D176" s="16">
        <f>B176+C176</f>
        <v/>
      </c>
      <c r="E176" s="16">
        <f>SUMIFS(Datos!$J$4:$J$1774,Datos!$C$4:$C$1774,"Adyen",Datos!$A$4:$A$1774,A176)</f>
        <v/>
      </c>
      <c r="F176" s="27">
        <f>D176+E176</f>
        <v/>
      </c>
    </row>
    <row r="177">
      <c r="A177" s="26" t="n">
        <v>46157</v>
      </c>
      <c r="B177" s="16">
        <f>SUMIFS(Datos!$H$4:$H$1774,Datos!$C$4:$C$1774,"Adyen",Datos!$A$4:$A$1774,A177)</f>
        <v/>
      </c>
      <c r="C177" s="16">
        <f>SUMIFS(Datos!$I$4:$I$1774,Datos!$C$4:$C$1774,"Adyen",Datos!$A$4:$A$1774,A177)</f>
        <v/>
      </c>
      <c r="D177" s="16">
        <f>B177+C177</f>
        <v/>
      </c>
      <c r="E177" s="16">
        <f>SUMIFS(Datos!$J$4:$J$1774,Datos!$C$4:$C$1774,"Adyen",Datos!$A$4:$A$1774,A177)</f>
        <v/>
      </c>
      <c r="F177" s="27">
        <f>D177+E177</f>
        <v/>
      </c>
    </row>
    <row r="178">
      <c r="A178" s="26" t="n">
        <v>46158</v>
      </c>
      <c r="B178" s="16">
        <f>SUMIFS(Datos!$H$4:$H$1774,Datos!$C$4:$C$1774,"Adyen",Datos!$A$4:$A$1774,A178)</f>
        <v/>
      </c>
      <c r="C178" s="16">
        <f>SUMIFS(Datos!$I$4:$I$1774,Datos!$C$4:$C$1774,"Adyen",Datos!$A$4:$A$1774,A178)</f>
        <v/>
      </c>
      <c r="D178" s="16">
        <f>B178+C178</f>
        <v/>
      </c>
      <c r="E178" s="16">
        <f>SUMIFS(Datos!$J$4:$J$1774,Datos!$C$4:$C$1774,"Adyen",Datos!$A$4:$A$1774,A178)</f>
        <v/>
      </c>
      <c r="F178" s="27">
        <f>D178+E178</f>
        <v/>
      </c>
    </row>
    <row r="179">
      <c r="A179" s="26" t="n">
        <v>46159</v>
      </c>
      <c r="B179" s="16">
        <f>SUMIFS(Datos!$H$4:$H$1774,Datos!$C$4:$C$1774,"Adyen",Datos!$A$4:$A$1774,A179)</f>
        <v/>
      </c>
      <c r="C179" s="16">
        <f>SUMIFS(Datos!$I$4:$I$1774,Datos!$C$4:$C$1774,"Adyen",Datos!$A$4:$A$1774,A179)</f>
        <v/>
      </c>
      <c r="D179" s="16">
        <f>B179+C179</f>
        <v/>
      </c>
      <c r="E179" s="16">
        <f>SUMIFS(Datos!$J$4:$J$1774,Datos!$C$4:$C$1774,"Adyen",Datos!$A$4:$A$1774,A179)</f>
        <v/>
      </c>
      <c r="F179" s="27">
        <f>D179+E179</f>
        <v/>
      </c>
    </row>
    <row r="180">
      <c r="A180" s="26" t="n">
        <v>46160</v>
      </c>
      <c r="B180" s="16">
        <f>SUMIFS(Datos!$H$4:$H$1774,Datos!$C$4:$C$1774,"Adyen",Datos!$A$4:$A$1774,A180)</f>
        <v/>
      </c>
      <c r="C180" s="16">
        <f>SUMIFS(Datos!$I$4:$I$1774,Datos!$C$4:$C$1774,"Adyen",Datos!$A$4:$A$1774,A180)</f>
        <v/>
      </c>
      <c r="D180" s="16">
        <f>B180+C180</f>
        <v/>
      </c>
      <c r="E180" s="16">
        <f>SUMIFS(Datos!$J$4:$J$1774,Datos!$C$4:$C$1774,"Adyen",Datos!$A$4:$A$1774,A180)</f>
        <v/>
      </c>
      <c r="F180" s="27">
        <f>D180+E180</f>
        <v/>
      </c>
    </row>
    <row r="181">
      <c r="A181" s="26" t="n">
        <v>46161</v>
      </c>
      <c r="B181" s="16">
        <f>SUMIFS(Datos!$H$4:$H$1774,Datos!$C$4:$C$1774,"Adyen",Datos!$A$4:$A$1774,A181)</f>
        <v/>
      </c>
      <c r="C181" s="16">
        <f>SUMIFS(Datos!$I$4:$I$1774,Datos!$C$4:$C$1774,"Adyen",Datos!$A$4:$A$1774,A181)</f>
        <v/>
      </c>
      <c r="D181" s="16">
        <f>B181+C181</f>
        <v/>
      </c>
      <c r="E181" s="16">
        <f>SUMIFS(Datos!$J$4:$J$1774,Datos!$C$4:$C$1774,"Adyen",Datos!$A$4:$A$1774,A181)</f>
        <v/>
      </c>
      <c r="F181" s="27">
        <f>D181+E181</f>
        <v/>
      </c>
    </row>
    <row r="182">
      <c r="A182" s="26" t="n">
        <v>46162</v>
      </c>
      <c r="B182" s="16">
        <f>SUMIFS(Datos!$H$4:$H$1774,Datos!$C$4:$C$1774,"Adyen",Datos!$A$4:$A$1774,A182)</f>
        <v/>
      </c>
      <c r="C182" s="16">
        <f>SUMIFS(Datos!$I$4:$I$1774,Datos!$C$4:$C$1774,"Adyen",Datos!$A$4:$A$1774,A182)</f>
        <v/>
      </c>
      <c r="D182" s="16">
        <f>B182+C182</f>
        <v/>
      </c>
      <c r="E182" s="16">
        <f>SUMIFS(Datos!$J$4:$J$1774,Datos!$C$4:$C$1774,"Adyen",Datos!$A$4:$A$1774,A182)</f>
        <v/>
      </c>
      <c r="F182" s="27">
        <f>D182+E182</f>
        <v/>
      </c>
    </row>
    <row r="183">
      <c r="A183" s="26" t="n">
        <v>46163</v>
      </c>
      <c r="B183" s="16">
        <f>SUMIFS(Datos!$H$4:$H$1774,Datos!$C$4:$C$1774,"Adyen",Datos!$A$4:$A$1774,A183)</f>
        <v/>
      </c>
      <c r="C183" s="16">
        <f>SUMIFS(Datos!$I$4:$I$1774,Datos!$C$4:$C$1774,"Adyen",Datos!$A$4:$A$1774,A183)</f>
        <v/>
      </c>
      <c r="D183" s="16">
        <f>B183+C183</f>
        <v/>
      </c>
      <c r="E183" s="16">
        <f>SUMIFS(Datos!$J$4:$J$1774,Datos!$C$4:$C$1774,"Adyen",Datos!$A$4:$A$1774,A183)</f>
        <v/>
      </c>
      <c r="F183" s="27">
        <f>D183+E183</f>
        <v/>
      </c>
    </row>
    <row r="184">
      <c r="A184" s="26" t="n">
        <v>46164</v>
      </c>
      <c r="B184" s="16">
        <f>SUMIFS(Datos!$H$4:$H$1774,Datos!$C$4:$C$1774,"Adyen",Datos!$A$4:$A$1774,A184)</f>
        <v/>
      </c>
      <c r="C184" s="16">
        <f>SUMIFS(Datos!$I$4:$I$1774,Datos!$C$4:$C$1774,"Adyen",Datos!$A$4:$A$1774,A184)</f>
        <v/>
      </c>
      <c r="D184" s="16">
        <f>B184+C184</f>
        <v/>
      </c>
      <c r="E184" s="16">
        <f>SUMIFS(Datos!$J$4:$J$1774,Datos!$C$4:$C$1774,"Adyen",Datos!$A$4:$A$1774,A184)</f>
        <v/>
      </c>
      <c r="F184" s="27">
        <f>D184+E184</f>
        <v/>
      </c>
    </row>
    <row r="185">
      <c r="A185" s="26" t="n">
        <v>46165</v>
      </c>
      <c r="B185" s="16">
        <f>SUMIFS(Datos!$H$4:$H$1774,Datos!$C$4:$C$1774,"Adyen",Datos!$A$4:$A$1774,A185)</f>
        <v/>
      </c>
      <c r="C185" s="16">
        <f>SUMIFS(Datos!$I$4:$I$1774,Datos!$C$4:$C$1774,"Adyen",Datos!$A$4:$A$1774,A185)</f>
        <v/>
      </c>
      <c r="D185" s="16">
        <f>B185+C185</f>
        <v/>
      </c>
      <c r="E185" s="16">
        <f>SUMIFS(Datos!$J$4:$J$1774,Datos!$C$4:$C$1774,"Adyen",Datos!$A$4:$A$1774,A185)</f>
        <v/>
      </c>
      <c r="F185" s="27">
        <f>D185+E185</f>
        <v/>
      </c>
    </row>
    <row r="186">
      <c r="A186" s="26" t="n">
        <v>46166</v>
      </c>
      <c r="B186" s="16">
        <f>SUMIFS(Datos!$H$4:$H$1774,Datos!$C$4:$C$1774,"Adyen",Datos!$A$4:$A$1774,A186)</f>
        <v/>
      </c>
      <c r="C186" s="16">
        <f>SUMIFS(Datos!$I$4:$I$1774,Datos!$C$4:$C$1774,"Adyen",Datos!$A$4:$A$1774,A186)</f>
        <v/>
      </c>
      <c r="D186" s="16">
        <f>B186+C186</f>
        <v/>
      </c>
      <c r="E186" s="16">
        <f>SUMIFS(Datos!$J$4:$J$1774,Datos!$C$4:$C$1774,"Adyen",Datos!$A$4:$A$1774,A186)</f>
        <v/>
      </c>
      <c r="F186" s="27">
        <f>D186+E186</f>
        <v/>
      </c>
    </row>
    <row r="187">
      <c r="A187" s="26" t="n">
        <v>46167</v>
      </c>
      <c r="B187" s="16">
        <f>SUMIFS(Datos!$H$4:$H$1774,Datos!$C$4:$C$1774,"Adyen",Datos!$A$4:$A$1774,A187)</f>
        <v/>
      </c>
      <c r="C187" s="16">
        <f>SUMIFS(Datos!$I$4:$I$1774,Datos!$C$4:$C$1774,"Adyen",Datos!$A$4:$A$1774,A187)</f>
        <v/>
      </c>
      <c r="D187" s="16">
        <f>B187+C187</f>
        <v/>
      </c>
      <c r="E187" s="16">
        <f>SUMIFS(Datos!$J$4:$J$1774,Datos!$C$4:$C$1774,"Adyen",Datos!$A$4:$A$1774,A187)</f>
        <v/>
      </c>
      <c r="F187" s="27">
        <f>D187+E187</f>
        <v/>
      </c>
    </row>
    <row r="188">
      <c r="A188" s="26" t="n">
        <v>46168</v>
      </c>
      <c r="B188" s="16">
        <f>SUMIFS(Datos!$H$4:$H$1774,Datos!$C$4:$C$1774,"Adyen",Datos!$A$4:$A$1774,A188)</f>
        <v/>
      </c>
      <c r="C188" s="16">
        <f>SUMIFS(Datos!$I$4:$I$1774,Datos!$C$4:$C$1774,"Adyen",Datos!$A$4:$A$1774,A188)</f>
        <v/>
      </c>
      <c r="D188" s="16">
        <f>B188+C188</f>
        <v/>
      </c>
      <c r="E188" s="16">
        <f>SUMIFS(Datos!$J$4:$J$1774,Datos!$C$4:$C$1774,"Adyen",Datos!$A$4:$A$1774,A188)</f>
        <v/>
      </c>
      <c r="F188" s="27">
        <f>D188+E188</f>
        <v/>
      </c>
    </row>
    <row r="189">
      <c r="A189" s="26" t="n">
        <v>46169</v>
      </c>
      <c r="B189" s="16">
        <f>SUMIFS(Datos!$H$4:$H$1774,Datos!$C$4:$C$1774,"Adyen",Datos!$A$4:$A$1774,A189)</f>
        <v/>
      </c>
      <c r="C189" s="16">
        <f>SUMIFS(Datos!$I$4:$I$1774,Datos!$C$4:$C$1774,"Adyen",Datos!$A$4:$A$1774,A189)</f>
        <v/>
      </c>
      <c r="D189" s="16">
        <f>B189+C189</f>
        <v/>
      </c>
      <c r="E189" s="16">
        <f>SUMIFS(Datos!$J$4:$J$1774,Datos!$C$4:$C$1774,"Adyen",Datos!$A$4:$A$1774,A189)</f>
        <v/>
      </c>
      <c r="F189" s="27">
        <f>D189+E189</f>
        <v/>
      </c>
    </row>
    <row r="190">
      <c r="A190" s="26" t="n">
        <v>46170</v>
      </c>
      <c r="B190" s="16">
        <f>SUMIFS(Datos!$H$4:$H$1774,Datos!$C$4:$C$1774,"Adyen",Datos!$A$4:$A$1774,A190)</f>
        <v/>
      </c>
      <c r="C190" s="16">
        <f>SUMIFS(Datos!$I$4:$I$1774,Datos!$C$4:$C$1774,"Adyen",Datos!$A$4:$A$1774,A190)</f>
        <v/>
      </c>
      <c r="D190" s="16">
        <f>B190+C190</f>
        <v/>
      </c>
      <c r="E190" s="16">
        <f>SUMIFS(Datos!$J$4:$J$1774,Datos!$C$4:$C$1774,"Adyen",Datos!$A$4:$A$1774,A190)</f>
        <v/>
      </c>
      <c r="F190" s="27">
        <f>D190+E190</f>
        <v/>
      </c>
    </row>
    <row r="191">
      <c r="A191" s="26" t="n">
        <v>46171</v>
      </c>
      <c r="B191" s="16">
        <f>SUMIFS(Datos!$H$4:$H$1774,Datos!$C$4:$C$1774,"Adyen",Datos!$A$4:$A$1774,A191)</f>
        <v/>
      </c>
      <c r="C191" s="16">
        <f>SUMIFS(Datos!$I$4:$I$1774,Datos!$C$4:$C$1774,"Adyen",Datos!$A$4:$A$1774,A191)</f>
        <v/>
      </c>
      <c r="D191" s="16">
        <f>B191+C191</f>
        <v/>
      </c>
      <c r="E191" s="16">
        <f>SUMIFS(Datos!$J$4:$J$1774,Datos!$C$4:$C$1774,"Adyen",Datos!$A$4:$A$1774,A191)</f>
        <v/>
      </c>
      <c r="F191" s="27">
        <f>D191+E191</f>
        <v/>
      </c>
    </row>
    <row r="192">
      <c r="A192" s="26" t="n">
        <v>46172</v>
      </c>
      <c r="B192" s="16">
        <f>SUMIFS(Datos!$H$4:$H$1774,Datos!$C$4:$C$1774,"Adyen",Datos!$A$4:$A$1774,A192)</f>
        <v/>
      </c>
      <c r="C192" s="16">
        <f>SUMIFS(Datos!$I$4:$I$1774,Datos!$C$4:$C$1774,"Adyen",Datos!$A$4:$A$1774,A192)</f>
        <v/>
      </c>
      <c r="D192" s="16">
        <f>B192+C192</f>
        <v/>
      </c>
      <c r="E192" s="16">
        <f>SUMIFS(Datos!$J$4:$J$1774,Datos!$C$4:$C$1774,"Adyen",Datos!$A$4:$A$1774,A192)</f>
        <v/>
      </c>
      <c r="F192" s="27">
        <f>D192+E192</f>
        <v/>
      </c>
    </row>
    <row r="193">
      <c r="A193" s="26" t="n">
        <v>46173</v>
      </c>
      <c r="B193" s="16">
        <f>SUMIFS(Datos!$H$4:$H$1774,Datos!$C$4:$C$1774,"Adyen",Datos!$A$4:$A$1774,A193)</f>
        <v/>
      </c>
      <c r="C193" s="16">
        <f>SUMIFS(Datos!$I$4:$I$1774,Datos!$C$4:$C$1774,"Adyen",Datos!$A$4:$A$1774,A193)</f>
        <v/>
      </c>
      <c r="D193" s="16">
        <f>B193+C193</f>
        <v/>
      </c>
      <c r="E193" s="16">
        <f>SUMIFS(Datos!$J$4:$J$1774,Datos!$C$4:$C$1774,"Adyen",Datos!$A$4:$A$1774,A193)</f>
        <v/>
      </c>
      <c r="F193" s="27">
        <f>D193+E193</f>
        <v/>
      </c>
    </row>
    <row r="194">
      <c r="A194" s="26" t="n">
        <v>46174</v>
      </c>
      <c r="B194" s="16">
        <f>SUMIFS(Datos!$H$4:$H$1774,Datos!$C$4:$C$1774,"Adyen",Datos!$A$4:$A$1774,A194)</f>
        <v/>
      </c>
      <c r="C194" s="16">
        <f>SUMIFS(Datos!$I$4:$I$1774,Datos!$C$4:$C$1774,"Adyen",Datos!$A$4:$A$1774,A194)</f>
        <v/>
      </c>
      <c r="D194" s="16">
        <f>B194+C194</f>
        <v/>
      </c>
      <c r="E194" s="16">
        <f>SUMIFS(Datos!$J$4:$J$1774,Datos!$C$4:$C$1774,"Adyen",Datos!$A$4:$A$1774,A194)</f>
        <v/>
      </c>
      <c r="F194" s="27">
        <f>D194+E194</f>
        <v/>
      </c>
    </row>
    <row r="195">
      <c r="A195" s="26" t="n">
        <v>46175</v>
      </c>
      <c r="B195" s="16">
        <f>SUMIFS(Datos!$H$4:$H$1774,Datos!$C$4:$C$1774,"Adyen",Datos!$A$4:$A$1774,A195)</f>
        <v/>
      </c>
      <c r="C195" s="16">
        <f>SUMIFS(Datos!$I$4:$I$1774,Datos!$C$4:$C$1774,"Adyen",Datos!$A$4:$A$1774,A195)</f>
        <v/>
      </c>
      <c r="D195" s="16">
        <f>B195+C195</f>
        <v/>
      </c>
      <c r="E195" s="16">
        <f>SUMIFS(Datos!$J$4:$J$1774,Datos!$C$4:$C$1774,"Adyen",Datos!$A$4:$A$1774,A195)</f>
        <v/>
      </c>
      <c r="F195" s="27">
        <f>D195+E195</f>
        <v/>
      </c>
    </row>
    <row r="196">
      <c r="A196" s="26" t="n">
        <v>46176</v>
      </c>
      <c r="B196" s="16">
        <f>SUMIFS(Datos!$H$4:$H$1774,Datos!$C$4:$C$1774,"Adyen",Datos!$A$4:$A$1774,A196)</f>
        <v/>
      </c>
      <c r="C196" s="16">
        <f>SUMIFS(Datos!$I$4:$I$1774,Datos!$C$4:$C$1774,"Adyen",Datos!$A$4:$A$1774,A196)</f>
        <v/>
      </c>
      <c r="D196" s="16">
        <f>B196+C196</f>
        <v/>
      </c>
      <c r="E196" s="16">
        <f>SUMIFS(Datos!$J$4:$J$1774,Datos!$C$4:$C$1774,"Adyen",Datos!$A$4:$A$1774,A196)</f>
        <v/>
      </c>
      <c r="F196" s="27">
        <f>D196+E196</f>
        <v/>
      </c>
    </row>
    <row r="197">
      <c r="A197" s="26" t="n">
        <v>46177</v>
      </c>
      <c r="B197" s="16">
        <f>SUMIFS(Datos!$H$4:$H$1774,Datos!$C$4:$C$1774,"Adyen",Datos!$A$4:$A$1774,A197)</f>
        <v/>
      </c>
      <c r="C197" s="16">
        <f>SUMIFS(Datos!$I$4:$I$1774,Datos!$C$4:$C$1774,"Adyen",Datos!$A$4:$A$1774,A197)</f>
        <v/>
      </c>
      <c r="D197" s="16">
        <f>B197+C197</f>
        <v/>
      </c>
      <c r="E197" s="16">
        <f>SUMIFS(Datos!$J$4:$J$1774,Datos!$C$4:$C$1774,"Adyen",Datos!$A$4:$A$1774,A197)</f>
        <v/>
      </c>
      <c r="F197" s="27">
        <f>D197+E197</f>
        <v/>
      </c>
    </row>
    <row r="198">
      <c r="A198" s="26" t="n">
        <v>46178</v>
      </c>
      <c r="B198" s="16">
        <f>SUMIFS(Datos!$H$4:$H$1774,Datos!$C$4:$C$1774,"Adyen",Datos!$A$4:$A$1774,A198)</f>
        <v/>
      </c>
      <c r="C198" s="16">
        <f>SUMIFS(Datos!$I$4:$I$1774,Datos!$C$4:$C$1774,"Adyen",Datos!$A$4:$A$1774,A198)</f>
        <v/>
      </c>
      <c r="D198" s="16">
        <f>B198+C198</f>
        <v/>
      </c>
      <c r="E198" s="16">
        <f>SUMIFS(Datos!$J$4:$J$1774,Datos!$C$4:$C$1774,"Adyen",Datos!$A$4:$A$1774,A198)</f>
        <v/>
      </c>
      <c r="F198" s="27">
        <f>D198+E198</f>
        <v/>
      </c>
    </row>
    <row r="199">
      <c r="A199" s="26" t="n">
        <v>46179</v>
      </c>
      <c r="B199" s="16">
        <f>SUMIFS(Datos!$H$4:$H$1774,Datos!$C$4:$C$1774,"Adyen",Datos!$A$4:$A$1774,A199)</f>
        <v/>
      </c>
      <c r="C199" s="16">
        <f>SUMIFS(Datos!$I$4:$I$1774,Datos!$C$4:$C$1774,"Adyen",Datos!$A$4:$A$1774,A199)</f>
        <v/>
      </c>
      <c r="D199" s="16">
        <f>B199+C199</f>
        <v/>
      </c>
      <c r="E199" s="16">
        <f>SUMIFS(Datos!$J$4:$J$1774,Datos!$C$4:$C$1774,"Adyen",Datos!$A$4:$A$1774,A199)</f>
        <v/>
      </c>
      <c r="F199" s="27">
        <f>D199+E199</f>
        <v/>
      </c>
    </row>
    <row r="200">
      <c r="A200" s="26" t="n">
        <v>46180</v>
      </c>
      <c r="B200" s="16">
        <f>SUMIFS(Datos!$H$4:$H$1774,Datos!$C$4:$C$1774,"Adyen",Datos!$A$4:$A$1774,A200)</f>
        <v/>
      </c>
      <c r="C200" s="16">
        <f>SUMIFS(Datos!$I$4:$I$1774,Datos!$C$4:$C$1774,"Adyen",Datos!$A$4:$A$1774,A200)</f>
        <v/>
      </c>
      <c r="D200" s="16">
        <f>B200+C200</f>
        <v/>
      </c>
      <c r="E200" s="16">
        <f>SUMIFS(Datos!$J$4:$J$1774,Datos!$C$4:$C$1774,"Adyen",Datos!$A$4:$A$1774,A200)</f>
        <v/>
      </c>
      <c r="F200" s="27">
        <f>D200+E200</f>
        <v/>
      </c>
    </row>
    <row r="201">
      <c r="A201" s="26" t="n">
        <v>46181</v>
      </c>
      <c r="B201" s="16">
        <f>SUMIFS(Datos!$H$4:$H$1774,Datos!$C$4:$C$1774,"Adyen",Datos!$A$4:$A$1774,A201)</f>
        <v/>
      </c>
      <c r="C201" s="16">
        <f>SUMIFS(Datos!$I$4:$I$1774,Datos!$C$4:$C$1774,"Adyen",Datos!$A$4:$A$1774,A201)</f>
        <v/>
      </c>
      <c r="D201" s="16">
        <f>B201+C201</f>
        <v/>
      </c>
      <c r="E201" s="16">
        <f>SUMIFS(Datos!$J$4:$J$1774,Datos!$C$4:$C$1774,"Adyen",Datos!$A$4:$A$1774,A201)</f>
        <v/>
      </c>
      <c r="F201" s="27">
        <f>D201+E201</f>
        <v/>
      </c>
    </row>
    <row r="202">
      <c r="A202" s="26" t="n">
        <v>46182</v>
      </c>
      <c r="B202" s="16">
        <f>SUMIFS(Datos!$H$4:$H$1774,Datos!$C$4:$C$1774,"Adyen",Datos!$A$4:$A$1774,A202)</f>
        <v/>
      </c>
      <c r="C202" s="16">
        <f>SUMIFS(Datos!$I$4:$I$1774,Datos!$C$4:$C$1774,"Adyen",Datos!$A$4:$A$1774,A202)</f>
        <v/>
      </c>
      <c r="D202" s="16">
        <f>B202+C202</f>
        <v/>
      </c>
      <c r="E202" s="16">
        <f>SUMIFS(Datos!$J$4:$J$1774,Datos!$C$4:$C$1774,"Adyen",Datos!$A$4:$A$1774,A202)</f>
        <v/>
      </c>
      <c r="F202" s="27">
        <f>D202+E202</f>
        <v/>
      </c>
    </row>
    <row r="203">
      <c r="A203" s="26" t="n">
        <v>46183</v>
      </c>
      <c r="B203" s="16">
        <f>SUMIFS(Datos!$H$4:$H$1774,Datos!$C$4:$C$1774,"Adyen",Datos!$A$4:$A$1774,A203)</f>
        <v/>
      </c>
      <c r="C203" s="16">
        <f>SUMIFS(Datos!$I$4:$I$1774,Datos!$C$4:$C$1774,"Adyen",Datos!$A$4:$A$1774,A203)</f>
        <v/>
      </c>
      <c r="D203" s="16">
        <f>B203+C203</f>
        <v/>
      </c>
      <c r="E203" s="16">
        <f>SUMIFS(Datos!$J$4:$J$1774,Datos!$C$4:$C$1774,"Adyen",Datos!$A$4:$A$1774,A203)</f>
        <v/>
      </c>
      <c r="F203" s="27">
        <f>D203+E203</f>
        <v/>
      </c>
    </row>
    <row r="204">
      <c r="A204" s="26" t="n">
        <v>46184</v>
      </c>
      <c r="B204" s="16">
        <f>SUMIFS(Datos!$H$4:$H$1774,Datos!$C$4:$C$1774,"Adyen",Datos!$A$4:$A$1774,A204)</f>
        <v/>
      </c>
      <c r="C204" s="16">
        <f>SUMIFS(Datos!$I$4:$I$1774,Datos!$C$4:$C$1774,"Adyen",Datos!$A$4:$A$1774,A204)</f>
        <v/>
      </c>
      <c r="D204" s="16">
        <f>B204+C204</f>
        <v/>
      </c>
      <c r="E204" s="16">
        <f>SUMIFS(Datos!$J$4:$J$1774,Datos!$C$4:$C$1774,"Adyen",Datos!$A$4:$A$1774,A204)</f>
        <v/>
      </c>
      <c r="F204" s="27">
        <f>D204+E204</f>
        <v/>
      </c>
    </row>
    <row r="205">
      <c r="A205" s="26" t="n">
        <v>46185</v>
      </c>
      <c r="B205" s="16">
        <f>SUMIFS(Datos!$H$4:$H$1774,Datos!$C$4:$C$1774,"Adyen",Datos!$A$4:$A$1774,A205)</f>
        <v/>
      </c>
      <c r="C205" s="16">
        <f>SUMIFS(Datos!$I$4:$I$1774,Datos!$C$4:$C$1774,"Adyen",Datos!$A$4:$A$1774,A205)</f>
        <v/>
      </c>
      <c r="D205" s="16">
        <f>B205+C205</f>
        <v/>
      </c>
      <c r="E205" s="16">
        <f>SUMIFS(Datos!$J$4:$J$1774,Datos!$C$4:$C$1774,"Adyen",Datos!$A$4:$A$1774,A205)</f>
        <v/>
      </c>
      <c r="F205" s="27">
        <f>D205+E205</f>
        <v/>
      </c>
    </row>
    <row r="206">
      <c r="A206" s="26" t="n">
        <v>46186</v>
      </c>
      <c r="B206" s="16">
        <f>SUMIFS(Datos!$H$4:$H$1774,Datos!$C$4:$C$1774,"Adyen",Datos!$A$4:$A$1774,A206)</f>
        <v/>
      </c>
      <c r="C206" s="16">
        <f>SUMIFS(Datos!$I$4:$I$1774,Datos!$C$4:$C$1774,"Adyen",Datos!$A$4:$A$1774,A206)</f>
        <v/>
      </c>
      <c r="D206" s="16">
        <f>B206+C206</f>
        <v/>
      </c>
      <c r="E206" s="16">
        <f>SUMIFS(Datos!$J$4:$J$1774,Datos!$C$4:$C$1774,"Adyen",Datos!$A$4:$A$1774,A206)</f>
        <v/>
      </c>
      <c r="F206" s="27">
        <f>D206+E206</f>
        <v/>
      </c>
    </row>
    <row r="207">
      <c r="A207" s="26" t="n">
        <v>46187</v>
      </c>
      <c r="B207" s="16">
        <f>SUMIFS(Datos!$H$4:$H$1774,Datos!$C$4:$C$1774,"Adyen",Datos!$A$4:$A$1774,A207)</f>
        <v/>
      </c>
      <c r="C207" s="16">
        <f>SUMIFS(Datos!$I$4:$I$1774,Datos!$C$4:$C$1774,"Adyen",Datos!$A$4:$A$1774,A207)</f>
        <v/>
      </c>
      <c r="D207" s="16">
        <f>B207+C207</f>
        <v/>
      </c>
      <c r="E207" s="16">
        <f>SUMIFS(Datos!$J$4:$J$1774,Datos!$C$4:$C$1774,"Adyen",Datos!$A$4:$A$1774,A207)</f>
        <v/>
      </c>
      <c r="F207" s="27">
        <f>D207+E207</f>
        <v/>
      </c>
    </row>
    <row r="208">
      <c r="A208" s="26" t="n">
        <v>46188</v>
      </c>
      <c r="B208" s="16">
        <f>SUMIFS(Datos!$H$4:$H$1774,Datos!$C$4:$C$1774,"Adyen",Datos!$A$4:$A$1774,A208)</f>
        <v/>
      </c>
      <c r="C208" s="16">
        <f>SUMIFS(Datos!$I$4:$I$1774,Datos!$C$4:$C$1774,"Adyen",Datos!$A$4:$A$1774,A208)</f>
        <v/>
      </c>
      <c r="D208" s="16">
        <f>B208+C208</f>
        <v/>
      </c>
      <c r="E208" s="16">
        <f>SUMIFS(Datos!$J$4:$J$1774,Datos!$C$4:$C$1774,"Adyen",Datos!$A$4:$A$1774,A208)</f>
        <v/>
      </c>
      <c r="F208" s="27">
        <f>D208+E208</f>
        <v/>
      </c>
    </row>
    <row r="209">
      <c r="A209" s="26" t="n">
        <v>46189</v>
      </c>
      <c r="B209" s="16">
        <f>SUMIFS(Datos!$H$4:$H$1774,Datos!$C$4:$C$1774,"Adyen",Datos!$A$4:$A$1774,A209)</f>
        <v/>
      </c>
      <c r="C209" s="16">
        <f>SUMIFS(Datos!$I$4:$I$1774,Datos!$C$4:$C$1774,"Adyen",Datos!$A$4:$A$1774,A209)</f>
        <v/>
      </c>
      <c r="D209" s="16">
        <f>B209+C209</f>
        <v/>
      </c>
      <c r="E209" s="16">
        <f>SUMIFS(Datos!$J$4:$J$1774,Datos!$C$4:$C$1774,"Adyen",Datos!$A$4:$A$1774,A209)</f>
        <v/>
      </c>
      <c r="F209" s="27">
        <f>D209+E209</f>
        <v/>
      </c>
    </row>
    <row r="210">
      <c r="A210" s="26" t="n">
        <v>46190</v>
      </c>
      <c r="B210" s="16">
        <f>SUMIFS(Datos!$H$4:$H$1774,Datos!$C$4:$C$1774,"Adyen",Datos!$A$4:$A$1774,A210)</f>
        <v/>
      </c>
      <c r="C210" s="16">
        <f>SUMIFS(Datos!$I$4:$I$1774,Datos!$C$4:$C$1774,"Adyen",Datos!$A$4:$A$1774,A210)</f>
        <v/>
      </c>
      <c r="D210" s="16">
        <f>B210+C210</f>
        <v/>
      </c>
      <c r="E210" s="16">
        <f>SUMIFS(Datos!$J$4:$J$1774,Datos!$C$4:$C$1774,"Adyen",Datos!$A$4:$A$1774,A210)</f>
        <v/>
      </c>
      <c r="F210" s="27">
        <f>D210+E210</f>
        <v/>
      </c>
    </row>
    <row r="211">
      <c r="A211" s="26" t="n">
        <v>46191</v>
      </c>
      <c r="B211" s="16">
        <f>SUMIFS(Datos!$H$4:$H$1774,Datos!$C$4:$C$1774,"Adyen",Datos!$A$4:$A$1774,A211)</f>
        <v/>
      </c>
      <c r="C211" s="16">
        <f>SUMIFS(Datos!$I$4:$I$1774,Datos!$C$4:$C$1774,"Adyen",Datos!$A$4:$A$1774,A211)</f>
        <v/>
      </c>
      <c r="D211" s="16">
        <f>B211+C211</f>
        <v/>
      </c>
      <c r="E211" s="16">
        <f>SUMIFS(Datos!$J$4:$J$1774,Datos!$C$4:$C$1774,"Adyen",Datos!$A$4:$A$1774,A211)</f>
        <v/>
      </c>
      <c r="F211" s="27">
        <f>D211+E211</f>
        <v/>
      </c>
    </row>
    <row r="212">
      <c r="A212" s="26" t="n">
        <v>46192</v>
      </c>
      <c r="B212" s="16">
        <f>SUMIFS(Datos!$H$4:$H$1774,Datos!$C$4:$C$1774,"Adyen",Datos!$A$4:$A$1774,A212)</f>
        <v/>
      </c>
      <c r="C212" s="16">
        <f>SUMIFS(Datos!$I$4:$I$1774,Datos!$C$4:$C$1774,"Adyen",Datos!$A$4:$A$1774,A212)</f>
        <v/>
      </c>
      <c r="D212" s="16">
        <f>B212+C212</f>
        <v/>
      </c>
      <c r="E212" s="16">
        <f>SUMIFS(Datos!$J$4:$J$1774,Datos!$C$4:$C$1774,"Adyen",Datos!$A$4:$A$1774,A212)</f>
        <v/>
      </c>
      <c r="F212" s="27">
        <f>D212+E212</f>
        <v/>
      </c>
    </row>
    <row r="213">
      <c r="A213" s="26" t="n">
        <v>46193</v>
      </c>
      <c r="B213" s="16">
        <f>SUMIFS(Datos!$H$4:$H$1774,Datos!$C$4:$C$1774,"Adyen",Datos!$A$4:$A$1774,A213)</f>
        <v/>
      </c>
      <c r="C213" s="16">
        <f>SUMIFS(Datos!$I$4:$I$1774,Datos!$C$4:$C$1774,"Adyen",Datos!$A$4:$A$1774,A213)</f>
        <v/>
      </c>
      <c r="D213" s="16">
        <f>B213+C213</f>
        <v/>
      </c>
      <c r="E213" s="16">
        <f>SUMIFS(Datos!$J$4:$J$1774,Datos!$C$4:$C$1774,"Adyen",Datos!$A$4:$A$1774,A213)</f>
        <v/>
      </c>
      <c r="F213" s="27">
        <f>D213+E213</f>
        <v/>
      </c>
    </row>
    <row r="214">
      <c r="A214" s="26" t="n">
        <v>46194</v>
      </c>
      <c r="B214" s="16">
        <f>SUMIFS(Datos!$H$4:$H$1774,Datos!$C$4:$C$1774,"Adyen",Datos!$A$4:$A$1774,A214)</f>
        <v/>
      </c>
      <c r="C214" s="16">
        <f>SUMIFS(Datos!$I$4:$I$1774,Datos!$C$4:$C$1774,"Adyen",Datos!$A$4:$A$1774,A214)</f>
        <v/>
      </c>
      <c r="D214" s="16">
        <f>B214+C214</f>
        <v/>
      </c>
      <c r="E214" s="16">
        <f>SUMIFS(Datos!$J$4:$J$1774,Datos!$C$4:$C$1774,"Adyen",Datos!$A$4:$A$1774,A214)</f>
        <v/>
      </c>
      <c r="F214" s="27">
        <f>D214+E214</f>
        <v/>
      </c>
    </row>
    <row r="215">
      <c r="A215" s="26" t="n">
        <v>46195</v>
      </c>
      <c r="B215" s="16">
        <f>SUMIFS(Datos!$H$4:$H$1774,Datos!$C$4:$C$1774,"Adyen",Datos!$A$4:$A$1774,A215)</f>
        <v/>
      </c>
      <c r="C215" s="16">
        <f>SUMIFS(Datos!$I$4:$I$1774,Datos!$C$4:$C$1774,"Adyen",Datos!$A$4:$A$1774,A215)</f>
        <v/>
      </c>
      <c r="D215" s="16">
        <f>B215+C215</f>
        <v/>
      </c>
      <c r="E215" s="16">
        <f>SUMIFS(Datos!$J$4:$J$1774,Datos!$C$4:$C$1774,"Adyen",Datos!$A$4:$A$1774,A215)</f>
        <v/>
      </c>
      <c r="F215" s="27">
        <f>D215+E215</f>
        <v/>
      </c>
    </row>
    <row r="216">
      <c r="A216" s="26" t="n">
        <v>46196</v>
      </c>
      <c r="B216" s="16">
        <f>SUMIFS(Datos!$H$4:$H$1774,Datos!$C$4:$C$1774,"Adyen",Datos!$A$4:$A$1774,A216)</f>
        <v/>
      </c>
      <c r="C216" s="16">
        <f>SUMIFS(Datos!$I$4:$I$1774,Datos!$C$4:$C$1774,"Adyen",Datos!$A$4:$A$1774,A216)</f>
        <v/>
      </c>
      <c r="D216" s="16">
        <f>B216+C216</f>
        <v/>
      </c>
      <c r="E216" s="16">
        <f>SUMIFS(Datos!$J$4:$J$1774,Datos!$C$4:$C$1774,"Adyen",Datos!$A$4:$A$1774,A216)</f>
        <v/>
      </c>
      <c r="F216" s="27">
        <f>D216+E216</f>
        <v/>
      </c>
    </row>
    <row r="217">
      <c r="A217" s="26" t="n">
        <v>46197</v>
      </c>
      <c r="B217" s="16">
        <f>SUMIFS(Datos!$H$4:$H$1774,Datos!$C$4:$C$1774,"Adyen",Datos!$A$4:$A$1774,A217)</f>
        <v/>
      </c>
      <c r="C217" s="16">
        <f>SUMIFS(Datos!$I$4:$I$1774,Datos!$C$4:$C$1774,"Adyen",Datos!$A$4:$A$1774,A217)</f>
        <v/>
      </c>
      <c r="D217" s="16">
        <f>B217+C217</f>
        <v/>
      </c>
      <c r="E217" s="16">
        <f>SUMIFS(Datos!$J$4:$J$1774,Datos!$C$4:$C$1774,"Adyen",Datos!$A$4:$A$1774,A217)</f>
        <v/>
      </c>
      <c r="F217" s="27">
        <f>D217+E217</f>
        <v/>
      </c>
    </row>
    <row r="218">
      <c r="A218" s="26" t="n">
        <v>46198</v>
      </c>
      <c r="B218" s="16">
        <f>SUMIFS(Datos!$H$4:$H$1774,Datos!$C$4:$C$1774,"Adyen",Datos!$A$4:$A$1774,A218)</f>
        <v/>
      </c>
      <c r="C218" s="16">
        <f>SUMIFS(Datos!$I$4:$I$1774,Datos!$C$4:$C$1774,"Adyen",Datos!$A$4:$A$1774,A218)</f>
        <v/>
      </c>
      <c r="D218" s="16">
        <f>B218+C218</f>
        <v/>
      </c>
      <c r="E218" s="16">
        <f>SUMIFS(Datos!$J$4:$J$1774,Datos!$C$4:$C$1774,"Adyen",Datos!$A$4:$A$1774,A218)</f>
        <v/>
      </c>
      <c r="F218" s="27">
        <f>D218+E218</f>
        <v/>
      </c>
    </row>
    <row r="219">
      <c r="A219" s="26" t="n">
        <v>46199</v>
      </c>
      <c r="B219" s="16">
        <f>SUMIFS(Datos!$H$4:$H$1774,Datos!$C$4:$C$1774,"Adyen",Datos!$A$4:$A$1774,A219)</f>
        <v/>
      </c>
      <c r="C219" s="16">
        <f>SUMIFS(Datos!$I$4:$I$1774,Datos!$C$4:$C$1774,"Adyen",Datos!$A$4:$A$1774,A219)</f>
        <v/>
      </c>
      <c r="D219" s="16">
        <f>B219+C219</f>
        <v/>
      </c>
      <c r="E219" s="16">
        <f>SUMIFS(Datos!$J$4:$J$1774,Datos!$C$4:$C$1774,"Adyen",Datos!$A$4:$A$1774,A219)</f>
        <v/>
      </c>
      <c r="F219" s="27">
        <f>D219+E219</f>
        <v/>
      </c>
    </row>
    <row r="220">
      <c r="A220" s="26" t="n">
        <v>46200</v>
      </c>
      <c r="B220" s="16">
        <f>SUMIFS(Datos!$H$4:$H$1774,Datos!$C$4:$C$1774,"Adyen",Datos!$A$4:$A$1774,A220)</f>
        <v/>
      </c>
      <c r="C220" s="16">
        <f>SUMIFS(Datos!$I$4:$I$1774,Datos!$C$4:$C$1774,"Adyen",Datos!$A$4:$A$1774,A220)</f>
        <v/>
      </c>
      <c r="D220" s="16">
        <f>B220+C220</f>
        <v/>
      </c>
      <c r="E220" s="16">
        <f>SUMIFS(Datos!$J$4:$J$1774,Datos!$C$4:$C$1774,"Adyen",Datos!$A$4:$A$1774,A220)</f>
        <v/>
      </c>
      <c r="F220" s="27">
        <f>D220+E220</f>
        <v/>
      </c>
    </row>
    <row r="221">
      <c r="A221" s="26" t="n">
        <v>46201</v>
      </c>
      <c r="B221" s="16">
        <f>SUMIFS(Datos!$H$4:$H$1774,Datos!$C$4:$C$1774,"Adyen",Datos!$A$4:$A$1774,A221)</f>
        <v/>
      </c>
      <c r="C221" s="16">
        <f>SUMIFS(Datos!$I$4:$I$1774,Datos!$C$4:$C$1774,"Adyen",Datos!$A$4:$A$1774,A221)</f>
        <v/>
      </c>
      <c r="D221" s="16">
        <f>B221+C221</f>
        <v/>
      </c>
      <c r="E221" s="16">
        <f>SUMIFS(Datos!$J$4:$J$1774,Datos!$C$4:$C$1774,"Adyen",Datos!$A$4:$A$1774,A221)</f>
        <v/>
      </c>
      <c r="F221" s="27">
        <f>D221+E221</f>
        <v/>
      </c>
    </row>
    <row r="222">
      <c r="A222" s="26" t="n">
        <v>46202</v>
      </c>
      <c r="B222" s="16">
        <f>SUMIFS(Datos!$H$4:$H$1774,Datos!$C$4:$C$1774,"Adyen",Datos!$A$4:$A$1774,A222)</f>
        <v/>
      </c>
      <c r="C222" s="16">
        <f>SUMIFS(Datos!$I$4:$I$1774,Datos!$C$4:$C$1774,"Adyen",Datos!$A$4:$A$1774,A222)</f>
        <v/>
      </c>
      <c r="D222" s="16">
        <f>B222+C222</f>
        <v/>
      </c>
      <c r="E222" s="16">
        <f>SUMIFS(Datos!$J$4:$J$1774,Datos!$C$4:$C$1774,"Adyen",Datos!$A$4:$A$1774,A222)</f>
        <v/>
      </c>
      <c r="F222" s="27">
        <f>D222+E222</f>
        <v/>
      </c>
    </row>
    <row r="223">
      <c r="A223" s="26" t="n">
        <v>46203</v>
      </c>
      <c r="B223" s="16">
        <f>SUMIFS(Datos!$H$4:$H$1774,Datos!$C$4:$C$1774,"Adyen",Datos!$A$4:$A$1774,A223)</f>
        <v/>
      </c>
      <c r="C223" s="16">
        <f>SUMIFS(Datos!$I$4:$I$1774,Datos!$C$4:$C$1774,"Adyen",Datos!$A$4:$A$1774,A223)</f>
        <v/>
      </c>
      <c r="D223" s="16">
        <f>B223+C223</f>
        <v/>
      </c>
      <c r="E223" s="16">
        <f>SUMIFS(Datos!$J$4:$J$1774,Datos!$C$4:$C$1774,"Adyen",Datos!$A$4:$A$1774,A223)</f>
        <v/>
      </c>
      <c r="F223" s="27">
        <f>D223+E223</f>
        <v/>
      </c>
    </row>
    <row r="224">
      <c r="A224" s="26" t="n">
        <v>46204</v>
      </c>
      <c r="B224" s="16">
        <f>SUMIFS(Datos!$H$4:$H$1774,Datos!$C$4:$C$1774,"Adyen",Datos!$A$4:$A$1774,A224)</f>
        <v/>
      </c>
      <c r="C224" s="16">
        <f>SUMIFS(Datos!$I$4:$I$1774,Datos!$C$4:$C$1774,"Adyen",Datos!$A$4:$A$1774,A224)</f>
        <v/>
      </c>
      <c r="D224" s="16">
        <f>B224+C224</f>
        <v/>
      </c>
      <c r="E224" s="16">
        <f>SUMIFS(Datos!$J$4:$J$1774,Datos!$C$4:$C$1774,"Adyen",Datos!$A$4:$A$1774,A224)</f>
        <v/>
      </c>
      <c r="F224" s="27">
        <f>D224+E224</f>
        <v/>
      </c>
    </row>
    <row r="225">
      <c r="A225" s="26" t="n">
        <v>46205</v>
      </c>
      <c r="B225" s="16">
        <f>SUMIFS(Datos!$H$4:$H$1774,Datos!$C$4:$C$1774,"Adyen",Datos!$A$4:$A$1774,A225)</f>
        <v/>
      </c>
      <c r="C225" s="16">
        <f>SUMIFS(Datos!$I$4:$I$1774,Datos!$C$4:$C$1774,"Adyen",Datos!$A$4:$A$1774,A225)</f>
        <v/>
      </c>
      <c r="D225" s="16">
        <f>B225+C225</f>
        <v/>
      </c>
      <c r="E225" s="16">
        <f>SUMIFS(Datos!$J$4:$J$1774,Datos!$C$4:$C$1774,"Adyen",Datos!$A$4:$A$1774,A225)</f>
        <v/>
      </c>
      <c r="F225" s="27">
        <f>D225+E225</f>
        <v/>
      </c>
    </row>
    <row r="226">
      <c r="A226" s="26" t="n">
        <v>46206</v>
      </c>
      <c r="B226" s="16">
        <f>SUMIFS(Datos!$H$4:$H$1774,Datos!$C$4:$C$1774,"Adyen",Datos!$A$4:$A$1774,A226)</f>
        <v/>
      </c>
      <c r="C226" s="16">
        <f>SUMIFS(Datos!$I$4:$I$1774,Datos!$C$4:$C$1774,"Adyen",Datos!$A$4:$A$1774,A226)</f>
        <v/>
      </c>
      <c r="D226" s="16">
        <f>B226+C226</f>
        <v/>
      </c>
      <c r="E226" s="16">
        <f>SUMIFS(Datos!$J$4:$J$1774,Datos!$C$4:$C$1774,"Adyen",Datos!$A$4:$A$1774,A226)</f>
        <v/>
      </c>
      <c r="F226" s="27">
        <f>D226+E226</f>
        <v/>
      </c>
    </row>
    <row r="227">
      <c r="A227" s="26" t="n">
        <v>46207</v>
      </c>
      <c r="B227" s="16">
        <f>SUMIFS(Datos!$H$4:$H$1774,Datos!$C$4:$C$1774,"Adyen",Datos!$A$4:$A$1774,A227)</f>
        <v/>
      </c>
      <c r="C227" s="16">
        <f>SUMIFS(Datos!$I$4:$I$1774,Datos!$C$4:$C$1774,"Adyen",Datos!$A$4:$A$1774,A227)</f>
        <v/>
      </c>
      <c r="D227" s="16">
        <f>B227+C227</f>
        <v/>
      </c>
      <c r="E227" s="16">
        <f>SUMIFS(Datos!$J$4:$J$1774,Datos!$C$4:$C$1774,"Adyen",Datos!$A$4:$A$1774,A227)</f>
        <v/>
      </c>
      <c r="F227" s="27">
        <f>D227+E227</f>
        <v/>
      </c>
    </row>
    <row r="228">
      <c r="A228" s="26" t="n">
        <v>46208</v>
      </c>
      <c r="B228" s="16">
        <f>SUMIFS(Datos!$H$4:$H$1774,Datos!$C$4:$C$1774,"Adyen",Datos!$A$4:$A$1774,A228)</f>
        <v/>
      </c>
      <c r="C228" s="16">
        <f>SUMIFS(Datos!$I$4:$I$1774,Datos!$C$4:$C$1774,"Adyen",Datos!$A$4:$A$1774,A228)</f>
        <v/>
      </c>
      <c r="D228" s="16">
        <f>B228+C228</f>
        <v/>
      </c>
      <c r="E228" s="16">
        <f>SUMIFS(Datos!$J$4:$J$1774,Datos!$C$4:$C$1774,"Adyen",Datos!$A$4:$A$1774,A228)</f>
        <v/>
      </c>
      <c r="F228" s="27">
        <f>D228+E228</f>
        <v/>
      </c>
    </row>
    <row r="229">
      <c r="A229" s="26" t="n">
        <v>46209</v>
      </c>
      <c r="B229" s="16">
        <f>SUMIFS(Datos!$H$4:$H$1774,Datos!$C$4:$C$1774,"Adyen",Datos!$A$4:$A$1774,A229)</f>
        <v/>
      </c>
      <c r="C229" s="16">
        <f>SUMIFS(Datos!$I$4:$I$1774,Datos!$C$4:$C$1774,"Adyen",Datos!$A$4:$A$1774,A229)</f>
        <v/>
      </c>
      <c r="D229" s="16">
        <f>B229+C229</f>
        <v/>
      </c>
      <c r="E229" s="16">
        <f>SUMIFS(Datos!$J$4:$J$1774,Datos!$C$4:$C$1774,"Adyen",Datos!$A$4:$A$1774,A229)</f>
        <v/>
      </c>
      <c r="F229" s="27">
        <f>D229+E229</f>
        <v/>
      </c>
    </row>
    <row r="230">
      <c r="A230" s="26" t="n">
        <v>46210</v>
      </c>
      <c r="B230" s="16">
        <f>SUMIFS(Datos!$H$4:$H$1774,Datos!$C$4:$C$1774,"Adyen",Datos!$A$4:$A$1774,A230)</f>
        <v/>
      </c>
      <c r="C230" s="16">
        <f>SUMIFS(Datos!$I$4:$I$1774,Datos!$C$4:$C$1774,"Adyen",Datos!$A$4:$A$1774,A230)</f>
        <v/>
      </c>
      <c r="D230" s="16">
        <f>B230+C230</f>
        <v/>
      </c>
      <c r="E230" s="16">
        <f>SUMIFS(Datos!$J$4:$J$1774,Datos!$C$4:$C$1774,"Adyen",Datos!$A$4:$A$1774,A230)</f>
        <v/>
      </c>
      <c r="F230" s="27">
        <f>D230+E230</f>
        <v/>
      </c>
    </row>
    <row r="231">
      <c r="A231" s="26" t="n">
        <v>46211</v>
      </c>
      <c r="B231" s="16">
        <f>SUMIFS(Datos!$H$4:$H$1774,Datos!$C$4:$C$1774,"Adyen",Datos!$A$4:$A$1774,A231)</f>
        <v/>
      </c>
      <c r="C231" s="16">
        <f>SUMIFS(Datos!$I$4:$I$1774,Datos!$C$4:$C$1774,"Adyen",Datos!$A$4:$A$1774,A231)</f>
        <v/>
      </c>
      <c r="D231" s="16">
        <f>B231+C231</f>
        <v/>
      </c>
      <c r="E231" s="16">
        <f>SUMIFS(Datos!$J$4:$J$1774,Datos!$C$4:$C$1774,"Adyen",Datos!$A$4:$A$1774,A231)</f>
        <v/>
      </c>
      <c r="F231" s="27">
        <f>D231+E231</f>
        <v/>
      </c>
    </row>
    <row r="232">
      <c r="A232" s="26" t="n">
        <v>46212</v>
      </c>
      <c r="B232" s="16">
        <f>SUMIFS(Datos!$H$4:$H$1774,Datos!$C$4:$C$1774,"Adyen",Datos!$A$4:$A$1774,A232)</f>
        <v/>
      </c>
      <c r="C232" s="16">
        <f>SUMIFS(Datos!$I$4:$I$1774,Datos!$C$4:$C$1774,"Adyen",Datos!$A$4:$A$1774,A232)</f>
        <v/>
      </c>
      <c r="D232" s="16">
        <f>B232+C232</f>
        <v/>
      </c>
      <c r="E232" s="16">
        <f>SUMIFS(Datos!$J$4:$J$1774,Datos!$C$4:$C$1774,"Adyen",Datos!$A$4:$A$1774,A232)</f>
        <v/>
      </c>
      <c r="F232" s="27">
        <f>D232+E232</f>
        <v/>
      </c>
    </row>
    <row r="233">
      <c r="A233" s="26" t="n">
        <v>46213</v>
      </c>
      <c r="B233" s="16">
        <f>SUMIFS(Datos!$H$4:$H$1774,Datos!$C$4:$C$1774,"Adyen",Datos!$A$4:$A$1774,A233)</f>
        <v/>
      </c>
      <c r="C233" s="16">
        <f>SUMIFS(Datos!$I$4:$I$1774,Datos!$C$4:$C$1774,"Adyen",Datos!$A$4:$A$1774,A233)</f>
        <v/>
      </c>
      <c r="D233" s="16">
        <f>B233+C233</f>
        <v/>
      </c>
      <c r="E233" s="16">
        <f>SUMIFS(Datos!$J$4:$J$1774,Datos!$C$4:$C$1774,"Adyen",Datos!$A$4:$A$1774,A233)</f>
        <v/>
      </c>
      <c r="F233" s="27">
        <f>D233+E233</f>
        <v/>
      </c>
    </row>
    <row r="234">
      <c r="A234" s="26" t="n">
        <v>46214</v>
      </c>
      <c r="B234" s="16">
        <f>SUMIFS(Datos!$H$4:$H$1774,Datos!$C$4:$C$1774,"Adyen",Datos!$A$4:$A$1774,A234)</f>
        <v/>
      </c>
      <c r="C234" s="16">
        <f>SUMIFS(Datos!$I$4:$I$1774,Datos!$C$4:$C$1774,"Adyen",Datos!$A$4:$A$1774,A234)</f>
        <v/>
      </c>
      <c r="D234" s="16">
        <f>B234+C234</f>
        <v/>
      </c>
      <c r="E234" s="16">
        <f>SUMIFS(Datos!$J$4:$J$1774,Datos!$C$4:$C$1774,"Adyen",Datos!$A$4:$A$1774,A234)</f>
        <v/>
      </c>
      <c r="F234" s="27">
        <f>D234+E234</f>
        <v/>
      </c>
    </row>
    <row r="235">
      <c r="A235" s="26" t="n">
        <v>46215</v>
      </c>
      <c r="B235" s="16">
        <f>SUMIFS(Datos!$H$4:$H$1774,Datos!$C$4:$C$1774,"Adyen",Datos!$A$4:$A$1774,A235)</f>
        <v/>
      </c>
      <c r="C235" s="16">
        <f>SUMIFS(Datos!$I$4:$I$1774,Datos!$C$4:$C$1774,"Adyen",Datos!$A$4:$A$1774,A235)</f>
        <v/>
      </c>
      <c r="D235" s="16">
        <f>B235+C235</f>
        <v/>
      </c>
      <c r="E235" s="16">
        <f>SUMIFS(Datos!$J$4:$J$1774,Datos!$C$4:$C$1774,"Adyen",Datos!$A$4:$A$1774,A235)</f>
        <v/>
      </c>
      <c r="F235" s="27">
        <f>D235+E235</f>
        <v/>
      </c>
    </row>
    <row r="236">
      <c r="A236" s="26" t="n">
        <v>46216</v>
      </c>
      <c r="B236" s="16">
        <f>SUMIFS(Datos!$H$4:$H$1774,Datos!$C$4:$C$1774,"Adyen",Datos!$A$4:$A$1774,A236)</f>
        <v/>
      </c>
      <c r="C236" s="16">
        <f>SUMIFS(Datos!$I$4:$I$1774,Datos!$C$4:$C$1774,"Adyen",Datos!$A$4:$A$1774,A236)</f>
        <v/>
      </c>
      <c r="D236" s="16">
        <f>B236+C236</f>
        <v/>
      </c>
      <c r="E236" s="16">
        <f>SUMIFS(Datos!$J$4:$J$1774,Datos!$C$4:$C$1774,"Adyen",Datos!$A$4:$A$1774,A236)</f>
        <v/>
      </c>
      <c r="F236" s="27">
        <f>D236+E236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32" t="inlineStr">
        <is>
          <t>PAYSAFE — Ventas, Fee, Cobro y Retenido</t>
        </is>
      </c>
      <c r="B1" s="33" t="n"/>
      <c r="C1" s="33" t="n"/>
      <c r="D1" s="33" t="n"/>
      <c r="E1" s="33" t="n"/>
      <c r="F1" s="33" t="n"/>
    </row>
    <row r="3">
      <c r="A3" s="12" t="inlineStr">
        <is>
          <t>POR SEMANA</t>
        </is>
      </c>
      <c r="B3" s="13" t="n"/>
      <c r="C3" s="13" t="n"/>
      <c r="D3" s="13" t="n"/>
      <c r="E3" s="13" t="n"/>
      <c r="F3" s="13" t="n"/>
    </row>
    <row r="4">
      <c r="A4" s="7" t="inlineStr">
        <is>
          <t>Semana</t>
        </is>
      </c>
      <c r="B4" s="7" t="inlineStr">
        <is>
          <t>Ventas (€)</t>
        </is>
      </c>
      <c r="C4" s="7" t="inlineStr">
        <is>
          <t>Fee (€)</t>
        </is>
      </c>
      <c r="D4" s="7" t="inlineStr">
        <is>
          <t>Cobro (€)</t>
        </is>
      </c>
      <c r="E4" s="7" t="inlineStr">
        <is>
          <t>Payout (€)</t>
        </is>
      </c>
      <c r="F4" s="7" t="inlineStr">
        <is>
          <t>Retenido neto (€)</t>
        </is>
      </c>
    </row>
    <row r="6">
      <c r="A6" s="15" t="inlineStr">
        <is>
          <t>2026-W26</t>
        </is>
      </c>
      <c r="B6" s="16">
        <f>SUMIFS(Datos!$H$4:$H$1774,Datos!$C$4:$C$1774,"Paysafe",Datos!$B$4:$B$1774,A6)</f>
        <v/>
      </c>
      <c r="C6" s="16">
        <f>SUMIFS(Datos!$I$4:$I$1774,Datos!$C$4:$C$1774,"Paysafe",Datos!$B$4:$B$1774,A6)</f>
        <v/>
      </c>
      <c r="D6" s="16">
        <f>B6+C6</f>
        <v/>
      </c>
      <c r="E6" s="16">
        <f>SUMIFS(Datos!$J$4:$J$1774,Datos!$C$4:$C$1774,"Paysafe",Datos!$B$4:$B$1774,A6)</f>
        <v/>
      </c>
      <c r="F6" s="25">
        <f>D6+E6</f>
        <v/>
      </c>
    </row>
    <row r="7">
      <c r="A7" s="15" t="inlineStr">
        <is>
          <t>2026-W27</t>
        </is>
      </c>
      <c r="B7" s="16">
        <f>SUMIFS(Datos!$H$4:$H$1774,Datos!$C$4:$C$1774,"Paysafe",Datos!$B$4:$B$1774,A7)</f>
        <v/>
      </c>
      <c r="C7" s="16">
        <f>SUMIFS(Datos!$I$4:$I$1774,Datos!$C$4:$C$1774,"Paysafe",Datos!$B$4:$B$1774,A7)</f>
        <v/>
      </c>
      <c r="D7" s="16">
        <f>B7+C7</f>
        <v/>
      </c>
      <c r="E7" s="16">
        <f>SUMIFS(Datos!$J$4:$J$1774,Datos!$C$4:$C$1774,"Paysafe",Datos!$B$4:$B$1774,A7)</f>
        <v/>
      </c>
      <c r="F7" s="25">
        <f>D7+E7</f>
        <v/>
      </c>
    </row>
    <row r="8">
      <c r="A8" s="15" t="inlineStr">
        <is>
          <t>2026-W28</t>
        </is>
      </c>
      <c r="B8" s="16">
        <f>SUMIFS(Datos!$H$4:$H$1774,Datos!$C$4:$C$1774,"Paysafe",Datos!$B$4:$B$1774,A8)</f>
        <v/>
      </c>
      <c r="C8" s="16">
        <f>SUMIFS(Datos!$I$4:$I$1774,Datos!$C$4:$C$1774,"Paysafe",Datos!$B$4:$B$1774,A8)</f>
        <v/>
      </c>
      <c r="D8" s="16">
        <f>B8+C8</f>
        <v/>
      </c>
      <c r="E8" s="16">
        <f>SUMIFS(Datos!$J$4:$J$1774,Datos!$C$4:$C$1774,"Paysafe",Datos!$B$4:$B$1774,A8)</f>
        <v/>
      </c>
      <c r="F8" s="25">
        <f>D8+E8</f>
        <v/>
      </c>
    </row>
    <row r="9">
      <c r="A9" s="15" t="inlineStr">
        <is>
          <t>2026-W29</t>
        </is>
      </c>
      <c r="B9" s="16">
        <f>SUMIFS(Datos!$H$4:$H$1774,Datos!$C$4:$C$1774,"Paysafe",Datos!$B$4:$B$1774,A9)</f>
        <v/>
      </c>
      <c r="C9" s="16">
        <f>SUMIFS(Datos!$I$4:$I$1774,Datos!$C$4:$C$1774,"Paysafe",Datos!$B$4:$B$1774,A9)</f>
        <v/>
      </c>
      <c r="D9" s="16">
        <f>B9+C9</f>
        <v/>
      </c>
      <c r="E9" s="16">
        <f>SUMIFS(Datos!$J$4:$J$1774,Datos!$C$4:$C$1774,"Paysafe",Datos!$B$4:$B$1774,A9)</f>
        <v/>
      </c>
      <c r="F9" s="25">
        <f>D9+E9</f>
        <v/>
      </c>
    </row>
    <row r="10">
      <c r="A10" s="15" t="inlineStr">
        <is>
          <t>2026-W30</t>
        </is>
      </c>
      <c r="B10" s="16">
        <f>SUMIFS(Datos!$H$4:$H$1774,Datos!$C$4:$C$1774,"Paysafe",Datos!$B$4:$B$1774,A10)</f>
        <v/>
      </c>
      <c r="C10" s="16">
        <f>SUMIFS(Datos!$I$4:$I$1774,Datos!$C$4:$C$1774,"Paysafe",Datos!$B$4:$B$1774,A10)</f>
        <v/>
      </c>
      <c r="D10" s="16">
        <f>B10+C10</f>
        <v/>
      </c>
      <c r="E10" s="16">
        <f>SUMIFS(Datos!$J$4:$J$1774,Datos!$C$4:$C$1774,"Paysafe",Datos!$B$4:$B$1774,A10)</f>
        <v/>
      </c>
      <c r="F10" s="25">
        <f>D10+E10</f>
        <v/>
      </c>
    </row>
    <row r="11">
      <c r="A11" s="15" t="inlineStr">
        <is>
          <t>2026-W31</t>
        </is>
      </c>
      <c r="B11" s="16">
        <f>SUMIFS(Datos!$H$4:$H$1774,Datos!$C$4:$C$1774,"Paysafe",Datos!$B$4:$B$1774,A11)</f>
        <v/>
      </c>
      <c r="C11" s="16">
        <f>SUMIFS(Datos!$I$4:$I$1774,Datos!$C$4:$C$1774,"Paysafe",Datos!$B$4:$B$1774,A11)</f>
        <v/>
      </c>
      <c r="D11" s="16">
        <f>B11+C11</f>
        <v/>
      </c>
      <c r="E11" s="16">
        <f>SUMIFS(Datos!$J$4:$J$1774,Datos!$C$4:$C$1774,"Paysafe",Datos!$B$4:$B$1774,A11)</f>
        <v/>
      </c>
      <c r="F11" s="25">
        <f>D11+E11</f>
        <v/>
      </c>
    </row>
    <row r="12">
      <c r="A12" s="5" t="inlineStr">
        <is>
          <t>TOTAL</t>
        </is>
      </c>
      <c r="B12" s="18">
        <f>SUM(B6:B11)</f>
        <v/>
      </c>
      <c r="C12" s="18">
        <f>SUM(C6:C11)</f>
        <v/>
      </c>
      <c r="D12" s="18">
        <f>SUM(D6:D11)</f>
        <v/>
      </c>
      <c r="E12" s="18">
        <f>SUM(E6:E11)</f>
        <v/>
      </c>
      <c r="F12" s="18">
        <f>SUM(F6:F11)</f>
        <v/>
      </c>
    </row>
    <row r="15">
      <c r="A15" s="12" t="inlineStr">
        <is>
          <t>POR DÍA</t>
        </is>
      </c>
      <c r="B15" s="13" t="n"/>
      <c r="C15" s="13" t="n"/>
      <c r="D15" s="13" t="n"/>
      <c r="E15" s="13" t="n"/>
      <c r="F15" s="13" t="n"/>
    </row>
    <row r="16">
      <c r="A16" s="7" t="inlineStr">
        <is>
          <t>Fecha</t>
        </is>
      </c>
      <c r="B16" s="7" t="inlineStr">
        <is>
          <t>Ventas (€)</t>
        </is>
      </c>
      <c r="C16" s="7" t="inlineStr">
        <is>
          <t>Fee (€)</t>
        </is>
      </c>
      <c r="D16" s="7" t="inlineStr">
        <is>
          <t>Cobro (€)</t>
        </is>
      </c>
      <c r="E16" s="7" t="inlineStr">
        <is>
          <t>Payout (€)</t>
        </is>
      </c>
      <c r="F16" s="7" t="inlineStr">
        <is>
          <t>Retenido neto (€)</t>
        </is>
      </c>
    </row>
    <row r="17">
      <c r="A17" s="26" t="n">
        <v>46199</v>
      </c>
      <c r="B17" s="16">
        <f>SUMIFS(Datos!$H$4:$H$1774,Datos!$C$4:$C$1774,"Paysafe",Datos!$A$4:$A$1774,A17)</f>
        <v/>
      </c>
      <c r="C17" s="16">
        <f>SUMIFS(Datos!$I$4:$I$1774,Datos!$C$4:$C$1774,"Paysafe",Datos!$A$4:$A$1774,A17)</f>
        <v/>
      </c>
      <c r="D17" s="16">
        <f>B17+C17</f>
        <v/>
      </c>
      <c r="E17" s="16">
        <f>SUMIFS(Datos!$J$4:$J$1774,Datos!$C$4:$C$1774,"Paysafe",Datos!$A$4:$A$1774,A17)</f>
        <v/>
      </c>
      <c r="F17" s="27">
        <f>D17+E17</f>
        <v/>
      </c>
    </row>
    <row r="18">
      <c r="A18" s="26" t="n">
        <v>46202</v>
      </c>
      <c r="B18" s="16">
        <f>SUMIFS(Datos!$H$4:$H$1774,Datos!$C$4:$C$1774,"Paysafe",Datos!$A$4:$A$1774,A18)</f>
        <v/>
      </c>
      <c r="C18" s="16">
        <f>SUMIFS(Datos!$I$4:$I$1774,Datos!$C$4:$C$1774,"Paysafe",Datos!$A$4:$A$1774,A18)</f>
        <v/>
      </c>
      <c r="D18" s="16">
        <f>B18+C18</f>
        <v/>
      </c>
      <c r="E18" s="16">
        <f>SUMIFS(Datos!$J$4:$J$1774,Datos!$C$4:$C$1774,"Paysafe",Datos!$A$4:$A$1774,A18)</f>
        <v/>
      </c>
      <c r="F18" s="27">
        <f>D18+E18</f>
        <v/>
      </c>
    </row>
    <row r="19">
      <c r="A19" s="26" t="n">
        <v>46203</v>
      </c>
      <c r="B19" s="16">
        <f>SUMIFS(Datos!$H$4:$H$1774,Datos!$C$4:$C$1774,"Paysafe",Datos!$A$4:$A$1774,A19)</f>
        <v/>
      </c>
      <c r="C19" s="16">
        <f>SUMIFS(Datos!$I$4:$I$1774,Datos!$C$4:$C$1774,"Paysafe",Datos!$A$4:$A$1774,A19)</f>
        <v/>
      </c>
      <c r="D19" s="16">
        <f>B19+C19</f>
        <v/>
      </c>
      <c r="E19" s="16">
        <f>SUMIFS(Datos!$J$4:$J$1774,Datos!$C$4:$C$1774,"Paysafe",Datos!$A$4:$A$1774,A19)</f>
        <v/>
      </c>
      <c r="F19" s="27">
        <f>D19+E19</f>
        <v/>
      </c>
    </row>
    <row r="20">
      <c r="A20" s="26" t="n">
        <v>46204</v>
      </c>
      <c r="B20" s="16">
        <f>SUMIFS(Datos!$H$4:$H$1774,Datos!$C$4:$C$1774,"Paysafe",Datos!$A$4:$A$1774,A20)</f>
        <v/>
      </c>
      <c r="C20" s="16">
        <f>SUMIFS(Datos!$I$4:$I$1774,Datos!$C$4:$C$1774,"Paysafe",Datos!$A$4:$A$1774,A20)</f>
        <v/>
      </c>
      <c r="D20" s="16">
        <f>B20+C20</f>
        <v/>
      </c>
      <c r="E20" s="16">
        <f>SUMIFS(Datos!$J$4:$J$1774,Datos!$C$4:$C$1774,"Paysafe",Datos!$A$4:$A$1774,A20)</f>
        <v/>
      </c>
      <c r="F20" s="27">
        <f>D20+E20</f>
        <v/>
      </c>
    </row>
    <row r="21">
      <c r="A21" s="26" t="n">
        <v>46205</v>
      </c>
      <c r="B21" s="16">
        <f>SUMIFS(Datos!$H$4:$H$1774,Datos!$C$4:$C$1774,"Paysafe",Datos!$A$4:$A$1774,A21)</f>
        <v/>
      </c>
      <c r="C21" s="16">
        <f>SUMIFS(Datos!$I$4:$I$1774,Datos!$C$4:$C$1774,"Paysafe",Datos!$A$4:$A$1774,A21)</f>
        <v/>
      </c>
      <c r="D21" s="16">
        <f>B21+C21</f>
        <v/>
      </c>
      <c r="E21" s="16">
        <f>SUMIFS(Datos!$J$4:$J$1774,Datos!$C$4:$C$1774,"Paysafe",Datos!$A$4:$A$1774,A21)</f>
        <v/>
      </c>
      <c r="F21" s="27">
        <f>D21+E21</f>
        <v/>
      </c>
    </row>
    <row r="22">
      <c r="A22" s="26" t="n">
        <v>46206</v>
      </c>
      <c r="B22" s="16">
        <f>SUMIFS(Datos!$H$4:$H$1774,Datos!$C$4:$C$1774,"Paysafe",Datos!$A$4:$A$1774,A22)</f>
        <v/>
      </c>
      <c r="C22" s="16">
        <f>SUMIFS(Datos!$I$4:$I$1774,Datos!$C$4:$C$1774,"Paysafe",Datos!$A$4:$A$1774,A22)</f>
        <v/>
      </c>
      <c r="D22" s="16">
        <f>B22+C22</f>
        <v/>
      </c>
      <c r="E22" s="16">
        <f>SUMIFS(Datos!$J$4:$J$1774,Datos!$C$4:$C$1774,"Paysafe",Datos!$A$4:$A$1774,A22)</f>
        <v/>
      </c>
      <c r="F22" s="27">
        <f>D22+E22</f>
        <v/>
      </c>
    </row>
    <row r="23">
      <c r="A23" s="26" t="n">
        <v>46207</v>
      </c>
      <c r="B23" s="16">
        <f>SUMIFS(Datos!$H$4:$H$1774,Datos!$C$4:$C$1774,"Paysafe",Datos!$A$4:$A$1774,A23)</f>
        <v/>
      </c>
      <c r="C23" s="16">
        <f>SUMIFS(Datos!$I$4:$I$1774,Datos!$C$4:$C$1774,"Paysafe",Datos!$A$4:$A$1774,A23)</f>
        <v/>
      </c>
      <c r="D23" s="16">
        <f>B23+C23</f>
        <v/>
      </c>
      <c r="E23" s="16">
        <f>SUMIFS(Datos!$J$4:$J$1774,Datos!$C$4:$C$1774,"Paysafe",Datos!$A$4:$A$1774,A23)</f>
        <v/>
      </c>
      <c r="F23" s="27">
        <f>D23+E23</f>
        <v/>
      </c>
    </row>
    <row r="24">
      <c r="A24" s="26" t="n">
        <v>46208</v>
      </c>
      <c r="B24" s="16">
        <f>SUMIFS(Datos!$H$4:$H$1774,Datos!$C$4:$C$1774,"Paysafe",Datos!$A$4:$A$1774,A24)</f>
        <v/>
      </c>
      <c r="C24" s="16">
        <f>SUMIFS(Datos!$I$4:$I$1774,Datos!$C$4:$C$1774,"Paysafe",Datos!$A$4:$A$1774,A24)</f>
        <v/>
      </c>
      <c r="D24" s="16">
        <f>B24+C24</f>
        <v/>
      </c>
      <c r="E24" s="16">
        <f>SUMIFS(Datos!$J$4:$J$1774,Datos!$C$4:$C$1774,"Paysafe",Datos!$A$4:$A$1774,A24)</f>
        <v/>
      </c>
      <c r="F24" s="27">
        <f>D24+E24</f>
        <v/>
      </c>
    </row>
    <row r="25">
      <c r="A25" s="26" t="n">
        <v>46209</v>
      </c>
      <c r="B25" s="16">
        <f>SUMIFS(Datos!$H$4:$H$1774,Datos!$C$4:$C$1774,"Paysafe",Datos!$A$4:$A$1774,A25)</f>
        <v/>
      </c>
      <c r="C25" s="16">
        <f>SUMIFS(Datos!$I$4:$I$1774,Datos!$C$4:$C$1774,"Paysafe",Datos!$A$4:$A$1774,A25)</f>
        <v/>
      </c>
      <c r="D25" s="16">
        <f>B25+C25</f>
        <v/>
      </c>
      <c r="E25" s="16">
        <f>SUMIFS(Datos!$J$4:$J$1774,Datos!$C$4:$C$1774,"Paysafe",Datos!$A$4:$A$1774,A25)</f>
        <v/>
      </c>
      <c r="F25" s="27">
        <f>D25+E25</f>
        <v/>
      </c>
    </row>
    <row r="26">
      <c r="A26" s="26" t="n">
        <v>46210</v>
      </c>
      <c r="B26" s="16">
        <f>SUMIFS(Datos!$H$4:$H$1774,Datos!$C$4:$C$1774,"Paysafe",Datos!$A$4:$A$1774,A26)</f>
        <v/>
      </c>
      <c r="C26" s="16">
        <f>SUMIFS(Datos!$I$4:$I$1774,Datos!$C$4:$C$1774,"Paysafe",Datos!$A$4:$A$1774,A26)</f>
        <v/>
      </c>
      <c r="D26" s="16">
        <f>B26+C26</f>
        <v/>
      </c>
      <c r="E26" s="16">
        <f>SUMIFS(Datos!$J$4:$J$1774,Datos!$C$4:$C$1774,"Paysafe",Datos!$A$4:$A$1774,A26)</f>
        <v/>
      </c>
      <c r="F26" s="27">
        <f>D26+E26</f>
        <v/>
      </c>
    </row>
    <row r="27">
      <c r="A27" s="26" t="n">
        <v>46211</v>
      </c>
      <c r="B27" s="16">
        <f>SUMIFS(Datos!$H$4:$H$1774,Datos!$C$4:$C$1774,"Paysafe",Datos!$A$4:$A$1774,A27)</f>
        <v/>
      </c>
      <c r="C27" s="16">
        <f>SUMIFS(Datos!$I$4:$I$1774,Datos!$C$4:$C$1774,"Paysafe",Datos!$A$4:$A$1774,A27)</f>
        <v/>
      </c>
      <c r="D27" s="16">
        <f>B27+C27</f>
        <v/>
      </c>
      <c r="E27" s="16">
        <f>SUMIFS(Datos!$J$4:$J$1774,Datos!$C$4:$C$1774,"Paysafe",Datos!$A$4:$A$1774,A27)</f>
        <v/>
      </c>
      <c r="F27" s="27">
        <f>D27+E27</f>
        <v/>
      </c>
    </row>
    <row r="28">
      <c r="A28" s="26" t="n">
        <v>46212</v>
      </c>
      <c r="B28" s="16">
        <f>SUMIFS(Datos!$H$4:$H$1774,Datos!$C$4:$C$1774,"Paysafe",Datos!$A$4:$A$1774,A28)</f>
        <v/>
      </c>
      <c r="C28" s="16">
        <f>SUMIFS(Datos!$I$4:$I$1774,Datos!$C$4:$C$1774,"Paysafe",Datos!$A$4:$A$1774,A28)</f>
        <v/>
      </c>
      <c r="D28" s="16">
        <f>B28+C28</f>
        <v/>
      </c>
      <c r="E28" s="16">
        <f>SUMIFS(Datos!$J$4:$J$1774,Datos!$C$4:$C$1774,"Paysafe",Datos!$A$4:$A$1774,A28)</f>
        <v/>
      </c>
      <c r="F28" s="27">
        <f>D28+E28</f>
        <v/>
      </c>
    </row>
    <row r="29">
      <c r="A29" s="26" t="n">
        <v>46213</v>
      </c>
      <c r="B29" s="16">
        <f>SUMIFS(Datos!$H$4:$H$1774,Datos!$C$4:$C$1774,"Paysafe",Datos!$A$4:$A$1774,A29)</f>
        <v/>
      </c>
      <c r="C29" s="16">
        <f>SUMIFS(Datos!$I$4:$I$1774,Datos!$C$4:$C$1774,"Paysafe",Datos!$A$4:$A$1774,A29)</f>
        <v/>
      </c>
      <c r="D29" s="16">
        <f>B29+C29</f>
        <v/>
      </c>
      <c r="E29" s="16">
        <f>SUMIFS(Datos!$J$4:$J$1774,Datos!$C$4:$C$1774,"Paysafe",Datos!$A$4:$A$1774,A29)</f>
        <v/>
      </c>
      <c r="F29" s="27">
        <f>D29+E29</f>
        <v/>
      </c>
    </row>
    <row r="30">
      <c r="A30" s="26" t="n">
        <v>46214</v>
      </c>
      <c r="B30" s="16">
        <f>SUMIFS(Datos!$H$4:$H$1774,Datos!$C$4:$C$1774,"Paysafe",Datos!$A$4:$A$1774,A30)</f>
        <v/>
      </c>
      <c r="C30" s="16">
        <f>SUMIFS(Datos!$I$4:$I$1774,Datos!$C$4:$C$1774,"Paysafe",Datos!$A$4:$A$1774,A30)</f>
        <v/>
      </c>
      <c r="D30" s="16">
        <f>B30+C30</f>
        <v/>
      </c>
      <c r="E30" s="16">
        <f>SUMIFS(Datos!$J$4:$J$1774,Datos!$C$4:$C$1774,"Paysafe",Datos!$A$4:$A$1774,A30)</f>
        <v/>
      </c>
      <c r="F30" s="27">
        <f>D30+E30</f>
        <v/>
      </c>
    </row>
    <row r="31">
      <c r="A31" s="26" t="n">
        <v>46215</v>
      </c>
      <c r="B31" s="16">
        <f>SUMIFS(Datos!$H$4:$H$1774,Datos!$C$4:$C$1774,"Paysafe",Datos!$A$4:$A$1774,A31)</f>
        <v/>
      </c>
      <c r="C31" s="16">
        <f>SUMIFS(Datos!$I$4:$I$1774,Datos!$C$4:$C$1774,"Paysafe",Datos!$A$4:$A$1774,A31)</f>
        <v/>
      </c>
      <c r="D31" s="16">
        <f>B31+C31</f>
        <v/>
      </c>
      <c r="E31" s="16">
        <f>SUMIFS(Datos!$J$4:$J$1774,Datos!$C$4:$C$1774,"Paysafe",Datos!$A$4:$A$1774,A31)</f>
        <v/>
      </c>
      <c r="F31" s="27">
        <f>D31+E31</f>
        <v/>
      </c>
    </row>
    <row r="32">
      <c r="A32" s="26" t="n">
        <v>46216</v>
      </c>
      <c r="B32" s="16">
        <f>SUMIFS(Datos!$H$4:$H$1774,Datos!$C$4:$C$1774,"Paysafe",Datos!$A$4:$A$1774,A32)</f>
        <v/>
      </c>
      <c r="C32" s="16">
        <f>SUMIFS(Datos!$I$4:$I$1774,Datos!$C$4:$C$1774,"Paysafe",Datos!$A$4:$A$1774,A32)</f>
        <v/>
      </c>
      <c r="D32" s="16">
        <f>B32+C32</f>
        <v/>
      </c>
      <c r="E32" s="16">
        <f>SUMIFS(Datos!$J$4:$J$1774,Datos!$C$4:$C$1774,"Paysafe",Datos!$A$4:$A$1774,A32)</f>
        <v/>
      </c>
      <c r="F32" s="27">
        <f>D32+E32</f>
        <v/>
      </c>
    </row>
    <row r="33">
      <c r="A33" s="26" t="n">
        <v>46217</v>
      </c>
      <c r="B33" s="16">
        <f>SUMIFS(Datos!$H$4:$H$1774,Datos!$C$4:$C$1774,"Paysafe",Datos!$A$4:$A$1774,A33)</f>
        <v/>
      </c>
      <c r="C33" s="16">
        <f>SUMIFS(Datos!$I$4:$I$1774,Datos!$C$4:$C$1774,"Paysafe",Datos!$A$4:$A$1774,A33)</f>
        <v/>
      </c>
      <c r="D33" s="16">
        <f>B33+C33</f>
        <v/>
      </c>
      <c r="E33" s="16">
        <f>SUMIFS(Datos!$J$4:$J$1774,Datos!$C$4:$C$1774,"Paysafe",Datos!$A$4:$A$1774,A33)</f>
        <v/>
      </c>
      <c r="F33" s="27">
        <f>D33+E33</f>
        <v/>
      </c>
    </row>
    <row r="34">
      <c r="A34" s="26" t="n">
        <v>46218</v>
      </c>
      <c r="B34" s="16">
        <f>SUMIFS(Datos!$H$4:$H$1774,Datos!$C$4:$C$1774,"Paysafe",Datos!$A$4:$A$1774,A34)</f>
        <v/>
      </c>
      <c r="C34" s="16">
        <f>SUMIFS(Datos!$I$4:$I$1774,Datos!$C$4:$C$1774,"Paysafe",Datos!$A$4:$A$1774,A34)</f>
        <v/>
      </c>
      <c r="D34" s="16">
        <f>B34+C34</f>
        <v/>
      </c>
      <c r="E34" s="16">
        <f>SUMIFS(Datos!$J$4:$J$1774,Datos!$C$4:$C$1774,"Paysafe",Datos!$A$4:$A$1774,A34)</f>
        <v/>
      </c>
      <c r="F34" s="27">
        <f>D34+E34</f>
        <v/>
      </c>
    </row>
    <row r="35">
      <c r="A35" s="26" t="n">
        <v>46219</v>
      </c>
      <c r="B35" s="16">
        <f>SUMIFS(Datos!$H$4:$H$1774,Datos!$C$4:$C$1774,"Paysafe",Datos!$A$4:$A$1774,A35)</f>
        <v/>
      </c>
      <c r="C35" s="16">
        <f>SUMIFS(Datos!$I$4:$I$1774,Datos!$C$4:$C$1774,"Paysafe",Datos!$A$4:$A$1774,A35)</f>
        <v/>
      </c>
      <c r="D35" s="16">
        <f>B35+C35</f>
        <v/>
      </c>
      <c r="E35" s="16">
        <f>SUMIFS(Datos!$J$4:$J$1774,Datos!$C$4:$C$1774,"Paysafe",Datos!$A$4:$A$1774,A35)</f>
        <v/>
      </c>
      <c r="F35" s="27">
        <f>D35+E35</f>
        <v/>
      </c>
    </row>
    <row r="36">
      <c r="A36" s="26" t="n">
        <v>46220</v>
      </c>
      <c r="B36" s="16">
        <f>SUMIFS(Datos!$H$4:$H$1774,Datos!$C$4:$C$1774,"Paysafe",Datos!$A$4:$A$1774,A36)</f>
        <v/>
      </c>
      <c r="C36" s="16">
        <f>SUMIFS(Datos!$I$4:$I$1774,Datos!$C$4:$C$1774,"Paysafe",Datos!$A$4:$A$1774,A36)</f>
        <v/>
      </c>
      <c r="D36" s="16">
        <f>B36+C36</f>
        <v/>
      </c>
      <c r="E36" s="16">
        <f>SUMIFS(Datos!$J$4:$J$1774,Datos!$C$4:$C$1774,"Paysafe",Datos!$A$4:$A$1774,A36)</f>
        <v/>
      </c>
      <c r="F36" s="27">
        <f>D36+E36</f>
        <v/>
      </c>
    </row>
    <row r="37">
      <c r="A37" s="26" t="n">
        <v>46221</v>
      </c>
      <c r="B37" s="16">
        <f>SUMIFS(Datos!$H$4:$H$1774,Datos!$C$4:$C$1774,"Paysafe",Datos!$A$4:$A$1774,A37)</f>
        <v/>
      </c>
      <c r="C37" s="16">
        <f>SUMIFS(Datos!$I$4:$I$1774,Datos!$C$4:$C$1774,"Paysafe",Datos!$A$4:$A$1774,A37)</f>
        <v/>
      </c>
      <c r="D37" s="16">
        <f>B37+C37</f>
        <v/>
      </c>
      <c r="E37" s="16">
        <f>SUMIFS(Datos!$J$4:$J$1774,Datos!$C$4:$C$1774,"Paysafe",Datos!$A$4:$A$1774,A37)</f>
        <v/>
      </c>
      <c r="F37" s="27">
        <f>D37+E37</f>
        <v/>
      </c>
    </row>
    <row r="38">
      <c r="A38" s="26" t="n">
        <v>46222</v>
      </c>
      <c r="B38" s="16">
        <f>SUMIFS(Datos!$H$4:$H$1774,Datos!$C$4:$C$1774,"Paysafe",Datos!$A$4:$A$1774,A38)</f>
        <v/>
      </c>
      <c r="C38" s="16">
        <f>SUMIFS(Datos!$I$4:$I$1774,Datos!$C$4:$C$1774,"Paysafe",Datos!$A$4:$A$1774,A38)</f>
        <v/>
      </c>
      <c r="D38" s="16">
        <f>B38+C38</f>
        <v/>
      </c>
      <c r="E38" s="16">
        <f>SUMIFS(Datos!$J$4:$J$1774,Datos!$C$4:$C$1774,"Paysafe",Datos!$A$4:$A$1774,A38)</f>
        <v/>
      </c>
      <c r="F38" s="27">
        <f>D38+E38</f>
        <v/>
      </c>
    </row>
    <row r="39">
      <c r="A39" s="26" t="n">
        <v>46223</v>
      </c>
      <c r="B39" s="16">
        <f>SUMIFS(Datos!$H$4:$H$1774,Datos!$C$4:$C$1774,"Paysafe",Datos!$A$4:$A$1774,A39)</f>
        <v/>
      </c>
      <c r="C39" s="16">
        <f>SUMIFS(Datos!$I$4:$I$1774,Datos!$C$4:$C$1774,"Paysafe",Datos!$A$4:$A$1774,A39)</f>
        <v/>
      </c>
      <c r="D39" s="16">
        <f>B39+C39</f>
        <v/>
      </c>
      <c r="E39" s="16">
        <f>SUMIFS(Datos!$J$4:$J$1774,Datos!$C$4:$C$1774,"Paysafe",Datos!$A$4:$A$1774,A39)</f>
        <v/>
      </c>
      <c r="F39" s="27">
        <f>D39+E39</f>
        <v/>
      </c>
    </row>
    <row r="40">
      <c r="A40" s="26" t="n">
        <v>46224</v>
      </c>
      <c r="B40" s="16">
        <f>SUMIFS(Datos!$H$4:$H$1774,Datos!$C$4:$C$1774,"Paysafe",Datos!$A$4:$A$1774,A40)</f>
        <v/>
      </c>
      <c r="C40" s="16">
        <f>SUMIFS(Datos!$I$4:$I$1774,Datos!$C$4:$C$1774,"Paysafe",Datos!$A$4:$A$1774,A40)</f>
        <v/>
      </c>
      <c r="D40" s="16">
        <f>B40+C40</f>
        <v/>
      </c>
      <c r="E40" s="16">
        <f>SUMIFS(Datos!$J$4:$J$1774,Datos!$C$4:$C$1774,"Paysafe",Datos!$A$4:$A$1774,A40)</f>
        <v/>
      </c>
      <c r="F40" s="27">
        <f>D40+E40</f>
        <v/>
      </c>
    </row>
    <row r="41">
      <c r="A41" s="26" t="n">
        <v>46225</v>
      </c>
      <c r="B41" s="16">
        <f>SUMIFS(Datos!$H$4:$H$1774,Datos!$C$4:$C$1774,"Paysafe",Datos!$A$4:$A$1774,A41)</f>
        <v/>
      </c>
      <c r="C41" s="16">
        <f>SUMIFS(Datos!$I$4:$I$1774,Datos!$C$4:$C$1774,"Paysafe",Datos!$A$4:$A$1774,A41)</f>
        <v/>
      </c>
      <c r="D41" s="16">
        <f>B41+C41</f>
        <v/>
      </c>
      <c r="E41" s="16">
        <f>SUMIFS(Datos!$J$4:$J$1774,Datos!$C$4:$C$1774,"Paysafe",Datos!$A$4:$A$1774,A41)</f>
        <v/>
      </c>
      <c r="F41" s="27">
        <f>D41+E41</f>
        <v/>
      </c>
    </row>
    <row r="42">
      <c r="A42" s="26" t="n">
        <v>46226</v>
      </c>
      <c r="B42" s="16">
        <f>SUMIFS(Datos!$H$4:$H$1774,Datos!$C$4:$C$1774,"Paysafe",Datos!$A$4:$A$1774,A42)</f>
        <v/>
      </c>
      <c r="C42" s="16">
        <f>SUMIFS(Datos!$I$4:$I$1774,Datos!$C$4:$C$1774,"Paysafe",Datos!$A$4:$A$1774,A42)</f>
        <v/>
      </c>
      <c r="D42" s="16">
        <f>B42+C42</f>
        <v/>
      </c>
      <c r="E42" s="16">
        <f>SUMIFS(Datos!$J$4:$J$1774,Datos!$C$4:$C$1774,"Paysafe",Datos!$A$4:$A$1774,A42)</f>
        <v/>
      </c>
      <c r="F42" s="27">
        <f>D42+E42</f>
        <v/>
      </c>
    </row>
    <row r="43">
      <c r="A43" s="26" t="n">
        <v>46227</v>
      </c>
      <c r="B43" s="16">
        <f>SUMIFS(Datos!$H$4:$H$1774,Datos!$C$4:$C$1774,"Paysafe",Datos!$A$4:$A$1774,A43)</f>
        <v/>
      </c>
      <c r="C43" s="16">
        <f>SUMIFS(Datos!$I$4:$I$1774,Datos!$C$4:$C$1774,"Paysafe",Datos!$A$4:$A$1774,A43)</f>
        <v/>
      </c>
      <c r="D43" s="16">
        <f>B43+C43</f>
        <v/>
      </c>
      <c r="E43" s="16">
        <f>SUMIFS(Datos!$J$4:$J$1774,Datos!$C$4:$C$1774,"Paysafe",Datos!$A$4:$A$1774,A43)</f>
        <v/>
      </c>
      <c r="F43" s="27">
        <f>D43+E43</f>
        <v/>
      </c>
    </row>
    <row r="44">
      <c r="A44" s="26" t="n">
        <v>46228</v>
      </c>
      <c r="B44" s="16">
        <f>SUMIFS(Datos!$H$4:$H$1774,Datos!$C$4:$C$1774,"Paysafe",Datos!$A$4:$A$1774,A44)</f>
        <v/>
      </c>
      <c r="C44" s="16">
        <f>SUMIFS(Datos!$I$4:$I$1774,Datos!$C$4:$C$1774,"Paysafe",Datos!$A$4:$A$1774,A44)</f>
        <v/>
      </c>
      <c r="D44" s="16">
        <f>B44+C44</f>
        <v/>
      </c>
      <c r="E44" s="16">
        <f>SUMIFS(Datos!$J$4:$J$1774,Datos!$C$4:$C$1774,"Paysafe",Datos!$A$4:$A$1774,A44)</f>
        <v/>
      </c>
      <c r="F44" s="27">
        <f>D44+E44</f>
        <v/>
      </c>
    </row>
    <row r="45">
      <c r="A45" s="26" t="n">
        <v>46229</v>
      </c>
      <c r="B45" s="16">
        <f>SUMIFS(Datos!$H$4:$H$1774,Datos!$C$4:$C$1774,"Paysafe",Datos!$A$4:$A$1774,A45)</f>
        <v/>
      </c>
      <c r="C45" s="16">
        <f>SUMIFS(Datos!$I$4:$I$1774,Datos!$C$4:$C$1774,"Paysafe",Datos!$A$4:$A$1774,A45)</f>
        <v/>
      </c>
      <c r="D45" s="16">
        <f>B45+C45</f>
        <v/>
      </c>
      <c r="E45" s="16">
        <f>SUMIFS(Datos!$J$4:$J$1774,Datos!$C$4:$C$1774,"Paysafe",Datos!$A$4:$A$1774,A45)</f>
        <v/>
      </c>
      <c r="F45" s="27">
        <f>D45+E45</f>
        <v/>
      </c>
    </row>
    <row r="46">
      <c r="A46" s="26" t="n">
        <v>46230</v>
      </c>
      <c r="B46" s="16">
        <f>SUMIFS(Datos!$H$4:$H$1774,Datos!$C$4:$C$1774,"Paysafe",Datos!$A$4:$A$1774,A46)</f>
        <v/>
      </c>
      <c r="C46" s="16">
        <f>SUMIFS(Datos!$I$4:$I$1774,Datos!$C$4:$C$1774,"Paysafe",Datos!$A$4:$A$1774,A46)</f>
        <v/>
      </c>
      <c r="D46" s="16">
        <f>B46+C46</f>
        <v/>
      </c>
      <c r="E46" s="16">
        <f>SUMIFS(Datos!$J$4:$J$1774,Datos!$C$4:$C$1774,"Paysafe",Datos!$A$4:$A$1774,A46)</f>
        <v/>
      </c>
      <c r="F46" s="27">
        <f>D46+E46</f>
        <v/>
      </c>
    </row>
    <row r="47">
      <c r="A47" s="26" t="n">
        <v>46231</v>
      </c>
      <c r="B47" s="16">
        <f>SUMIFS(Datos!$H$4:$H$1774,Datos!$C$4:$C$1774,"Paysafe",Datos!$A$4:$A$1774,A47)</f>
        <v/>
      </c>
      <c r="C47" s="16">
        <f>SUMIFS(Datos!$I$4:$I$1774,Datos!$C$4:$C$1774,"Paysafe",Datos!$A$4:$A$1774,A47)</f>
        <v/>
      </c>
      <c r="D47" s="16">
        <f>B47+C47</f>
        <v/>
      </c>
      <c r="E47" s="16">
        <f>SUMIFS(Datos!$J$4:$J$1774,Datos!$C$4:$C$1774,"Paysafe",Datos!$A$4:$A$1774,A47)</f>
        <v/>
      </c>
      <c r="F47" s="27">
        <f>D47+E47</f>
        <v/>
      </c>
    </row>
    <row r="48">
      <c r="A48" s="26" t="n">
        <v>46232</v>
      </c>
      <c r="B48" s="16">
        <f>SUMIFS(Datos!$H$4:$H$1774,Datos!$C$4:$C$1774,"Paysafe",Datos!$A$4:$A$1774,A48)</f>
        <v/>
      </c>
      <c r="C48" s="16">
        <f>SUMIFS(Datos!$I$4:$I$1774,Datos!$C$4:$C$1774,"Paysafe",Datos!$A$4:$A$1774,A48)</f>
        <v/>
      </c>
      <c r="D48" s="16">
        <f>B48+C48</f>
        <v/>
      </c>
      <c r="E48" s="16">
        <f>SUMIFS(Datos!$J$4:$J$1774,Datos!$C$4:$C$1774,"Paysafe",Datos!$A$4:$A$1774,A48)</f>
        <v/>
      </c>
      <c r="F48" s="27">
        <f>D48+E48</f>
        <v/>
      </c>
    </row>
    <row r="49">
      <c r="A49" s="26" t="n">
        <v>46233</v>
      </c>
      <c r="B49" s="16">
        <f>SUMIFS(Datos!$H$4:$H$1774,Datos!$C$4:$C$1774,"Paysafe",Datos!$A$4:$A$1774,A49)</f>
        <v/>
      </c>
      <c r="C49" s="16">
        <f>SUMIFS(Datos!$I$4:$I$1774,Datos!$C$4:$C$1774,"Paysafe",Datos!$A$4:$A$1774,A49)</f>
        <v/>
      </c>
      <c r="D49" s="16">
        <f>B49+C49</f>
        <v/>
      </c>
      <c r="E49" s="16">
        <f>SUMIFS(Datos!$J$4:$J$1774,Datos!$C$4:$C$1774,"Paysafe",Datos!$A$4:$A$1774,A49)</f>
        <v/>
      </c>
      <c r="F49" s="27">
        <f>D49+E49</f>
        <v/>
      </c>
    </row>
    <row r="50">
      <c r="A50" s="26" t="n">
        <v>46234</v>
      </c>
      <c r="B50" s="16">
        <f>SUMIFS(Datos!$H$4:$H$1774,Datos!$C$4:$C$1774,"Paysafe",Datos!$A$4:$A$1774,A50)</f>
        <v/>
      </c>
      <c r="C50" s="16">
        <f>SUMIFS(Datos!$I$4:$I$1774,Datos!$C$4:$C$1774,"Paysafe",Datos!$A$4:$A$1774,A50)</f>
        <v/>
      </c>
      <c r="D50" s="16">
        <f>B50+C50</f>
        <v/>
      </c>
      <c r="E50" s="16">
        <f>SUMIFS(Datos!$J$4:$J$1774,Datos!$C$4:$C$1774,"Paysafe",Datos!$A$4:$A$1774,A50)</f>
        <v/>
      </c>
      <c r="F50" s="27">
        <f>D50+E50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2026-07-14T13:47:47Z</dcterms:created>
  <dcterms:modified xsi:type="dcterms:W3CDTF">2026-07-14T13:47:48Z</dcterms:modified>
</cp:coreProperties>
</file>