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Datos" sheetId="2" state="visible" r:id="rId2"/>
    <sheet name="Ventas Diarias" sheetId="3" state="visible" r:id="rId3"/>
    <sheet name="Ventas Semanales" sheetId="4" state="visible" r:id="rId4"/>
    <sheet name="Dinero Reteni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"/>
    <numFmt numFmtId="166" formatCode="dd/mm/yyyy"/>
    <numFmt numFmtId="167" formatCode="#,##0;[Red](#,##0)"/>
  </numFmts>
  <fonts count="9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3"/>
    </font>
    <font>
      <i val="1"/>
      <color rgb="00808080"/>
      <sz val="9"/>
    </font>
    <font>
      <b val="1"/>
      <color rgb="002E5496"/>
      <sz val="14"/>
    </font>
    <font>
      <color rgb="00000000"/>
      <sz val="11"/>
    </font>
    <font>
      <b val="1"/>
      <color rgb="001F3864"/>
      <sz val="12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5FA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0" borderId="0" pivotButton="0" quotePrefix="0" xfId="0"/>
    <xf numFmtId="164" fontId="1" fillId="0" borderId="0" pivotButton="0" quotePrefix="0" xfId="0"/>
    <xf numFmtId="0" fontId="2" fillId="2" borderId="0" applyAlignment="1" pivotButton="0" quotePrefix="0" xfId="0">
      <alignment horizontal="center" wrapText="1"/>
    </xf>
    <xf numFmtId="166" fontId="0" fillId="0" borderId="0" pivotButton="0" quotePrefix="0" xfId="0"/>
    <xf numFmtId="167" fontId="0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horizontal="center"/>
    </xf>
    <xf numFmtId="166" fontId="0" fillId="4" borderId="0" pivotButton="0" quotePrefix="0" xfId="0"/>
    <xf numFmtId="167" fontId="0" fillId="4" borderId="0" pivotButton="0" quotePrefix="0" xfId="0"/>
    <xf numFmtId="167" fontId="1" fillId="4" borderId="0" pivotButton="0" quotePrefix="0" xfId="0"/>
    <xf numFmtId="167" fontId="1" fillId="0" borderId="0" pivotButton="0" quotePrefix="0" xfId="0"/>
    <xf numFmtId="167" fontId="1" fillId="5" borderId="0" pivotButton="0" quotePrefix="0" xfId="0"/>
    <xf numFmtId="0" fontId="1" fillId="4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1" fillId="5" borderId="0" pivotButton="0" quotePrefix="0" xfId="0"/>
    <xf numFmtId="0" fontId="1" fillId="6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CONTROL SEMANAL DE PASARELAS DE PAGO</t>
        </is>
      </c>
    </row>
    <row r="2">
      <c r="A2" s="2" t="inlineStr"/>
    </row>
    <row r="3">
      <c r="A3" s="3" t="inlineStr">
        <is>
          <t>Qué contiene:</t>
        </is>
      </c>
    </row>
    <row r="4">
      <c r="A4" s="2" t="inlineStr">
        <is>
          <t>• Datos: todos los movimientos diarios normalizados (una fila por pasarela y día). Nuvei $ se convierte a € con el FX de la celda L1.</t>
        </is>
      </c>
    </row>
    <row r="5">
      <c r="A5" s="2" t="inlineStr">
        <is>
          <t>• Ventas Diarias: ventas por día y pasarela (€), con total. Se calcula con SUMIFS sobre 'Datos'.</t>
        </is>
      </c>
    </row>
    <row r="6">
      <c r="A6" s="2" t="inlineStr">
        <is>
          <t>• Ventas Semanales: ventas por semana ISO y pasarela (€). Vista de control semanal.</t>
        </is>
      </c>
    </row>
    <row r="7">
      <c r="A7" s="2" t="inlineStr">
        <is>
          <t>• Dinero Retenido: retenido actual por pasarela (Nuvei = €+$ combinado) y el flujo semanal (qué entra vs qué se libera a banco).</t>
        </is>
      </c>
    </row>
    <row r="8">
      <c r="A8" s="2" t="inlineStr"/>
    </row>
    <row r="9">
      <c r="A9" s="3" t="inlineStr">
        <is>
          <t>Nuvei € + $ combinado:</t>
        </is>
      </c>
    </row>
    <row r="10">
      <c r="A10" s="2" t="inlineStr">
        <is>
          <t>Las filas de Nuvei $ (USD) se marcan Moneda=USD en 'Datos' y se convierten a € con el tipo de cambio de Datos!L1 (edítalo).</t>
        </is>
      </c>
    </row>
    <row r="11">
      <c r="A11" s="2" t="inlineStr">
        <is>
          <t>Así Nuvei aparece como UNA sola columna ya en euros en todas las vistas.</t>
        </is>
      </c>
    </row>
    <row r="12">
      <c r="A12" s="2" t="inlineStr"/>
    </row>
    <row r="13">
      <c r="A13" s="3" t="inlineStr">
        <is>
          <t>Cómo actualizar cada semana:</t>
        </is>
      </c>
    </row>
    <row r="14">
      <c r="A14" s="2" t="inlineStr">
        <is>
          <t>1) Añade las nuevas filas diarias al final de 'Datos' (misma estructura). 2) Copia las fórmulas de la última fila de Ventas Diarias/Semanales para las nuevas fechas/semanas. Todo recalcula solo.</t>
        </is>
      </c>
    </row>
    <row r="15">
      <c r="A15" s="2" t="inlineStr"/>
    </row>
    <row r="16">
      <c r="A16" s="4" t="inlineStr">
        <is>
          <t>Nota: 'Semana' usa el número de semana ISO del año (formato AAAA-Wnn).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8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8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>
      <c r="K1" s="5" t="inlineStr">
        <is>
          <t>FX USD→EUR:</t>
        </is>
      </c>
      <c r="L1" s="6" t="n">
        <v>0.92</v>
      </c>
    </row>
    <row r="3">
      <c r="A3" s="7" t="inlineStr">
        <is>
          <t>Fecha</t>
        </is>
      </c>
      <c r="B3" s="7" t="inlineStr">
        <is>
          <t>Semana</t>
        </is>
      </c>
      <c r="C3" s="7" t="inlineStr">
        <is>
          <t>Pasarela</t>
        </is>
      </c>
      <c r="D3" s="7" t="inlineStr">
        <is>
          <t>Moneda</t>
        </is>
      </c>
      <c r="E3" s="7" t="inlineStr">
        <is>
          <t>Ventas (orig)</t>
        </is>
      </c>
      <c r="F3" s="7" t="inlineStr">
        <is>
          <t>Ventas Netas (orig)</t>
        </is>
      </c>
      <c r="G3" s="7" t="inlineStr">
        <is>
          <t>Payout (orig)</t>
        </is>
      </c>
      <c r="H3" s="7" t="inlineStr">
        <is>
          <t>Ventas (€)</t>
        </is>
      </c>
      <c r="I3" s="7" t="inlineStr">
        <is>
          <t>Ventas Netas (€)</t>
        </is>
      </c>
      <c r="J3" s="7" t="inlineStr">
        <is>
          <t>Payout (€)</t>
        </is>
      </c>
    </row>
    <row r="4">
      <c r="A4" s="8" t="n">
        <v>45922</v>
      </c>
      <c r="B4" t="inlineStr">
        <is>
          <t>2025-W39</t>
        </is>
      </c>
      <c r="C4" t="inlineStr">
        <is>
          <t>Nuvei</t>
        </is>
      </c>
      <c r="D4" t="inlineStr">
        <is>
          <t>EUR</t>
        </is>
      </c>
      <c r="E4" s="9" t="n">
        <v>13.55</v>
      </c>
      <c r="F4" s="9" t="n">
        <v>13.14</v>
      </c>
      <c r="G4" s="9" t="n">
        <v>0</v>
      </c>
      <c r="H4" s="9">
        <f>IF(D4="USD",E4*$L$1,E4)</f>
        <v/>
      </c>
      <c r="I4" s="9">
        <f>IF(D4="USD",F4*$L$1,F4)</f>
        <v/>
      </c>
      <c r="J4" s="9">
        <f>IF(D4="USD",G4*$L$1,G4)</f>
        <v/>
      </c>
    </row>
    <row r="5">
      <c r="A5" s="8" t="n">
        <v>45922</v>
      </c>
      <c r="B5" t="inlineStr">
        <is>
          <t>2025-W39</t>
        </is>
      </c>
      <c r="C5" t="inlineStr">
        <is>
          <t>Nuvei</t>
        </is>
      </c>
      <c r="D5" t="inlineStr">
        <is>
          <t>EUR</t>
        </is>
      </c>
      <c r="E5" s="9" t="n">
        <v>-47.2</v>
      </c>
      <c r="F5" s="9" t="n">
        <v>-47.2</v>
      </c>
      <c r="G5" s="9" t="n">
        <v>0</v>
      </c>
      <c r="H5" s="9">
        <f>IF(D5="USD",E5*$L$1,E5)</f>
        <v/>
      </c>
      <c r="I5" s="9">
        <f>IF(D5="USD",F5*$L$1,F5)</f>
        <v/>
      </c>
      <c r="J5" s="9">
        <f>IF(D5="USD",G5*$L$1,G5)</f>
        <v/>
      </c>
    </row>
    <row r="6">
      <c r="A6" s="8" t="n">
        <v>45923</v>
      </c>
      <c r="B6" t="inlineStr">
        <is>
          <t>2025-W39</t>
        </is>
      </c>
      <c r="C6" t="inlineStr">
        <is>
          <t>Nuvei</t>
        </is>
      </c>
      <c r="D6" t="inlineStr">
        <is>
          <t>EUR</t>
        </is>
      </c>
      <c r="E6" s="9" t="n">
        <v>56724.58</v>
      </c>
      <c r="F6" s="9" t="n">
        <v>55937.39</v>
      </c>
      <c r="G6" s="9" t="n">
        <v>0</v>
      </c>
      <c r="H6" s="9">
        <f>IF(D6="USD",E6*$L$1,E6)</f>
        <v/>
      </c>
      <c r="I6" s="9">
        <f>IF(D6="USD",F6*$L$1,F6)</f>
        <v/>
      </c>
      <c r="J6" s="9">
        <f>IF(D6="USD",G6*$L$1,G6)</f>
        <v/>
      </c>
    </row>
    <row r="7">
      <c r="A7" s="8" t="n">
        <v>45923</v>
      </c>
      <c r="B7" t="inlineStr">
        <is>
          <t>2025-W39</t>
        </is>
      </c>
      <c r="C7" t="inlineStr">
        <is>
          <t>Nuvei</t>
        </is>
      </c>
      <c r="D7" t="inlineStr">
        <is>
          <t>EUR</t>
        </is>
      </c>
      <c r="E7" s="9" t="n">
        <v>114.44</v>
      </c>
      <c r="F7" s="9" t="n">
        <v>112.9836</v>
      </c>
      <c r="G7" s="9" t="n">
        <v>0</v>
      </c>
      <c r="H7" s="9">
        <f>IF(D7="USD",E7*$L$1,E7)</f>
        <v/>
      </c>
      <c r="I7" s="9">
        <f>IF(D7="USD",F7*$L$1,F7)</f>
        <v/>
      </c>
      <c r="J7" s="9">
        <f>IF(D7="USD",G7*$L$1,G7)</f>
        <v/>
      </c>
    </row>
    <row r="8">
      <c r="A8" s="8" t="n">
        <v>45924</v>
      </c>
      <c r="B8" t="inlineStr">
        <is>
          <t>2025-W39</t>
        </is>
      </c>
      <c r="C8" t="inlineStr">
        <is>
          <t>Nuvei</t>
        </is>
      </c>
      <c r="D8" t="inlineStr">
        <is>
          <t>EUR</t>
        </is>
      </c>
      <c r="E8" s="9" t="n">
        <v>48289.18</v>
      </c>
      <c r="F8" s="9" t="n">
        <v>47721.74</v>
      </c>
      <c r="G8" s="9" t="n">
        <v>0</v>
      </c>
      <c r="H8" s="9">
        <f>IF(D8="USD",E8*$L$1,E8)</f>
        <v/>
      </c>
      <c r="I8" s="9">
        <f>IF(D8="USD",F8*$L$1,F8)</f>
        <v/>
      </c>
      <c r="J8" s="9">
        <f>IF(D8="USD",G8*$L$1,G8)</f>
        <v/>
      </c>
    </row>
    <row r="9">
      <c r="A9" s="8" t="n">
        <v>45924</v>
      </c>
      <c r="B9" t="inlineStr">
        <is>
          <t>2025-W39</t>
        </is>
      </c>
      <c r="C9" t="inlineStr">
        <is>
          <t>Nuvei</t>
        </is>
      </c>
      <c r="D9" t="inlineStr">
        <is>
          <t>EUR</t>
        </is>
      </c>
      <c r="E9" s="9" t="n">
        <v>0</v>
      </c>
      <c r="F9" s="9" t="n">
        <v>0</v>
      </c>
      <c r="G9" s="9" t="n">
        <v>0</v>
      </c>
      <c r="H9" s="9">
        <f>IF(D9="USD",E9*$L$1,E9)</f>
        <v/>
      </c>
      <c r="I9" s="9">
        <f>IF(D9="USD",F9*$L$1,F9)</f>
        <v/>
      </c>
      <c r="J9" s="9">
        <f>IF(D9="USD",G9*$L$1,G9)</f>
        <v/>
      </c>
    </row>
    <row r="10">
      <c r="A10" s="8" t="n">
        <v>45925</v>
      </c>
      <c r="B10" t="inlineStr">
        <is>
          <t>2025-W39</t>
        </is>
      </c>
      <c r="C10" t="inlineStr">
        <is>
          <t>Nuvei</t>
        </is>
      </c>
      <c r="D10" t="inlineStr">
        <is>
          <t>EUR</t>
        </is>
      </c>
      <c r="E10" s="9" t="n">
        <v>235798.38</v>
      </c>
      <c r="F10" s="9" t="n">
        <v>233073.56</v>
      </c>
      <c r="G10" s="9" t="n">
        <v>0</v>
      </c>
      <c r="H10" s="9">
        <f>IF(D10="USD",E10*$L$1,E10)</f>
        <v/>
      </c>
      <c r="I10" s="9">
        <f>IF(D10="USD",F10*$L$1,F10)</f>
        <v/>
      </c>
      <c r="J10" s="9">
        <f>IF(D10="USD",G10*$L$1,G10)</f>
        <v/>
      </c>
    </row>
    <row r="11">
      <c r="A11" s="8" t="n">
        <v>45925</v>
      </c>
      <c r="B11" t="inlineStr">
        <is>
          <t>2025-W39</t>
        </is>
      </c>
      <c r="C11" t="inlineStr">
        <is>
          <t>Nuvei</t>
        </is>
      </c>
      <c r="D11" t="inlineStr">
        <is>
          <t>EUR</t>
        </is>
      </c>
      <c r="E11" s="9" t="n">
        <v>103.73</v>
      </c>
      <c r="F11" s="9" t="n">
        <v>103.2503</v>
      </c>
      <c r="G11" s="9" t="n">
        <v>0</v>
      </c>
      <c r="H11" s="9">
        <f>IF(D11="USD",E11*$L$1,E11)</f>
        <v/>
      </c>
      <c r="I11" s="9">
        <f>IF(D11="USD",F11*$L$1,F11)</f>
        <v/>
      </c>
      <c r="J11" s="9">
        <f>IF(D11="USD",G11*$L$1,G11)</f>
        <v/>
      </c>
    </row>
    <row r="12">
      <c r="A12" s="8" t="n">
        <v>45926</v>
      </c>
      <c r="B12" t="inlineStr">
        <is>
          <t>2025-W39</t>
        </is>
      </c>
      <c r="C12" t="inlineStr">
        <is>
          <t>Nuvei</t>
        </is>
      </c>
      <c r="D12" t="inlineStr">
        <is>
          <t>EUR</t>
        </is>
      </c>
      <c r="E12" s="9" t="n">
        <v>299439.68</v>
      </c>
      <c r="F12" s="9" t="n">
        <v>295787.02</v>
      </c>
      <c r="G12" s="9" t="n">
        <v>0</v>
      </c>
      <c r="H12" s="9">
        <f>IF(D12="USD",E12*$L$1,E12)</f>
        <v/>
      </c>
      <c r="I12" s="9">
        <f>IF(D12="USD",F12*$L$1,F12)</f>
        <v/>
      </c>
      <c r="J12" s="9">
        <f>IF(D12="USD",G12*$L$1,G12)</f>
        <v/>
      </c>
    </row>
    <row r="13">
      <c r="A13" s="8" t="n">
        <v>45926</v>
      </c>
      <c r="B13" t="inlineStr">
        <is>
          <t>2025-W39</t>
        </is>
      </c>
      <c r="C13" t="inlineStr">
        <is>
          <t>Nuvei</t>
        </is>
      </c>
      <c r="D13" t="inlineStr">
        <is>
          <t>EUR</t>
        </is>
      </c>
      <c r="E13" s="9" t="n">
        <v>30</v>
      </c>
      <c r="F13" s="9" t="n">
        <v>29.828</v>
      </c>
      <c r="G13" s="9" t="n">
        <v>0</v>
      </c>
      <c r="H13" s="9">
        <f>IF(D13="USD",E13*$L$1,E13)</f>
        <v/>
      </c>
      <c r="I13" s="9">
        <f>IF(D13="USD",F13*$L$1,F13)</f>
        <v/>
      </c>
      <c r="J13" s="9">
        <f>IF(D13="USD",G13*$L$1,G13)</f>
        <v/>
      </c>
    </row>
    <row r="14">
      <c r="A14" s="8" t="n">
        <v>45927</v>
      </c>
      <c r="B14" t="inlineStr">
        <is>
          <t>2025-W39</t>
        </is>
      </c>
      <c r="C14" t="inlineStr">
        <is>
          <t>Nuvei</t>
        </is>
      </c>
      <c r="D14" t="inlineStr">
        <is>
          <t>EUR</t>
        </is>
      </c>
      <c r="E14" s="9" t="n">
        <v>249151.1</v>
      </c>
      <c r="F14" s="9" t="n">
        <v>246391.48</v>
      </c>
      <c r="G14" s="9" t="n">
        <v>0</v>
      </c>
      <c r="H14" s="9">
        <f>IF(D14="USD",E14*$L$1,E14)</f>
        <v/>
      </c>
      <c r="I14" s="9">
        <f>IF(D14="USD",F14*$L$1,F14)</f>
        <v/>
      </c>
      <c r="J14" s="9">
        <f>IF(D14="USD",G14*$L$1,G14)</f>
        <v/>
      </c>
    </row>
    <row r="15">
      <c r="A15" s="8" t="n">
        <v>45927</v>
      </c>
      <c r="B15" t="inlineStr">
        <is>
          <t>2025-W39</t>
        </is>
      </c>
      <c r="C15" t="inlineStr">
        <is>
          <t>Nuvei</t>
        </is>
      </c>
      <c r="D15" t="inlineStr">
        <is>
          <t>EUR</t>
        </is>
      </c>
      <c r="E15" s="9" t="n">
        <v>393.36</v>
      </c>
      <c r="F15" s="9" t="n">
        <v>389.9828</v>
      </c>
      <c r="G15" s="9" t="n">
        <v>0</v>
      </c>
      <c r="H15" s="9">
        <f>IF(D15="USD",E15*$L$1,E15)</f>
        <v/>
      </c>
      <c r="I15" s="9">
        <f>IF(D15="USD",F15*$L$1,F15)</f>
        <v/>
      </c>
      <c r="J15" s="9">
        <f>IF(D15="USD",G15*$L$1,G15)</f>
        <v/>
      </c>
    </row>
    <row r="16">
      <c r="A16" s="8" t="n">
        <v>45928</v>
      </c>
      <c r="B16" t="inlineStr">
        <is>
          <t>2025-W39</t>
        </is>
      </c>
      <c r="C16" t="inlineStr">
        <is>
          <t>Nuvei</t>
        </is>
      </c>
      <c r="D16" t="inlineStr">
        <is>
          <t>EUR</t>
        </is>
      </c>
      <c r="E16" s="9" t="n">
        <v>330487.59</v>
      </c>
      <c r="F16" s="9" t="n">
        <v>326958.95</v>
      </c>
      <c r="G16" s="9" t="n">
        <v>0</v>
      </c>
      <c r="H16" s="9">
        <f>IF(D16="USD",E16*$L$1,E16)</f>
        <v/>
      </c>
      <c r="I16" s="9">
        <f>IF(D16="USD",F16*$L$1,F16)</f>
        <v/>
      </c>
      <c r="J16" s="9">
        <f>IF(D16="USD",G16*$L$1,G16)</f>
        <v/>
      </c>
    </row>
    <row r="17">
      <c r="A17" s="8" t="n">
        <v>45928</v>
      </c>
      <c r="B17" t="inlineStr">
        <is>
          <t>2025-W39</t>
        </is>
      </c>
      <c r="C17" t="inlineStr">
        <is>
          <t>Nuvei</t>
        </is>
      </c>
      <c r="D17" t="inlineStr">
        <is>
          <t>EUR</t>
        </is>
      </c>
      <c r="E17" s="9" t="n">
        <v>65</v>
      </c>
      <c r="F17" s="9" t="n">
        <v>63.7922</v>
      </c>
      <c r="G17" s="9" t="n">
        <v>0</v>
      </c>
      <c r="H17" s="9">
        <f>IF(D17="USD",E17*$L$1,E17)</f>
        <v/>
      </c>
      <c r="I17" s="9">
        <f>IF(D17="USD",F17*$L$1,F17)</f>
        <v/>
      </c>
      <c r="J17" s="9">
        <f>IF(D17="USD",G17*$L$1,G17)</f>
        <v/>
      </c>
    </row>
    <row r="18">
      <c r="A18" s="8" t="n">
        <v>45929</v>
      </c>
      <c r="B18" t="inlineStr">
        <is>
          <t>2025-W40</t>
        </is>
      </c>
      <c r="C18" t="inlineStr">
        <is>
          <t>Nuvei</t>
        </is>
      </c>
      <c r="D18" t="inlineStr">
        <is>
          <t>EUR</t>
        </is>
      </c>
      <c r="E18" s="9" t="n">
        <v>356726.9</v>
      </c>
      <c r="F18" s="9" t="n">
        <v>352530.1800000001</v>
      </c>
      <c r="G18" s="9" t="n">
        <v>0</v>
      </c>
      <c r="H18" s="9">
        <f>IF(D18="USD",E18*$L$1,E18)</f>
        <v/>
      </c>
      <c r="I18" s="9">
        <f>IF(D18="USD",F18*$L$1,F18)</f>
        <v/>
      </c>
      <c r="J18" s="9">
        <f>IF(D18="USD",G18*$L$1,G18)</f>
        <v/>
      </c>
    </row>
    <row r="19">
      <c r="A19" s="8" t="n">
        <v>45929</v>
      </c>
      <c r="B19" t="inlineStr">
        <is>
          <t>2025-W40</t>
        </is>
      </c>
      <c r="C19" t="inlineStr">
        <is>
          <t>Nuvei</t>
        </is>
      </c>
      <c r="D19" t="inlineStr">
        <is>
          <t>EUR</t>
        </is>
      </c>
      <c r="E19" s="9" t="n">
        <v>171.95</v>
      </c>
      <c r="F19" s="9" t="n">
        <v>170.7635</v>
      </c>
      <c r="G19" s="9" t="n">
        <v>0</v>
      </c>
      <c r="H19" s="9">
        <f>IF(D19="USD",E19*$L$1,E19)</f>
        <v/>
      </c>
      <c r="I19" s="9">
        <f>IF(D19="USD",F19*$L$1,F19)</f>
        <v/>
      </c>
      <c r="J19" s="9">
        <f>IF(D19="USD",G19*$L$1,G19)</f>
        <v/>
      </c>
    </row>
    <row r="20">
      <c r="A20" s="8" t="n">
        <v>45930</v>
      </c>
      <c r="B20" t="inlineStr">
        <is>
          <t>2025-W40</t>
        </is>
      </c>
      <c r="C20" t="inlineStr">
        <is>
          <t>Nuvei</t>
        </is>
      </c>
      <c r="D20" t="inlineStr">
        <is>
          <t>EUR</t>
        </is>
      </c>
      <c r="E20" s="9" t="n">
        <v>380297.31</v>
      </c>
      <c r="F20" s="9" t="n">
        <v>375016.78</v>
      </c>
      <c r="G20" s="9" t="n">
        <v>0</v>
      </c>
      <c r="H20" s="9">
        <f>IF(D20="USD",E20*$L$1,E20)</f>
        <v/>
      </c>
      <c r="I20" s="9">
        <f>IF(D20="USD",F20*$L$1,F20)</f>
        <v/>
      </c>
      <c r="J20" s="9">
        <f>IF(D20="USD",G20*$L$1,G20)</f>
        <v/>
      </c>
    </row>
    <row r="21">
      <c r="A21" s="8" t="n">
        <v>45930</v>
      </c>
      <c r="B21" t="inlineStr">
        <is>
          <t>2025-W40</t>
        </is>
      </c>
      <c r="C21" t="inlineStr">
        <is>
          <t>Nuvei</t>
        </is>
      </c>
      <c r="D21" t="inlineStr">
        <is>
          <t>EUR</t>
        </is>
      </c>
      <c r="E21" s="9" t="n">
        <v>94.62</v>
      </c>
      <c r="F21" s="9" t="n">
        <v>94.06780000000001</v>
      </c>
      <c r="G21" s="9" t="n">
        <v>0</v>
      </c>
      <c r="H21" s="9">
        <f>IF(D21="USD",E21*$L$1,E21)</f>
        <v/>
      </c>
      <c r="I21" s="9">
        <f>IF(D21="USD",F21*$L$1,F21)</f>
        <v/>
      </c>
      <c r="J21" s="9">
        <f>IF(D21="USD",G21*$L$1,G21)</f>
        <v/>
      </c>
    </row>
    <row r="22">
      <c r="A22" s="8" t="n">
        <v>45931</v>
      </c>
      <c r="B22" t="inlineStr">
        <is>
          <t>2025-W40</t>
        </is>
      </c>
      <c r="C22" t="inlineStr">
        <is>
          <t>Nuvei</t>
        </is>
      </c>
      <c r="D22" t="inlineStr">
        <is>
          <t>EUR</t>
        </is>
      </c>
      <c r="E22" s="9" t="n">
        <v>471997.97</v>
      </c>
      <c r="F22" s="9" t="n">
        <v>466083.75</v>
      </c>
      <c r="G22" s="9" t="n">
        <v>0</v>
      </c>
      <c r="H22" s="9">
        <f>IF(D22="USD",E22*$L$1,E22)</f>
        <v/>
      </c>
      <c r="I22" s="9">
        <f>IF(D22="USD",F22*$L$1,F22)</f>
        <v/>
      </c>
      <c r="J22" s="9">
        <f>IF(D22="USD",G22*$L$1,G22)</f>
        <v/>
      </c>
    </row>
    <row r="23">
      <c r="A23" s="8" t="n">
        <v>45931</v>
      </c>
      <c r="B23" t="inlineStr">
        <is>
          <t>2025-W40</t>
        </is>
      </c>
      <c r="C23" t="inlineStr">
        <is>
          <t>Nuvei</t>
        </is>
      </c>
      <c r="D23" t="inlineStr">
        <is>
          <t>EUR</t>
        </is>
      </c>
      <c r="E23" s="9" t="n">
        <v>386.57</v>
      </c>
      <c r="F23" s="9" t="n">
        <v>384.7199</v>
      </c>
      <c r="G23" s="9" t="n">
        <v>0</v>
      </c>
      <c r="H23" s="9">
        <f>IF(D23="USD",E23*$L$1,E23)</f>
        <v/>
      </c>
      <c r="I23" s="9">
        <f>IF(D23="USD",F23*$L$1,F23)</f>
        <v/>
      </c>
      <c r="J23" s="9">
        <f>IF(D23="USD",G23*$L$1,G23)</f>
        <v/>
      </c>
    </row>
    <row r="24">
      <c r="A24" s="8" t="n">
        <v>45932</v>
      </c>
      <c r="B24" t="inlineStr">
        <is>
          <t>2025-W40</t>
        </is>
      </c>
      <c r="C24" t="inlineStr">
        <is>
          <t>Nuvei</t>
        </is>
      </c>
      <c r="D24" t="inlineStr">
        <is>
          <t>EUR</t>
        </is>
      </c>
      <c r="E24" s="9" t="n">
        <v>405401.49</v>
      </c>
      <c r="F24" s="9" t="n">
        <v>400190.49</v>
      </c>
      <c r="G24" s="9" t="n">
        <v>-1933430.27</v>
      </c>
      <c r="H24" s="9">
        <f>IF(D24="USD",E24*$L$1,E24)</f>
        <v/>
      </c>
      <c r="I24" s="9">
        <f>IF(D24="USD",F24*$L$1,F24)</f>
        <v/>
      </c>
      <c r="J24" s="9">
        <f>IF(D24="USD",G24*$L$1,G24)</f>
        <v/>
      </c>
    </row>
    <row r="25">
      <c r="A25" s="8" t="n">
        <v>45932</v>
      </c>
      <c r="B25" t="inlineStr">
        <is>
          <t>2025-W40</t>
        </is>
      </c>
      <c r="C25" t="inlineStr">
        <is>
          <t>Nuvei</t>
        </is>
      </c>
      <c r="D25" t="inlineStr">
        <is>
          <t>EUR</t>
        </is>
      </c>
      <c r="E25" s="9" t="n">
        <v>280.17</v>
      </c>
      <c r="F25" s="9" t="n">
        <v>277.9065</v>
      </c>
      <c r="G25" s="9" t="n">
        <v>0</v>
      </c>
      <c r="H25" s="9">
        <f>IF(D25="USD",E25*$L$1,E25)</f>
        <v/>
      </c>
      <c r="I25" s="9">
        <f>IF(D25="USD",F25*$L$1,F25)</f>
        <v/>
      </c>
      <c r="J25" s="9">
        <f>IF(D25="USD",G25*$L$1,G25)</f>
        <v/>
      </c>
    </row>
    <row r="26">
      <c r="A26" s="8" t="n">
        <v>45933</v>
      </c>
      <c r="B26" t="inlineStr">
        <is>
          <t>2025-W40</t>
        </is>
      </c>
      <c r="C26" t="inlineStr">
        <is>
          <t>Nuvei</t>
        </is>
      </c>
      <c r="D26" t="inlineStr">
        <is>
          <t>EUR</t>
        </is>
      </c>
      <c r="E26" s="9" t="n">
        <v>362920.41</v>
      </c>
      <c r="F26" s="9" t="n">
        <v>358379.92</v>
      </c>
      <c r="G26" s="9" t="n">
        <v>0</v>
      </c>
      <c r="H26" s="9">
        <f>IF(D26="USD",E26*$L$1,E26)</f>
        <v/>
      </c>
      <c r="I26" s="9">
        <f>IF(D26="USD",F26*$L$1,F26)</f>
        <v/>
      </c>
      <c r="J26" s="9">
        <f>IF(D26="USD",G26*$L$1,G26)</f>
        <v/>
      </c>
    </row>
    <row r="27">
      <c r="A27" s="8" t="n">
        <v>45933</v>
      </c>
      <c r="B27" t="inlineStr">
        <is>
          <t>2025-W40</t>
        </is>
      </c>
      <c r="C27" t="inlineStr">
        <is>
          <t>Nuvei</t>
        </is>
      </c>
      <c r="D27" t="inlineStr">
        <is>
          <t>EUR</t>
        </is>
      </c>
      <c r="E27" s="9" t="n">
        <v>298</v>
      </c>
      <c r="F27" s="9" t="n">
        <v>296.314</v>
      </c>
      <c r="G27" s="9" t="n">
        <v>0</v>
      </c>
      <c r="H27" s="9">
        <f>IF(D27="USD",E27*$L$1,E27)</f>
        <v/>
      </c>
      <c r="I27" s="9">
        <f>IF(D27="USD",F27*$L$1,F27)</f>
        <v/>
      </c>
      <c r="J27" s="9">
        <f>IF(D27="USD",G27*$L$1,G27)</f>
        <v/>
      </c>
    </row>
    <row r="28">
      <c r="A28" s="8" t="n">
        <v>45934</v>
      </c>
      <c r="B28" t="inlineStr">
        <is>
          <t>2025-W40</t>
        </is>
      </c>
      <c r="C28" t="inlineStr">
        <is>
          <t>Nuvei</t>
        </is>
      </c>
      <c r="D28" t="inlineStr">
        <is>
          <t>EUR</t>
        </is>
      </c>
      <c r="E28" s="9" t="n">
        <v>321117.45</v>
      </c>
      <c r="F28" s="9" t="n">
        <v>317183.83</v>
      </c>
      <c r="G28" s="9" t="n">
        <v>0</v>
      </c>
      <c r="H28" s="9">
        <f>IF(D28="USD",E28*$L$1,E28)</f>
        <v/>
      </c>
      <c r="I28" s="9">
        <f>IF(D28="USD",F28*$L$1,F28)</f>
        <v/>
      </c>
      <c r="J28" s="9">
        <f>IF(D28="USD",G28*$L$1,G28)</f>
        <v/>
      </c>
    </row>
    <row r="29">
      <c r="A29" s="8" t="n">
        <v>45934</v>
      </c>
      <c r="B29" t="inlineStr">
        <is>
          <t>2025-W40</t>
        </is>
      </c>
      <c r="C29" t="inlineStr">
        <is>
          <t>Nuvei</t>
        </is>
      </c>
      <c r="D29" t="inlineStr">
        <is>
          <t>EUR</t>
        </is>
      </c>
      <c r="E29" s="9" t="n">
        <v>0</v>
      </c>
      <c r="F29" s="9" t="n">
        <v>0</v>
      </c>
      <c r="G29" s="9" t="n">
        <v>0</v>
      </c>
      <c r="H29" s="9">
        <f>IF(D29="USD",E29*$L$1,E29)</f>
        <v/>
      </c>
      <c r="I29" s="9">
        <f>IF(D29="USD",F29*$L$1,F29)</f>
        <v/>
      </c>
      <c r="J29" s="9">
        <f>IF(D29="USD",G29*$L$1,G29)</f>
        <v/>
      </c>
    </row>
    <row r="30">
      <c r="A30" s="8" t="n">
        <v>45935</v>
      </c>
      <c r="B30" t="inlineStr">
        <is>
          <t>2025-W40</t>
        </is>
      </c>
      <c r="C30" t="inlineStr">
        <is>
          <t>Nuvei</t>
        </is>
      </c>
      <c r="D30" t="inlineStr">
        <is>
          <t>EUR</t>
        </is>
      </c>
      <c r="E30" s="9" t="n">
        <v>420242.38</v>
      </c>
      <c r="F30" s="9" t="n">
        <v>415235.37</v>
      </c>
      <c r="G30" s="9" t="n">
        <v>0</v>
      </c>
      <c r="H30" s="9">
        <f>IF(D30="USD",E30*$L$1,E30)</f>
        <v/>
      </c>
      <c r="I30" s="9">
        <f>IF(D30="USD",F30*$L$1,F30)</f>
        <v/>
      </c>
      <c r="J30" s="9">
        <f>IF(D30="USD",G30*$L$1,G30)</f>
        <v/>
      </c>
    </row>
    <row r="31">
      <c r="A31" s="8" t="n">
        <v>45935</v>
      </c>
      <c r="B31" t="inlineStr">
        <is>
          <t>2025-W40</t>
        </is>
      </c>
      <c r="C31" t="inlineStr">
        <is>
          <t>Nuvei</t>
        </is>
      </c>
      <c r="D31" t="inlineStr">
        <is>
          <t>EUR</t>
        </is>
      </c>
      <c r="E31" s="9" t="n">
        <v>0</v>
      </c>
      <c r="F31" s="9" t="n">
        <v>0</v>
      </c>
      <c r="G31" s="9" t="n">
        <v>0</v>
      </c>
      <c r="H31" s="9">
        <f>IF(D31="USD",E31*$L$1,E31)</f>
        <v/>
      </c>
      <c r="I31" s="9">
        <f>IF(D31="USD",F31*$L$1,F31)</f>
        <v/>
      </c>
      <c r="J31" s="9">
        <f>IF(D31="USD",G31*$L$1,G31)</f>
        <v/>
      </c>
    </row>
    <row r="32">
      <c r="A32" s="8" t="n">
        <v>45936</v>
      </c>
      <c r="B32" t="inlineStr">
        <is>
          <t>2025-W41</t>
        </is>
      </c>
      <c r="C32" t="inlineStr">
        <is>
          <t>Nuvei</t>
        </is>
      </c>
      <c r="D32" t="inlineStr">
        <is>
          <t>EUR</t>
        </is>
      </c>
      <c r="E32" s="9" t="n">
        <v>395492.84</v>
      </c>
      <c r="F32" s="9" t="n">
        <v>390582.29</v>
      </c>
      <c r="G32" s="9" t="n">
        <v>0</v>
      </c>
      <c r="H32" s="9">
        <f>IF(D32="USD",E32*$L$1,E32)</f>
        <v/>
      </c>
      <c r="I32" s="9">
        <f>IF(D32="USD",F32*$L$1,F32)</f>
        <v/>
      </c>
      <c r="J32" s="9">
        <f>IF(D32="USD",G32*$L$1,G32)</f>
        <v/>
      </c>
    </row>
    <row r="33">
      <c r="A33" s="8" t="n">
        <v>45936</v>
      </c>
      <c r="B33" t="inlineStr">
        <is>
          <t>2025-W41</t>
        </is>
      </c>
      <c r="C33" t="inlineStr">
        <is>
          <t>Nuvei</t>
        </is>
      </c>
      <c r="D33" t="inlineStr">
        <is>
          <t>EUR</t>
        </is>
      </c>
      <c r="E33" s="9" t="n">
        <v>0</v>
      </c>
      <c r="F33" s="9" t="n">
        <v>0</v>
      </c>
      <c r="G33" s="9" t="n">
        <v>0</v>
      </c>
      <c r="H33" s="9">
        <f>IF(D33="USD",E33*$L$1,E33)</f>
        <v/>
      </c>
      <c r="I33" s="9">
        <f>IF(D33="USD",F33*$L$1,F33)</f>
        <v/>
      </c>
      <c r="J33" s="9">
        <f>IF(D33="USD",G33*$L$1,G33)</f>
        <v/>
      </c>
    </row>
    <row r="34">
      <c r="A34" s="8" t="n">
        <v>45937</v>
      </c>
      <c r="B34" t="inlineStr">
        <is>
          <t>2025-W41</t>
        </is>
      </c>
      <c r="C34" t="inlineStr">
        <is>
          <t>Nuvei</t>
        </is>
      </c>
      <c r="D34" t="inlineStr">
        <is>
          <t>EUR</t>
        </is>
      </c>
      <c r="E34" s="9" t="n">
        <v>404146.78</v>
      </c>
      <c r="F34" s="9" t="n">
        <v>399017.48</v>
      </c>
      <c r="G34" s="9" t="n">
        <v>0</v>
      </c>
      <c r="H34" s="9">
        <f>IF(D34="USD",E34*$L$1,E34)</f>
        <v/>
      </c>
      <c r="I34" s="9">
        <f>IF(D34="USD",F34*$L$1,F34)</f>
        <v/>
      </c>
      <c r="J34" s="9">
        <f>IF(D34="USD",G34*$L$1,G34)</f>
        <v/>
      </c>
    </row>
    <row r="35">
      <c r="A35" s="8" t="n">
        <v>45937</v>
      </c>
      <c r="B35" t="inlineStr">
        <is>
          <t>2025-W41</t>
        </is>
      </c>
      <c r="C35" t="inlineStr">
        <is>
          <t>Nuvei</t>
        </is>
      </c>
      <c r="D35" t="inlineStr">
        <is>
          <t>EUR</t>
        </is>
      </c>
      <c r="E35" s="9" t="n">
        <v>66.81999999999999</v>
      </c>
      <c r="F35" s="9" t="n">
        <v>66.526</v>
      </c>
      <c r="G35" s="9" t="n">
        <v>0</v>
      </c>
      <c r="H35" s="9">
        <f>IF(D35="USD",E35*$L$1,E35)</f>
        <v/>
      </c>
      <c r="I35" s="9">
        <f>IF(D35="USD",F35*$L$1,F35)</f>
        <v/>
      </c>
      <c r="J35" s="9">
        <f>IF(D35="USD",G35*$L$1,G35)</f>
        <v/>
      </c>
    </row>
    <row r="36">
      <c r="A36" s="8" t="n">
        <v>45938</v>
      </c>
      <c r="B36" t="inlineStr">
        <is>
          <t>2025-W41</t>
        </is>
      </c>
      <c r="C36" t="inlineStr">
        <is>
          <t>Nuvei</t>
        </is>
      </c>
      <c r="D36" t="inlineStr">
        <is>
          <t>EUR</t>
        </is>
      </c>
      <c r="E36" s="9" t="n">
        <v>435279.63</v>
      </c>
      <c r="F36" s="9" t="n">
        <v>429642.48</v>
      </c>
      <c r="G36" s="9" t="n">
        <v>0</v>
      </c>
      <c r="H36" s="9">
        <f>IF(D36="USD",E36*$L$1,E36)</f>
        <v/>
      </c>
      <c r="I36" s="9">
        <f>IF(D36="USD",F36*$L$1,F36)</f>
        <v/>
      </c>
      <c r="J36" s="9">
        <f>IF(D36="USD",G36*$L$1,G36)</f>
        <v/>
      </c>
    </row>
    <row r="37">
      <c r="A37" s="8" t="n">
        <v>45938</v>
      </c>
      <c r="B37" t="inlineStr">
        <is>
          <t>2025-W41</t>
        </is>
      </c>
      <c r="C37" t="inlineStr">
        <is>
          <t>Nuvei</t>
        </is>
      </c>
      <c r="D37" t="inlineStr">
        <is>
          <t>EUR</t>
        </is>
      </c>
      <c r="E37" s="9" t="n">
        <v>30</v>
      </c>
      <c r="F37" s="9" t="n">
        <v>29.8617</v>
      </c>
      <c r="G37" s="9" t="n">
        <v>0</v>
      </c>
      <c r="H37" s="9">
        <f>IF(D37="USD",E37*$L$1,E37)</f>
        <v/>
      </c>
      <c r="I37" s="9">
        <f>IF(D37="USD",F37*$L$1,F37)</f>
        <v/>
      </c>
      <c r="J37" s="9">
        <f>IF(D37="USD",G37*$L$1,G37)</f>
        <v/>
      </c>
    </row>
    <row r="38">
      <c r="A38" s="8" t="n">
        <v>45939</v>
      </c>
      <c r="B38" t="inlineStr">
        <is>
          <t>2025-W41</t>
        </is>
      </c>
      <c r="C38" t="inlineStr">
        <is>
          <t>Nuvei</t>
        </is>
      </c>
      <c r="D38" t="inlineStr">
        <is>
          <t>EUR</t>
        </is>
      </c>
      <c r="E38" s="9" t="n">
        <v>385461.68</v>
      </c>
      <c r="F38" s="9" t="n">
        <v>380272.49</v>
      </c>
      <c r="G38" s="9" t="n">
        <v>-2347652.27</v>
      </c>
      <c r="H38" s="9">
        <f>IF(D38="USD",E38*$L$1,E38)</f>
        <v/>
      </c>
      <c r="I38" s="9">
        <f>IF(D38="USD",F38*$L$1,F38)</f>
        <v/>
      </c>
      <c r="J38" s="9">
        <f>IF(D38="USD",G38*$L$1,G38)</f>
        <v/>
      </c>
    </row>
    <row r="39">
      <c r="A39" s="8" t="n">
        <v>45939</v>
      </c>
      <c r="B39" t="inlineStr">
        <is>
          <t>2025-W41</t>
        </is>
      </c>
      <c r="C39" t="inlineStr">
        <is>
          <t>Nuvei</t>
        </is>
      </c>
      <c r="D39" t="inlineStr">
        <is>
          <t>EUR</t>
        </is>
      </c>
      <c r="E39" s="9" t="n">
        <v>60</v>
      </c>
      <c r="F39" s="9" t="n">
        <v>59.2905</v>
      </c>
      <c r="G39" s="9" t="n">
        <v>0</v>
      </c>
      <c r="H39" s="9">
        <f>IF(D39="USD",E39*$L$1,E39)</f>
        <v/>
      </c>
      <c r="I39" s="9">
        <f>IF(D39="USD",F39*$L$1,F39)</f>
        <v/>
      </c>
      <c r="J39" s="9">
        <f>IF(D39="USD",G39*$L$1,G39)</f>
        <v/>
      </c>
    </row>
    <row r="40">
      <c r="A40" s="8" t="n">
        <v>45940</v>
      </c>
      <c r="B40" t="inlineStr">
        <is>
          <t>2025-W41</t>
        </is>
      </c>
      <c r="C40" t="inlineStr">
        <is>
          <t>Nuvei</t>
        </is>
      </c>
      <c r="D40" t="inlineStr">
        <is>
          <t>EUR</t>
        </is>
      </c>
      <c r="E40" s="9" t="n">
        <v>371129.06</v>
      </c>
      <c r="F40" s="9" t="n">
        <v>366252.25</v>
      </c>
      <c r="G40" s="9" t="n">
        <v>0</v>
      </c>
      <c r="H40" s="9">
        <f>IF(D40="USD",E40*$L$1,E40)</f>
        <v/>
      </c>
      <c r="I40" s="9">
        <f>IF(D40="USD",F40*$L$1,F40)</f>
        <v/>
      </c>
      <c r="J40" s="9">
        <f>IF(D40="USD",G40*$L$1,G40)</f>
        <v/>
      </c>
    </row>
    <row r="41">
      <c r="A41" s="8" t="n">
        <v>45940</v>
      </c>
      <c r="B41" t="inlineStr">
        <is>
          <t>2025-W41</t>
        </is>
      </c>
      <c r="C41" t="inlineStr">
        <is>
          <t>Nuvei</t>
        </is>
      </c>
      <c r="D41" t="inlineStr">
        <is>
          <t>EUR</t>
        </is>
      </c>
      <c r="E41" s="9" t="n">
        <v>272.37</v>
      </c>
      <c r="F41" s="9" t="n">
        <v>268.5384</v>
      </c>
      <c r="G41" s="9" t="n">
        <v>0</v>
      </c>
      <c r="H41" s="9">
        <f>IF(D41="USD",E41*$L$1,E41)</f>
        <v/>
      </c>
      <c r="I41" s="9">
        <f>IF(D41="USD",F41*$L$1,F41)</f>
        <v/>
      </c>
      <c r="J41" s="9">
        <f>IF(D41="USD",G41*$L$1,G41)</f>
        <v/>
      </c>
    </row>
    <row r="42">
      <c r="A42" s="8" t="n">
        <v>45941</v>
      </c>
      <c r="B42" t="inlineStr">
        <is>
          <t>2025-W41</t>
        </is>
      </c>
      <c r="C42" t="inlineStr">
        <is>
          <t>Nuvei</t>
        </is>
      </c>
      <c r="D42" t="inlineStr">
        <is>
          <t>EUR</t>
        </is>
      </c>
      <c r="E42" s="9" t="n">
        <v>300697.54</v>
      </c>
      <c r="F42" s="9" t="n">
        <v>296906.34</v>
      </c>
      <c r="G42" s="9" t="n">
        <v>0</v>
      </c>
      <c r="H42" s="9">
        <f>IF(D42="USD",E42*$L$1,E42)</f>
        <v/>
      </c>
      <c r="I42" s="9">
        <f>IF(D42="USD",F42*$L$1,F42)</f>
        <v/>
      </c>
      <c r="J42" s="9">
        <f>IF(D42="USD",G42*$L$1,G42)</f>
        <v/>
      </c>
    </row>
    <row r="43">
      <c r="A43" s="8" t="n">
        <v>45941</v>
      </c>
      <c r="B43" t="inlineStr">
        <is>
          <t>2025-W41</t>
        </is>
      </c>
      <c r="C43" t="inlineStr">
        <is>
          <t>Nuvei</t>
        </is>
      </c>
      <c r="D43" t="inlineStr">
        <is>
          <t>EUR</t>
        </is>
      </c>
      <c r="E43" s="9" t="n">
        <v>41.12</v>
      </c>
      <c r="F43" s="9" t="n">
        <v>40.8914</v>
      </c>
      <c r="G43" s="9" t="n">
        <v>0</v>
      </c>
      <c r="H43" s="9">
        <f>IF(D43="USD",E43*$L$1,E43)</f>
        <v/>
      </c>
      <c r="I43" s="9">
        <f>IF(D43="USD",F43*$L$1,F43)</f>
        <v/>
      </c>
      <c r="J43" s="9">
        <f>IF(D43="USD",G43*$L$1,G43)</f>
        <v/>
      </c>
    </row>
    <row r="44">
      <c r="A44" s="8" t="n">
        <v>45942</v>
      </c>
      <c r="B44" t="inlineStr">
        <is>
          <t>2025-W41</t>
        </is>
      </c>
      <c r="C44" t="inlineStr">
        <is>
          <t>Nuvei</t>
        </is>
      </c>
      <c r="D44" t="inlineStr">
        <is>
          <t>EUR</t>
        </is>
      </c>
      <c r="E44" s="9" t="n">
        <v>381829.88</v>
      </c>
      <c r="F44" s="9" t="n">
        <v>377323.24</v>
      </c>
      <c r="G44" s="9" t="n">
        <v>0</v>
      </c>
      <c r="H44" s="9">
        <f>IF(D44="USD",E44*$L$1,E44)</f>
        <v/>
      </c>
      <c r="I44" s="9">
        <f>IF(D44="USD",F44*$L$1,F44)</f>
        <v/>
      </c>
      <c r="J44" s="9">
        <f>IF(D44="USD",G44*$L$1,G44)</f>
        <v/>
      </c>
    </row>
    <row r="45">
      <c r="A45" s="8" t="n">
        <v>45942</v>
      </c>
      <c r="B45" t="inlineStr">
        <is>
          <t>2025-W41</t>
        </is>
      </c>
      <c r="C45" t="inlineStr">
        <is>
          <t>Nuvei</t>
        </is>
      </c>
      <c r="D45" t="inlineStr">
        <is>
          <t>EUR</t>
        </is>
      </c>
      <c r="E45" s="9" t="n">
        <v>155</v>
      </c>
      <c r="F45" s="9" t="n">
        <v>154.1403</v>
      </c>
      <c r="G45" s="9" t="n">
        <v>0</v>
      </c>
      <c r="H45" s="9">
        <f>IF(D45="USD",E45*$L$1,E45)</f>
        <v/>
      </c>
      <c r="I45" s="9">
        <f>IF(D45="USD",F45*$L$1,F45)</f>
        <v/>
      </c>
      <c r="J45" s="9">
        <f>IF(D45="USD",G45*$L$1,G45)</f>
        <v/>
      </c>
    </row>
    <row r="46">
      <c r="A46" s="8" t="n">
        <v>45943</v>
      </c>
      <c r="B46" t="inlineStr">
        <is>
          <t>2025-W42</t>
        </is>
      </c>
      <c r="C46" t="inlineStr">
        <is>
          <t>Nuvei</t>
        </is>
      </c>
      <c r="D46" t="inlineStr">
        <is>
          <t>EUR</t>
        </is>
      </c>
      <c r="E46" s="9" t="n">
        <v>379092.38</v>
      </c>
      <c r="F46" s="9" t="n">
        <v>374415.91</v>
      </c>
      <c r="G46" s="9" t="n">
        <v>-2623826.72</v>
      </c>
      <c r="H46" s="9">
        <f>IF(D46="USD",E46*$L$1,E46)</f>
        <v/>
      </c>
      <c r="I46" s="9">
        <f>IF(D46="USD",F46*$L$1,F46)</f>
        <v/>
      </c>
      <c r="J46" s="9">
        <f>IF(D46="USD",G46*$L$1,G46)</f>
        <v/>
      </c>
    </row>
    <row r="47">
      <c r="A47" s="8" t="n">
        <v>45943</v>
      </c>
      <c r="B47" t="inlineStr">
        <is>
          <t>2025-W42</t>
        </is>
      </c>
      <c r="C47" t="inlineStr">
        <is>
          <t>Nuvei</t>
        </is>
      </c>
      <c r="D47" t="inlineStr">
        <is>
          <t>EUR</t>
        </is>
      </c>
      <c r="E47" s="9" t="n">
        <v>2228.14</v>
      </c>
      <c r="F47" s="9" t="n">
        <v>2165.3</v>
      </c>
      <c r="G47" s="9" t="n">
        <v>0</v>
      </c>
      <c r="H47" s="9">
        <f>IF(D47="USD",E47*$L$1,E47)</f>
        <v/>
      </c>
      <c r="I47" s="9">
        <f>IF(D47="USD",F47*$L$1,F47)</f>
        <v/>
      </c>
      <c r="J47" s="9">
        <f>IF(D47="USD",G47*$L$1,G47)</f>
        <v/>
      </c>
    </row>
    <row r="48">
      <c r="A48" s="8" t="n">
        <v>45944</v>
      </c>
      <c r="B48" t="inlineStr">
        <is>
          <t>2025-W42</t>
        </is>
      </c>
      <c r="C48" t="inlineStr">
        <is>
          <t>Nuvei</t>
        </is>
      </c>
      <c r="D48" t="inlineStr">
        <is>
          <t>EUR</t>
        </is>
      </c>
      <c r="E48" s="9" t="n">
        <v>454916.59</v>
      </c>
      <c r="F48" s="9" t="n">
        <v>448795.23</v>
      </c>
      <c r="G48" s="9" t="n">
        <v>0</v>
      </c>
      <c r="H48" s="9">
        <f>IF(D48="USD",E48*$L$1,E48)</f>
        <v/>
      </c>
      <c r="I48" s="9">
        <f>IF(D48="USD",F48*$L$1,F48)</f>
        <v/>
      </c>
      <c r="J48" s="9">
        <f>IF(D48="USD",G48*$L$1,G48)</f>
        <v/>
      </c>
    </row>
    <row r="49">
      <c r="A49" s="8" t="n">
        <v>45944</v>
      </c>
      <c r="B49" t="inlineStr">
        <is>
          <t>2025-W42</t>
        </is>
      </c>
      <c r="C49" t="inlineStr">
        <is>
          <t>Nuvei</t>
        </is>
      </c>
      <c r="D49" t="inlineStr">
        <is>
          <t>EUR</t>
        </is>
      </c>
      <c r="E49" s="9" t="n">
        <v>16624.58</v>
      </c>
      <c r="F49" s="9" t="n">
        <v>16171.01</v>
      </c>
      <c r="G49" s="9" t="n">
        <v>0</v>
      </c>
      <c r="H49" s="9">
        <f>IF(D49="USD",E49*$L$1,E49)</f>
        <v/>
      </c>
      <c r="I49" s="9">
        <f>IF(D49="USD",F49*$L$1,F49)</f>
        <v/>
      </c>
      <c r="J49" s="9">
        <f>IF(D49="USD",G49*$L$1,G49)</f>
        <v/>
      </c>
    </row>
    <row r="50">
      <c r="A50" s="8" t="n">
        <v>45945</v>
      </c>
      <c r="B50" t="inlineStr">
        <is>
          <t>2025-W42</t>
        </is>
      </c>
      <c r="C50" t="inlineStr">
        <is>
          <t>Nuvei</t>
        </is>
      </c>
      <c r="D50" t="inlineStr">
        <is>
          <t>EUR</t>
        </is>
      </c>
      <c r="E50" s="9" t="n">
        <v>412805.26</v>
      </c>
      <c r="F50" s="9" t="n">
        <v>407540.18</v>
      </c>
      <c r="G50" s="9" t="n">
        <v>0</v>
      </c>
      <c r="H50" s="9">
        <f>IF(D50="USD",E50*$L$1,E50)</f>
        <v/>
      </c>
      <c r="I50" s="9">
        <f>IF(D50="USD",F50*$L$1,F50)</f>
        <v/>
      </c>
      <c r="J50" s="9">
        <f>IF(D50="USD",G50*$L$1,G50)</f>
        <v/>
      </c>
    </row>
    <row r="51">
      <c r="A51" s="8" t="n">
        <v>45945</v>
      </c>
      <c r="B51" t="inlineStr">
        <is>
          <t>2025-W42</t>
        </is>
      </c>
      <c r="C51" t="inlineStr">
        <is>
          <t>Nuvei</t>
        </is>
      </c>
      <c r="D51" t="inlineStr">
        <is>
          <t>EUR</t>
        </is>
      </c>
      <c r="E51" s="9" t="n">
        <v>35237.93</v>
      </c>
      <c r="F51" s="9" t="n">
        <v>34249.02</v>
      </c>
      <c r="G51" s="9" t="n">
        <v>0</v>
      </c>
      <c r="H51" s="9">
        <f>IF(D51="USD",E51*$L$1,E51)</f>
        <v/>
      </c>
      <c r="I51" s="9">
        <f>IF(D51="USD",F51*$L$1,F51)</f>
        <v/>
      </c>
      <c r="J51" s="9">
        <f>IF(D51="USD",G51*$L$1,G51)</f>
        <v/>
      </c>
    </row>
    <row r="52">
      <c r="A52" s="8" t="n">
        <v>45946</v>
      </c>
      <c r="B52" t="inlineStr">
        <is>
          <t>2025-W42</t>
        </is>
      </c>
      <c r="C52" t="inlineStr">
        <is>
          <t>Nuvei</t>
        </is>
      </c>
      <c r="D52" t="inlineStr">
        <is>
          <t>EUR</t>
        </is>
      </c>
      <c r="E52" s="9" t="n">
        <v>296497.01</v>
      </c>
      <c r="F52" s="9" t="n">
        <v>292052.62</v>
      </c>
      <c r="G52" s="9" t="n">
        <v>0</v>
      </c>
      <c r="H52" s="9">
        <f>IF(D52="USD",E52*$L$1,E52)</f>
        <v/>
      </c>
      <c r="I52" s="9">
        <f>IF(D52="USD",F52*$L$1,F52)</f>
        <v/>
      </c>
      <c r="J52" s="9">
        <f>IF(D52="USD",G52*$L$1,G52)</f>
        <v/>
      </c>
    </row>
    <row r="53">
      <c r="A53" s="8" t="n">
        <v>45946</v>
      </c>
      <c r="B53" t="inlineStr">
        <is>
          <t>2025-W42</t>
        </is>
      </c>
      <c r="C53" t="inlineStr">
        <is>
          <t>Nuvei</t>
        </is>
      </c>
      <c r="D53" t="inlineStr">
        <is>
          <t>EUR</t>
        </is>
      </c>
      <c r="E53" s="9" t="n">
        <v>27936.82</v>
      </c>
      <c r="F53" s="9" t="n">
        <v>27156.1</v>
      </c>
      <c r="G53" s="9" t="n">
        <v>0</v>
      </c>
      <c r="H53" s="9">
        <f>IF(D53="USD",E53*$L$1,E53)</f>
        <v/>
      </c>
      <c r="I53" s="9">
        <f>IF(D53="USD",F53*$L$1,F53)</f>
        <v/>
      </c>
      <c r="J53" s="9">
        <f>IF(D53="USD",G53*$L$1,G53)</f>
        <v/>
      </c>
    </row>
    <row r="54">
      <c r="A54" s="8" t="n">
        <v>45947</v>
      </c>
      <c r="B54" t="inlineStr">
        <is>
          <t>2025-W42</t>
        </is>
      </c>
      <c r="C54" t="inlineStr">
        <is>
          <t>Nuvei</t>
        </is>
      </c>
      <c r="D54" t="inlineStr">
        <is>
          <t>EUR</t>
        </is>
      </c>
      <c r="E54" s="9" t="n">
        <v>270544.88</v>
      </c>
      <c r="F54" s="9" t="n">
        <v>266566.43</v>
      </c>
      <c r="G54" s="9" t="n">
        <v>0</v>
      </c>
      <c r="H54" s="9">
        <f>IF(D54="USD",E54*$L$1,E54)</f>
        <v/>
      </c>
      <c r="I54" s="9">
        <f>IF(D54="USD",F54*$L$1,F54)</f>
        <v/>
      </c>
      <c r="J54" s="9">
        <f>IF(D54="USD",G54*$L$1,G54)</f>
        <v/>
      </c>
    </row>
    <row r="55">
      <c r="A55" s="8" t="n">
        <v>45947</v>
      </c>
      <c r="B55" t="inlineStr">
        <is>
          <t>2025-W42</t>
        </is>
      </c>
      <c r="C55" t="inlineStr">
        <is>
          <t>Nuvei</t>
        </is>
      </c>
      <c r="D55" t="inlineStr">
        <is>
          <t>EUR</t>
        </is>
      </c>
      <c r="E55" s="9" t="n">
        <v>17119.65</v>
      </c>
      <c r="F55" s="9" t="n">
        <v>16652.65</v>
      </c>
      <c r="G55" s="9" t="n">
        <v>0</v>
      </c>
      <c r="H55" s="9">
        <f>IF(D55="USD",E55*$L$1,E55)</f>
        <v/>
      </c>
      <c r="I55" s="9">
        <f>IF(D55="USD",F55*$L$1,F55)</f>
        <v/>
      </c>
      <c r="J55" s="9">
        <f>IF(D55="USD",G55*$L$1,G55)</f>
        <v/>
      </c>
    </row>
    <row r="56">
      <c r="A56" s="8" t="n">
        <v>45948</v>
      </c>
      <c r="B56" t="inlineStr">
        <is>
          <t>2025-W42</t>
        </is>
      </c>
      <c r="C56" t="inlineStr">
        <is>
          <t>Nuvei</t>
        </is>
      </c>
      <c r="D56" t="inlineStr">
        <is>
          <t>EUR</t>
        </is>
      </c>
      <c r="E56" s="9" t="n">
        <v>328457.75</v>
      </c>
      <c r="F56" s="9" t="n">
        <v>324432.5</v>
      </c>
      <c r="G56" s="9" t="n">
        <v>0</v>
      </c>
      <c r="H56" s="9">
        <f>IF(D56="USD",E56*$L$1,E56)</f>
        <v/>
      </c>
      <c r="I56" s="9">
        <f>IF(D56="USD",F56*$L$1,F56)</f>
        <v/>
      </c>
      <c r="J56" s="9">
        <f>IF(D56="USD",G56*$L$1,G56)</f>
        <v/>
      </c>
    </row>
    <row r="57">
      <c r="A57" s="8" t="n">
        <v>45948</v>
      </c>
      <c r="B57" t="inlineStr">
        <is>
          <t>2025-W42</t>
        </is>
      </c>
      <c r="C57" t="inlineStr">
        <is>
          <t>Nuvei</t>
        </is>
      </c>
      <c r="D57" t="inlineStr">
        <is>
          <t>EUR</t>
        </is>
      </c>
      <c r="E57" s="9" t="n">
        <v>8616.459999999999</v>
      </c>
      <c r="F57" s="9" t="n">
        <v>8382.08</v>
      </c>
      <c r="G57" s="9" t="n">
        <v>0</v>
      </c>
      <c r="H57" s="9">
        <f>IF(D57="USD",E57*$L$1,E57)</f>
        <v/>
      </c>
      <c r="I57" s="9">
        <f>IF(D57="USD",F57*$L$1,F57)</f>
        <v/>
      </c>
      <c r="J57" s="9">
        <f>IF(D57="USD",G57*$L$1,G57)</f>
        <v/>
      </c>
    </row>
    <row r="58">
      <c r="A58" s="8" t="n">
        <v>45949</v>
      </c>
      <c r="B58" t="inlineStr">
        <is>
          <t>2025-W42</t>
        </is>
      </c>
      <c r="C58" t="inlineStr">
        <is>
          <t>Nuvei</t>
        </is>
      </c>
      <c r="D58" t="inlineStr">
        <is>
          <t>EUR</t>
        </is>
      </c>
      <c r="E58" s="9" t="n">
        <v>420963.91</v>
      </c>
      <c r="F58" s="9" t="n">
        <v>416175.52</v>
      </c>
      <c r="G58" s="9" t="n">
        <v>0</v>
      </c>
      <c r="H58" s="9">
        <f>IF(D58="USD",E58*$L$1,E58)</f>
        <v/>
      </c>
      <c r="I58" s="9">
        <f>IF(D58="USD",F58*$L$1,F58)</f>
        <v/>
      </c>
      <c r="J58" s="9">
        <f>IF(D58="USD",G58*$L$1,G58)</f>
        <v/>
      </c>
    </row>
    <row r="59">
      <c r="A59" s="8" t="n">
        <v>45949</v>
      </c>
      <c r="B59" t="inlineStr">
        <is>
          <t>2025-W42</t>
        </is>
      </c>
      <c r="C59" t="inlineStr">
        <is>
          <t>Nuvei</t>
        </is>
      </c>
      <c r="D59" t="inlineStr">
        <is>
          <t>EUR</t>
        </is>
      </c>
      <c r="E59" s="9" t="n">
        <v>26581.49</v>
      </c>
      <c r="F59" s="9" t="n">
        <v>25836.93</v>
      </c>
      <c r="G59" s="9" t="n">
        <v>0</v>
      </c>
      <c r="H59" s="9">
        <f>IF(D59="USD",E59*$L$1,E59)</f>
        <v/>
      </c>
      <c r="I59" s="9">
        <f>IF(D59="USD",F59*$L$1,F59)</f>
        <v/>
      </c>
      <c r="J59" s="9">
        <f>IF(D59="USD",G59*$L$1,G59)</f>
        <v/>
      </c>
    </row>
    <row r="60">
      <c r="A60" s="8" t="n">
        <v>45950</v>
      </c>
      <c r="B60" t="inlineStr">
        <is>
          <t>2025-W43</t>
        </is>
      </c>
      <c r="C60" t="inlineStr">
        <is>
          <t>Nuvei</t>
        </is>
      </c>
      <c r="D60" t="inlineStr">
        <is>
          <t>EUR</t>
        </is>
      </c>
      <c r="E60" s="9" t="n">
        <v>399540.08</v>
      </c>
      <c r="F60" s="9" t="n">
        <v>394329.74</v>
      </c>
      <c r="G60" s="9" t="n">
        <v>-2549888.74</v>
      </c>
      <c r="H60" s="9">
        <f>IF(D60="USD",E60*$L$1,E60)</f>
        <v/>
      </c>
      <c r="I60" s="9">
        <f>IF(D60="USD",F60*$L$1,F60)</f>
        <v/>
      </c>
      <c r="J60" s="9">
        <f>IF(D60="USD",G60*$L$1,G60)</f>
        <v/>
      </c>
    </row>
    <row r="61">
      <c r="A61" s="8" t="n">
        <v>45950</v>
      </c>
      <c r="B61" t="inlineStr">
        <is>
          <t>2025-W43</t>
        </is>
      </c>
      <c r="C61" t="inlineStr">
        <is>
          <t>Nuvei</t>
        </is>
      </c>
      <c r="D61" t="inlineStr">
        <is>
          <t>EUR</t>
        </is>
      </c>
      <c r="E61" s="9" t="n">
        <v>24248.7</v>
      </c>
      <c r="F61" s="9" t="n">
        <v>23554.91</v>
      </c>
      <c r="G61" s="9" t="n">
        <v>-156663.64</v>
      </c>
      <c r="H61" s="9">
        <f>IF(D61="USD",E61*$L$1,E61)</f>
        <v/>
      </c>
      <c r="I61" s="9">
        <f>IF(D61="USD",F61*$L$1,F61)</f>
        <v/>
      </c>
      <c r="J61" s="9">
        <f>IF(D61="USD",G61*$L$1,G61)</f>
        <v/>
      </c>
    </row>
    <row r="62">
      <c r="A62" s="8" t="n">
        <v>45951</v>
      </c>
      <c r="B62" t="inlineStr">
        <is>
          <t>2025-W43</t>
        </is>
      </c>
      <c r="C62" t="inlineStr">
        <is>
          <t>Nuvei</t>
        </is>
      </c>
      <c r="D62" t="inlineStr">
        <is>
          <t>EUR</t>
        </is>
      </c>
      <c r="E62" s="9" t="n">
        <v>447240.49</v>
      </c>
      <c r="F62" s="9" t="n">
        <v>441853.06</v>
      </c>
      <c r="G62" s="9" t="n">
        <v>0</v>
      </c>
      <c r="H62" s="9">
        <f>IF(D62="USD",E62*$L$1,E62)</f>
        <v/>
      </c>
      <c r="I62" s="9">
        <f>IF(D62="USD",F62*$L$1,F62)</f>
        <v/>
      </c>
      <c r="J62" s="9">
        <f>IF(D62="USD",G62*$L$1,G62)</f>
        <v/>
      </c>
    </row>
    <row r="63">
      <c r="A63" s="8" t="n">
        <v>45951</v>
      </c>
      <c r="B63" t="inlineStr">
        <is>
          <t>2025-W43</t>
        </is>
      </c>
      <c r="C63" t="inlineStr">
        <is>
          <t>Nuvei</t>
        </is>
      </c>
      <c r="D63" t="inlineStr">
        <is>
          <t>EUR</t>
        </is>
      </c>
      <c r="E63" s="9" t="n">
        <v>20930.35</v>
      </c>
      <c r="F63" s="9" t="n">
        <v>20335.84</v>
      </c>
      <c r="G63" s="9" t="n">
        <v>0</v>
      </c>
      <c r="H63" s="9">
        <f>IF(D63="USD",E63*$L$1,E63)</f>
        <v/>
      </c>
      <c r="I63" s="9">
        <f>IF(D63="USD",F63*$L$1,F63)</f>
        <v/>
      </c>
      <c r="J63" s="9">
        <f>IF(D63="USD",G63*$L$1,G63)</f>
        <v/>
      </c>
    </row>
    <row r="64">
      <c r="A64" s="8" t="n">
        <v>45952</v>
      </c>
      <c r="B64" t="inlineStr">
        <is>
          <t>2025-W43</t>
        </is>
      </c>
      <c r="C64" t="inlineStr">
        <is>
          <t>Nuvei</t>
        </is>
      </c>
      <c r="D64" t="inlineStr">
        <is>
          <t>EUR</t>
        </is>
      </c>
      <c r="E64" s="9" t="n">
        <v>453343.35</v>
      </c>
      <c r="F64" s="9" t="n">
        <v>447390.4</v>
      </c>
      <c r="G64" s="9" t="n">
        <v>0</v>
      </c>
      <c r="H64" s="9">
        <f>IF(D64="USD",E64*$L$1,E64)</f>
        <v/>
      </c>
      <c r="I64" s="9">
        <f>IF(D64="USD",F64*$L$1,F64)</f>
        <v/>
      </c>
      <c r="J64" s="9">
        <f>IF(D64="USD",G64*$L$1,G64)</f>
        <v/>
      </c>
    </row>
    <row r="65">
      <c r="A65" s="8" t="n">
        <v>45952</v>
      </c>
      <c r="B65" t="inlineStr">
        <is>
          <t>2025-W43</t>
        </is>
      </c>
      <c r="C65" t="inlineStr">
        <is>
          <t>Nuvei</t>
        </is>
      </c>
      <c r="D65" t="inlineStr">
        <is>
          <t>EUR</t>
        </is>
      </c>
      <c r="E65" s="9" t="n">
        <v>26681.68</v>
      </c>
      <c r="F65" s="9" t="n">
        <v>25941.02</v>
      </c>
      <c r="G65" s="9" t="n">
        <v>0</v>
      </c>
      <c r="H65" s="9">
        <f>IF(D65="USD",E65*$L$1,E65)</f>
        <v/>
      </c>
      <c r="I65" s="9">
        <f>IF(D65="USD",F65*$L$1,F65)</f>
        <v/>
      </c>
      <c r="J65" s="9">
        <f>IF(D65="USD",G65*$L$1,G65)</f>
        <v/>
      </c>
    </row>
    <row r="66">
      <c r="A66" s="8" t="n">
        <v>45953</v>
      </c>
      <c r="B66" t="inlineStr">
        <is>
          <t>2025-W43</t>
        </is>
      </c>
      <c r="C66" t="inlineStr">
        <is>
          <t>Nuvei</t>
        </is>
      </c>
      <c r="D66" t="inlineStr">
        <is>
          <t>EUR</t>
        </is>
      </c>
      <c r="E66" s="9" t="n">
        <v>399176.51</v>
      </c>
      <c r="F66" s="9" t="n">
        <v>393901.1</v>
      </c>
      <c r="G66" s="9" t="n">
        <v>0</v>
      </c>
      <c r="H66" s="9">
        <f>IF(D66="USD",E66*$L$1,E66)</f>
        <v/>
      </c>
      <c r="I66" s="9">
        <f>IF(D66="USD",F66*$L$1,F66)</f>
        <v/>
      </c>
      <c r="J66" s="9">
        <f>IF(D66="USD",G66*$L$1,G66)</f>
        <v/>
      </c>
    </row>
    <row r="67">
      <c r="A67" s="8" t="n">
        <v>45953</v>
      </c>
      <c r="B67" t="inlineStr">
        <is>
          <t>2025-W43</t>
        </is>
      </c>
      <c r="C67" t="inlineStr">
        <is>
          <t>Nuvei</t>
        </is>
      </c>
      <c r="D67" t="inlineStr">
        <is>
          <t>EUR</t>
        </is>
      </c>
      <c r="E67" s="9" t="n">
        <v>29250.42</v>
      </c>
      <c r="F67" s="9" t="n">
        <v>28435.86</v>
      </c>
      <c r="G67" s="9" t="n">
        <v>0</v>
      </c>
      <c r="H67" s="9">
        <f>IF(D67="USD",E67*$L$1,E67)</f>
        <v/>
      </c>
      <c r="I67" s="9">
        <f>IF(D67="USD",F67*$L$1,F67)</f>
        <v/>
      </c>
      <c r="J67" s="9">
        <f>IF(D67="USD",G67*$L$1,G67)</f>
        <v/>
      </c>
    </row>
    <row r="68">
      <c r="A68" s="8" t="n">
        <v>45954</v>
      </c>
      <c r="B68" t="inlineStr">
        <is>
          <t>2025-W43</t>
        </is>
      </c>
      <c r="C68" t="inlineStr">
        <is>
          <t>Nuvei</t>
        </is>
      </c>
      <c r="D68" t="inlineStr">
        <is>
          <t>EUR</t>
        </is>
      </c>
      <c r="E68" s="9" t="n">
        <v>350303.89</v>
      </c>
      <c r="F68" s="9" t="n">
        <v>344824.3</v>
      </c>
      <c r="G68" s="9" t="n">
        <v>0</v>
      </c>
      <c r="H68" s="9">
        <f>IF(D68="USD",E68*$L$1,E68)</f>
        <v/>
      </c>
      <c r="I68" s="9">
        <f>IF(D68="USD",F68*$L$1,F68)</f>
        <v/>
      </c>
      <c r="J68" s="9">
        <f>IF(D68="USD",G68*$L$1,G68)</f>
        <v/>
      </c>
    </row>
    <row r="69">
      <c r="A69" s="8" t="n">
        <v>45954</v>
      </c>
      <c r="B69" t="inlineStr">
        <is>
          <t>2025-W43</t>
        </is>
      </c>
      <c r="C69" t="inlineStr">
        <is>
          <t>Nuvei</t>
        </is>
      </c>
      <c r="D69" t="inlineStr">
        <is>
          <t>EUR</t>
        </is>
      </c>
      <c r="E69" s="9" t="n">
        <v>15762.98</v>
      </c>
      <c r="F69" s="9" t="n">
        <v>15329.84</v>
      </c>
      <c r="G69" s="9" t="n">
        <v>0</v>
      </c>
      <c r="H69" s="9">
        <f>IF(D69="USD",E69*$L$1,E69)</f>
        <v/>
      </c>
      <c r="I69" s="9">
        <f>IF(D69="USD",F69*$L$1,F69)</f>
        <v/>
      </c>
      <c r="J69" s="9">
        <f>IF(D69="USD",G69*$L$1,G69)</f>
        <v/>
      </c>
    </row>
    <row r="70">
      <c r="A70" s="8" t="n">
        <v>45955</v>
      </c>
      <c r="B70" t="inlineStr">
        <is>
          <t>2025-W43</t>
        </is>
      </c>
      <c r="C70" t="inlineStr">
        <is>
          <t>Nuvei</t>
        </is>
      </c>
      <c r="D70" t="inlineStr">
        <is>
          <t>EUR</t>
        </is>
      </c>
      <c r="E70" s="9" t="n">
        <v>377439.61</v>
      </c>
      <c r="F70" s="9" t="n">
        <v>374661.72</v>
      </c>
      <c r="G70" s="9" t="n">
        <v>0</v>
      </c>
      <c r="H70" s="9">
        <f>IF(D70="USD",E70*$L$1,E70)</f>
        <v/>
      </c>
      <c r="I70" s="9">
        <f>IF(D70="USD",F70*$L$1,F70)</f>
        <v/>
      </c>
      <c r="J70" s="9">
        <f>IF(D70="USD",G70*$L$1,G70)</f>
        <v/>
      </c>
    </row>
    <row r="71">
      <c r="A71" s="8" t="n">
        <v>45955</v>
      </c>
      <c r="B71" t="inlineStr">
        <is>
          <t>2025-W43</t>
        </is>
      </c>
      <c r="C71" t="inlineStr">
        <is>
          <t>Nuvei</t>
        </is>
      </c>
      <c r="D71" t="inlineStr">
        <is>
          <t>EUR</t>
        </is>
      </c>
      <c r="E71" s="9" t="n">
        <v>15935.52</v>
      </c>
      <c r="F71" s="9" t="n">
        <v>15708.19</v>
      </c>
      <c r="G71" s="9" t="n">
        <v>0</v>
      </c>
      <c r="H71" s="9">
        <f>IF(D71="USD",E71*$L$1,E71)</f>
        <v/>
      </c>
      <c r="I71" s="9">
        <f>IF(D71="USD",F71*$L$1,F71)</f>
        <v/>
      </c>
      <c r="J71" s="9">
        <f>IF(D71="USD",G71*$L$1,G71)</f>
        <v/>
      </c>
    </row>
    <row r="72">
      <c r="A72" s="8" t="n">
        <v>45956</v>
      </c>
      <c r="B72" t="inlineStr">
        <is>
          <t>2025-W43</t>
        </is>
      </c>
      <c r="C72" t="inlineStr">
        <is>
          <t>Nuvei</t>
        </is>
      </c>
      <c r="D72" t="inlineStr">
        <is>
          <t>EUR</t>
        </is>
      </c>
      <c r="E72" s="9" t="n">
        <v>482274.93</v>
      </c>
      <c r="F72" s="9" t="n">
        <v>478990.08</v>
      </c>
      <c r="G72" s="9" t="n">
        <v>0</v>
      </c>
      <c r="H72" s="9">
        <f>IF(D72="USD",E72*$L$1,E72)</f>
        <v/>
      </c>
      <c r="I72" s="9">
        <f>IF(D72="USD",F72*$L$1,F72)</f>
        <v/>
      </c>
      <c r="J72" s="9">
        <f>IF(D72="USD",G72*$L$1,G72)</f>
        <v/>
      </c>
    </row>
    <row r="73">
      <c r="A73" s="8" t="n">
        <v>45956</v>
      </c>
      <c r="B73" t="inlineStr">
        <is>
          <t>2025-W43</t>
        </is>
      </c>
      <c r="C73" t="inlineStr">
        <is>
          <t>Nuvei</t>
        </is>
      </c>
      <c r="D73" t="inlineStr">
        <is>
          <t>EUR</t>
        </is>
      </c>
      <c r="E73" s="9" t="n">
        <v>27946.25</v>
      </c>
      <c r="F73" s="9" t="n">
        <v>27588.99</v>
      </c>
      <c r="G73" s="9" t="n">
        <v>0</v>
      </c>
      <c r="H73" s="9">
        <f>IF(D73="USD",E73*$L$1,E73)</f>
        <v/>
      </c>
      <c r="I73" s="9">
        <f>IF(D73="USD",F73*$L$1,F73)</f>
        <v/>
      </c>
      <c r="J73" s="9">
        <f>IF(D73="USD",G73*$L$1,G73)</f>
        <v/>
      </c>
    </row>
    <row r="74">
      <c r="A74" s="8" t="n">
        <v>45957</v>
      </c>
      <c r="B74" t="inlineStr">
        <is>
          <t>2025-W44</t>
        </is>
      </c>
      <c r="C74" t="inlineStr">
        <is>
          <t>Nuvei</t>
        </is>
      </c>
      <c r="D74" t="inlineStr">
        <is>
          <t>EUR</t>
        </is>
      </c>
      <c r="E74" s="9" t="n">
        <v>415429.51</v>
      </c>
      <c r="F74" s="9" t="n">
        <v>410721.14</v>
      </c>
      <c r="G74" s="9" t="n">
        <v>-2892338.34</v>
      </c>
      <c r="H74" s="9">
        <f>IF(D74="USD",E74*$L$1,E74)</f>
        <v/>
      </c>
      <c r="I74" s="9">
        <f>IF(D74="USD",F74*$L$1,F74)</f>
        <v/>
      </c>
      <c r="J74" s="9">
        <f>IF(D74="USD",G74*$L$1,G74)</f>
        <v/>
      </c>
    </row>
    <row r="75">
      <c r="A75" s="8" t="n">
        <v>45957</v>
      </c>
      <c r="B75" t="inlineStr">
        <is>
          <t>2025-W44</t>
        </is>
      </c>
      <c r="C75" t="inlineStr">
        <is>
          <t>Nuvei</t>
        </is>
      </c>
      <c r="D75" t="inlineStr">
        <is>
          <t>EUR</t>
        </is>
      </c>
      <c r="E75" s="9" t="n">
        <v>14806.81</v>
      </c>
      <c r="F75" s="9" t="n">
        <v>14398.12</v>
      </c>
      <c r="G75" s="9" t="n">
        <v>-147734.36</v>
      </c>
      <c r="H75" s="9">
        <f>IF(D75="USD",E75*$L$1,E75)</f>
        <v/>
      </c>
      <c r="I75" s="9">
        <f>IF(D75="USD",F75*$L$1,F75)</f>
        <v/>
      </c>
      <c r="J75" s="9">
        <f>IF(D75="USD",G75*$L$1,G75)</f>
        <v/>
      </c>
    </row>
    <row r="76">
      <c r="A76" s="8" t="n">
        <v>45958</v>
      </c>
      <c r="B76" t="inlineStr">
        <is>
          <t>2025-W44</t>
        </is>
      </c>
      <c r="C76" t="inlineStr">
        <is>
          <t>Nuvei</t>
        </is>
      </c>
      <c r="D76" t="inlineStr">
        <is>
          <t>EUR</t>
        </is>
      </c>
      <c r="E76" s="9" t="n">
        <v>472136.11</v>
      </c>
      <c r="F76" s="9" t="n">
        <v>466525.73</v>
      </c>
      <c r="G76" s="9" t="n">
        <v>0</v>
      </c>
      <c r="H76" s="9">
        <f>IF(D76="USD",E76*$L$1,E76)</f>
        <v/>
      </c>
      <c r="I76" s="9">
        <f>IF(D76="USD",F76*$L$1,F76)</f>
        <v/>
      </c>
      <c r="J76" s="9">
        <f>IF(D76="USD",G76*$L$1,G76)</f>
        <v/>
      </c>
    </row>
    <row r="77">
      <c r="A77" s="8" t="n">
        <v>45958</v>
      </c>
      <c r="B77" t="inlineStr">
        <is>
          <t>2025-W44</t>
        </is>
      </c>
      <c r="C77" t="inlineStr">
        <is>
          <t>Nuvei</t>
        </is>
      </c>
      <c r="D77" t="inlineStr">
        <is>
          <t>EUR</t>
        </is>
      </c>
      <c r="E77" s="9" t="n">
        <v>19142.97</v>
      </c>
      <c r="F77" s="9" t="n">
        <v>18602.44</v>
      </c>
      <c r="G77" s="9" t="n">
        <v>0</v>
      </c>
      <c r="H77" s="9">
        <f>IF(D77="USD",E77*$L$1,E77)</f>
        <v/>
      </c>
      <c r="I77" s="9">
        <f>IF(D77="USD",F77*$L$1,F77)</f>
        <v/>
      </c>
      <c r="J77" s="9">
        <f>IF(D77="USD",G77*$L$1,G77)</f>
        <v/>
      </c>
    </row>
    <row r="78">
      <c r="A78" s="8" t="n">
        <v>45959</v>
      </c>
      <c r="B78" t="inlineStr">
        <is>
          <t>2025-W44</t>
        </is>
      </c>
      <c r="C78" t="inlineStr">
        <is>
          <t>Nuvei</t>
        </is>
      </c>
      <c r="D78" t="inlineStr">
        <is>
          <t>EUR</t>
        </is>
      </c>
      <c r="E78" s="9" t="n">
        <v>467554.9</v>
      </c>
      <c r="F78" s="9" t="n">
        <v>462019.29</v>
      </c>
      <c r="G78" s="9" t="n">
        <v>0</v>
      </c>
      <c r="H78" s="9">
        <f>IF(D78="USD",E78*$L$1,E78)</f>
        <v/>
      </c>
      <c r="I78" s="9">
        <f>IF(D78="USD",F78*$L$1,F78)</f>
        <v/>
      </c>
      <c r="J78" s="9">
        <f>IF(D78="USD",G78*$L$1,G78)</f>
        <v/>
      </c>
    </row>
    <row r="79">
      <c r="A79" s="8" t="n">
        <v>45959</v>
      </c>
      <c r="B79" t="inlineStr">
        <is>
          <t>2025-W44</t>
        </is>
      </c>
      <c r="C79" t="inlineStr">
        <is>
          <t>Nuvei</t>
        </is>
      </c>
      <c r="D79" t="inlineStr">
        <is>
          <t>EUR</t>
        </is>
      </c>
      <c r="E79" s="9" t="n">
        <v>18210.73</v>
      </c>
      <c r="F79" s="9" t="n">
        <v>17749.42</v>
      </c>
      <c r="G79" s="9" t="n">
        <v>0</v>
      </c>
      <c r="H79" s="9">
        <f>IF(D79="USD",E79*$L$1,E79)</f>
        <v/>
      </c>
      <c r="I79" s="9">
        <f>IF(D79="USD",F79*$L$1,F79)</f>
        <v/>
      </c>
      <c r="J79" s="9">
        <f>IF(D79="USD",G79*$L$1,G79)</f>
        <v/>
      </c>
    </row>
    <row r="80">
      <c r="A80" s="8" t="n">
        <v>45960</v>
      </c>
      <c r="B80" t="inlineStr">
        <is>
          <t>2025-W44</t>
        </is>
      </c>
      <c r="C80" t="inlineStr">
        <is>
          <t>Nuvei</t>
        </is>
      </c>
      <c r="D80" t="inlineStr">
        <is>
          <t>EUR</t>
        </is>
      </c>
      <c r="E80" s="9" t="n">
        <v>386354.26</v>
      </c>
      <c r="F80" s="9" t="n">
        <v>381802.27</v>
      </c>
      <c r="G80" s="9" t="n">
        <v>0</v>
      </c>
      <c r="H80" s="9">
        <f>IF(D80="USD",E80*$L$1,E80)</f>
        <v/>
      </c>
      <c r="I80" s="9">
        <f>IF(D80="USD",F80*$L$1,F80)</f>
        <v/>
      </c>
      <c r="J80" s="9">
        <f>IF(D80="USD",G80*$L$1,G80)</f>
        <v/>
      </c>
    </row>
    <row r="81">
      <c r="A81" s="8" t="n">
        <v>45960</v>
      </c>
      <c r="B81" t="inlineStr">
        <is>
          <t>2025-W44</t>
        </is>
      </c>
      <c r="C81" t="inlineStr">
        <is>
          <t>Nuvei</t>
        </is>
      </c>
      <c r="D81" t="inlineStr">
        <is>
          <t>EUR</t>
        </is>
      </c>
      <c r="E81" s="9" t="n">
        <v>15987.8</v>
      </c>
      <c r="F81" s="9" t="n">
        <v>15527.86</v>
      </c>
      <c r="G81" s="9" t="n">
        <v>0</v>
      </c>
      <c r="H81" s="9">
        <f>IF(D81="USD",E81*$L$1,E81)</f>
        <v/>
      </c>
      <c r="I81" s="9">
        <f>IF(D81="USD",F81*$L$1,F81)</f>
        <v/>
      </c>
      <c r="J81" s="9">
        <f>IF(D81="USD",G81*$L$1,G81)</f>
        <v/>
      </c>
    </row>
    <row r="82">
      <c r="A82" s="8" t="n">
        <v>45961</v>
      </c>
      <c r="B82" t="inlineStr">
        <is>
          <t>2025-W44</t>
        </is>
      </c>
      <c r="C82" t="inlineStr">
        <is>
          <t>Nuvei</t>
        </is>
      </c>
      <c r="D82" t="inlineStr">
        <is>
          <t>EUR</t>
        </is>
      </c>
      <c r="E82" s="9" t="n">
        <v>322861.84</v>
      </c>
      <c r="F82" s="9" t="n">
        <v>318678.95</v>
      </c>
      <c r="G82" s="9" t="n">
        <v>0</v>
      </c>
      <c r="H82" s="9">
        <f>IF(D82="USD",E82*$L$1,E82)</f>
        <v/>
      </c>
      <c r="I82" s="9">
        <f>IF(D82="USD",F82*$L$1,F82)</f>
        <v/>
      </c>
      <c r="J82" s="9">
        <f>IF(D82="USD",G82*$L$1,G82)</f>
        <v/>
      </c>
    </row>
    <row r="83">
      <c r="A83" s="8" t="n">
        <v>45961</v>
      </c>
      <c r="B83" t="inlineStr">
        <is>
          <t>2025-W44</t>
        </is>
      </c>
      <c r="C83" t="inlineStr">
        <is>
          <t>Nuvei</t>
        </is>
      </c>
      <c r="D83" t="inlineStr">
        <is>
          <t>EUR</t>
        </is>
      </c>
      <c r="E83" s="9" t="n">
        <v>18408.1</v>
      </c>
      <c r="F83" s="9" t="n">
        <v>17880.45</v>
      </c>
      <c r="G83" s="9" t="n">
        <v>0</v>
      </c>
      <c r="H83" s="9">
        <f>IF(D83="USD",E83*$L$1,E83)</f>
        <v/>
      </c>
      <c r="I83" s="9">
        <f>IF(D83="USD",F83*$L$1,F83)</f>
        <v/>
      </c>
      <c r="J83" s="9">
        <f>IF(D83="USD",G83*$L$1,G83)</f>
        <v/>
      </c>
    </row>
    <row r="84">
      <c r="A84" s="8" t="n">
        <v>45962</v>
      </c>
      <c r="B84" t="inlineStr">
        <is>
          <t>2025-W44</t>
        </is>
      </c>
      <c r="C84" t="inlineStr">
        <is>
          <t>Nuvei</t>
        </is>
      </c>
      <c r="D84" t="inlineStr">
        <is>
          <t>EUR</t>
        </is>
      </c>
      <c r="E84" s="9" t="n">
        <v>361516.8</v>
      </c>
      <c r="F84" s="9" t="n">
        <v>357341.87</v>
      </c>
      <c r="G84" s="9" t="n">
        <v>0</v>
      </c>
      <c r="H84" s="9">
        <f>IF(D84="USD",E84*$L$1,E84)</f>
        <v/>
      </c>
      <c r="I84" s="9">
        <f>IF(D84="USD",F84*$L$1,F84)</f>
        <v/>
      </c>
      <c r="J84" s="9">
        <f>IF(D84="USD",G84*$L$1,G84)</f>
        <v/>
      </c>
    </row>
    <row r="85">
      <c r="A85" s="8" t="n">
        <v>45962</v>
      </c>
      <c r="B85" t="inlineStr">
        <is>
          <t>2025-W44</t>
        </is>
      </c>
      <c r="C85" t="inlineStr">
        <is>
          <t>Nuvei</t>
        </is>
      </c>
      <c r="D85" t="inlineStr">
        <is>
          <t>EUR</t>
        </is>
      </c>
      <c r="E85" s="9" t="n">
        <v>14955.97</v>
      </c>
      <c r="F85" s="9" t="n">
        <v>14570.91</v>
      </c>
      <c r="G85" s="9" t="n">
        <v>0</v>
      </c>
      <c r="H85" s="9">
        <f>IF(D85="USD",E85*$L$1,E85)</f>
        <v/>
      </c>
      <c r="I85" s="9">
        <f>IF(D85="USD",F85*$L$1,F85)</f>
        <v/>
      </c>
      <c r="J85" s="9">
        <f>IF(D85="USD",G85*$L$1,G85)</f>
        <v/>
      </c>
    </row>
    <row r="86">
      <c r="A86" s="8" t="n">
        <v>45963</v>
      </c>
      <c r="B86" t="inlineStr">
        <is>
          <t>2025-W44</t>
        </is>
      </c>
      <c r="C86" t="inlineStr">
        <is>
          <t>Nuvei</t>
        </is>
      </c>
      <c r="D86" t="inlineStr">
        <is>
          <t>EUR</t>
        </is>
      </c>
      <c r="E86" s="9" t="n">
        <v>503854.29</v>
      </c>
      <c r="F86" s="9" t="n">
        <v>497886.25</v>
      </c>
      <c r="G86" s="9" t="n">
        <v>0</v>
      </c>
      <c r="H86" s="9">
        <f>IF(D86="USD",E86*$L$1,E86)</f>
        <v/>
      </c>
      <c r="I86" s="9">
        <f>IF(D86="USD",F86*$L$1,F86)</f>
        <v/>
      </c>
      <c r="J86" s="9">
        <f>IF(D86="USD",G86*$L$1,G86)</f>
        <v/>
      </c>
    </row>
    <row r="87">
      <c r="A87" s="8" t="n">
        <v>45963</v>
      </c>
      <c r="B87" t="inlineStr">
        <is>
          <t>2025-W44</t>
        </is>
      </c>
      <c r="C87" t="inlineStr">
        <is>
          <t>Nuvei</t>
        </is>
      </c>
      <c r="D87" t="inlineStr">
        <is>
          <t>EUR</t>
        </is>
      </c>
      <c r="E87" s="9" t="n">
        <v>23997.21</v>
      </c>
      <c r="F87" s="9" t="n">
        <v>23348.65</v>
      </c>
      <c r="G87" s="9" t="n">
        <v>0</v>
      </c>
      <c r="H87" s="9">
        <f>IF(D87="USD",E87*$L$1,E87)</f>
        <v/>
      </c>
      <c r="I87" s="9">
        <f>IF(D87="USD",F87*$L$1,F87)</f>
        <v/>
      </c>
      <c r="J87" s="9">
        <f>IF(D87="USD",G87*$L$1,G87)</f>
        <v/>
      </c>
    </row>
    <row r="88">
      <c r="A88" s="8" t="n">
        <v>45964</v>
      </c>
      <c r="B88" t="inlineStr">
        <is>
          <t>2025-W45</t>
        </is>
      </c>
      <c r="C88" t="inlineStr">
        <is>
          <t>Nuvei</t>
        </is>
      </c>
      <c r="D88" t="inlineStr">
        <is>
          <t>EUR</t>
        </is>
      </c>
      <c r="E88" s="9" t="n">
        <v>412033.58</v>
      </c>
      <c r="F88" s="9" t="n">
        <v>406949</v>
      </c>
      <c r="G88" s="9" t="n">
        <v>-2891199.87</v>
      </c>
      <c r="H88" s="9">
        <f>IF(D88="USD",E88*$L$1,E88)</f>
        <v/>
      </c>
      <c r="I88" s="9">
        <f>IF(D88="USD",F88*$L$1,F88)</f>
        <v/>
      </c>
      <c r="J88" s="9">
        <f>IF(D88="USD",G88*$L$1,G88)</f>
        <v/>
      </c>
    </row>
    <row r="89">
      <c r="A89" s="8" t="n">
        <v>45964</v>
      </c>
      <c r="B89" t="inlineStr">
        <is>
          <t>2025-W45</t>
        </is>
      </c>
      <c r="C89" t="inlineStr">
        <is>
          <t>Nuvei</t>
        </is>
      </c>
      <c r="D89" t="inlineStr">
        <is>
          <t>EUR</t>
        </is>
      </c>
      <c r="E89" s="9" t="n">
        <v>22010.93</v>
      </c>
      <c r="F89" s="9" t="n">
        <v>21434.75</v>
      </c>
      <c r="G89" s="9" t="n">
        <v>-129110.99</v>
      </c>
      <c r="H89" s="9">
        <f>IF(D89="USD",E89*$L$1,E89)</f>
        <v/>
      </c>
      <c r="I89" s="9">
        <f>IF(D89="USD",F89*$L$1,F89)</f>
        <v/>
      </c>
      <c r="J89" s="9">
        <f>IF(D89="USD",G89*$L$1,G89)</f>
        <v/>
      </c>
    </row>
    <row r="90">
      <c r="A90" s="8" t="n">
        <v>45965</v>
      </c>
      <c r="B90" t="inlineStr">
        <is>
          <t>2025-W45</t>
        </is>
      </c>
      <c r="C90" t="inlineStr">
        <is>
          <t>Nuvei</t>
        </is>
      </c>
      <c r="D90" t="inlineStr">
        <is>
          <t>EUR</t>
        </is>
      </c>
      <c r="E90" s="9" t="n">
        <v>491767.47</v>
      </c>
      <c r="F90" s="9" t="n">
        <v>485513.0699999999</v>
      </c>
      <c r="G90" s="9" t="n">
        <v>0</v>
      </c>
      <c r="H90" s="9">
        <f>IF(D90="USD",E90*$L$1,E90)</f>
        <v/>
      </c>
      <c r="I90" s="9">
        <f>IF(D90="USD",F90*$L$1,F90)</f>
        <v/>
      </c>
      <c r="J90" s="9">
        <f>IF(D90="USD",G90*$L$1,G90)</f>
        <v/>
      </c>
    </row>
    <row r="91">
      <c r="A91" s="8" t="n">
        <v>45965</v>
      </c>
      <c r="B91" t="inlineStr">
        <is>
          <t>2025-W45</t>
        </is>
      </c>
      <c r="C91" t="inlineStr">
        <is>
          <t>Nuvei</t>
        </is>
      </c>
      <c r="D91" t="inlineStr">
        <is>
          <t>EUR</t>
        </is>
      </c>
      <c r="E91" s="9" t="n">
        <v>20376.3</v>
      </c>
      <c r="F91" s="9" t="n">
        <v>19836.58</v>
      </c>
      <c r="G91" s="9" t="n">
        <v>0</v>
      </c>
      <c r="H91" s="9">
        <f>IF(D91="USD",E91*$L$1,E91)</f>
        <v/>
      </c>
      <c r="I91" s="9">
        <f>IF(D91="USD",F91*$L$1,F91)</f>
        <v/>
      </c>
      <c r="J91" s="9">
        <f>IF(D91="USD",G91*$L$1,G91)</f>
        <v/>
      </c>
    </row>
    <row r="92">
      <c r="A92" s="8" t="n">
        <v>45966</v>
      </c>
      <c r="B92" t="inlineStr">
        <is>
          <t>2025-W45</t>
        </is>
      </c>
      <c r="C92" t="inlineStr">
        <is>
          <t>Nuvei</t>
        </is>
      </c>
      <c r="D92" t="inlineStr">
        <is>
          <t>EUR</t>
        </is>
      </c>
      <c r="E92" s="9" t="n">
        <v>466819.67</v>
      </c>
      <c r="F92" s="9" t="n">
        <v>461099.46</v>
      </c>
      <c r="G92" s="9" t="n">
        <v>0</v>
      </c>
      <c r="H92" s="9">
        <f>IF(D92="USD",E92*$L$1,E92)</f>
        <v/>
      </c>
      <c r="I92" s="9">
        <f>IF(D92="USD",F92*$L$1,F92)</f>
        <v/>
      </c>
      <c r="J92" s="9">
        <f>IF(D92="USD",G92*$L$1,G92)</f>
        <v/>
      </c>
    </row>
    <row r="93">
      <c r="A93" s="8" t="n">
        <v>45966</v>
      </c>
      <c r="B93" t="inlineStr">
        <is>
          <t>2025-W45</t>
        </is>
      </c>
      <c r="C93" t="inlineStr">
        <is>
          <t>Nuvei</t>
        </is>
      </c>
      <c r="D93" t="inlineStr">
        <is>
          <t>EUR</t>
        </is>
      </c>
      <c r="E93" s="9" t="n">
        <v>23354.22</v>
      </c>
      <c r="F93" s="9" t="n">
        <v>22713.87</v>
      </c>
      <c r="G93" s="9" t="n">
        <v>0</v>
      </c>
      <c r="H93" s="9">
        <f>IF(D93="USD",E93*$L$1,E93)</f>
        <v/>
      </c>
      <c r="I93" s="9">
        <f>IF(D93="USD",F93*$L$1,F93)</f>
        <v/>
      </c>
      <c r="J93" s="9">
        <f>IF(D93="USD",G93*$L$1,G93)</f>
        <v/>
      </c>
    </row>
    <row r="94">
      <c r="A94" s="8" t="n">
        <v>45967</v>
      </c>
      <c r="B94" t="inlineStr">
        <is>
          <t>2025-W45</t>
        </is>
      </c>
      <c r="C94" t="inlineStr">
        <is>
          <t>Nuvei</t>
        </is>
      </c>
      <c r="D94" t="inlineStr">
        <is>
          <t>EUR</t>
        </is>
      </c>
      <c r="E94" s="9" t="n">
        <v>407333.55</v>
      </c>
      <c r="F94" s="9" t="n">
        <v>402000.17</v>
      </c>
      <c r="G94" s="9" t="n">
        <v>0</v>
      </c>
      <c r="H94" s="9">
        <f>IF(D94="USD",E94*$L$1,E94)</f>
        <v/>
      </c>
      <c r="I94" s="9">
        <f>IF(D94="USD",F94*$L$1,F94)</f>
        <v/>
      </c>
      <c r="J94" s="9">
        <f>IF(D94="USD",G94*$L$1,G94)</f>
        <v/>
      </c>
    </row>
    <row r="95">
      <c r="A95" s="8" t="n">
        <v>45967</v>
      </c>
      <c r="B95" t="inlineStr">
        <is>
          <t>2025-W45</t>
        </is>
      </c>
      <c r="C95" t="inlineStr">
        <is>
          <t>Nuvei</t>
        </is>
      </c>
      <c r="D95" t="inlineStr">
        <is>
          <t>EUR</t>
        </is>
      </c>
      <c r="E95" s="9" t="n">
        <v>17622.11</v>
      </c>
      <c r="F95" s="9" t="n">
        <v>17140.41</v>
      </c>
      <c r="G95" s="9" t="n">
        <v>0</v>
      </c>
      <c r="H95" s="9">
        <f>IF(D95="USD",E95*$L$1,E95)</f>
        <v/>
      </c>
      <c r="I95" s="9">
        <f>IF(D95="USD",F95*$L$1,F95)</f>
        <v/>
      </c>
      <c r="J95" s="9">
        <f>IF(D95="USD",G95*$L$1,G95)</f>
        <v/>
      </c>
    </row>
    <row r="96">
      <c r="A96" s="8" t="n">
        <v>45968</v>
      </c>
      <c r="B96" t="inlineStr">
        <is>
          <t>2025-W45</t>
        </is>
      </c>
      <c r="C96" t="inlineStr">
        <is>
          <t>Nuvei</t>
        </is>
      </c>
      <c r="D96" t="inlineStr">
        <is>
          <t>EUR</t>
        </is>
      </c>
      <c r="E96" s="9" t="n">
        <v>397964.87</v>
      </c>
      <c r="F96" s="9" t="n">
        <v>392721.34</v>
      </c>
      <c r="G96" s="9" t="n">
        <v>0</v>
      </c>
      <c r="H96" s="9">
        <f>IF(D96="USD",E96*$L$1,E96)</f>
        <v/>
      </c>
      <c r="I96" s="9">
        <f>IF(D96="USD",F96*$L$1,F96)</f>
        <v/>
      </c>
      <c r="J96" s="9">
        <f>IF(D96="USD",G96*$L$1,G96)</f>
        <v/>
      </c>
    </row>
    <row r="97">
      <c r="A97" s="8" t="n">
        <v>45968</v>
      </c>
      <c r="B97" t="inlineStr">
        <is>
          <t>2025-W45</t>
        </is>
      </c>
      <c r="C97" t="inlineStr">
        <is>
          <t>Nuvei</t>
        </is>
      </c>
      <c r="D97" t="inlineStr">
        <is>
          <t>EUR</t>
        </is>
      </c>
      <c r="E97" s="9" t="n">
        <v>22164.49</v>
      </c>
      <c r="F97" s="9" t="n">
        <v>21526.72</v>
      </c>
      <c r="G97" s="9" t="n">
        <v>0</v>
      </c>
      <c r="H97" s="9">
        <f>IF(D97="USD",E97*$L$1,E97)</f>
        <v/>
      </c>
      <c r="I97" s="9">
        <f>IF(D97="USD",F97*$L$1,F97)</f>
        <v/>
      </c>
      <c r="J97" s="9">
        <f>IF(D97="USD",G97*$L$1,G97)</f>
        <v/>
      </c>
    </row>
    <row r="98">
      <c r="A98" s="8" t="n">
        <v>45969</v>
      </c>
      <c r="B98" t="inlineStr">
        <is>
          <t>2025-W45</t>
        </is>
      </c>
      <c r="C98" t="inlineStr">
        <is>
          <t>Nuvei</t>
        </is>
      </c>
      <c r="D98" t="inlineStr">
        <is>
          <t>EUR</t>
        </is>
      </c>
      <c r="E98" s="9" t="n">
        <v>356845.04</v>
      </c>
      <c r="F98" s="9" t="n">
        <v>352777.05</v>
      </c>
      <c r="G98" s="9" t="n">
        <v>0</v>
      </c>
      <c r="H98" s="9">
        <f>IF(D98="USD",E98*$L$1,E98)</f>
        <v/>
      </c>
      <c r="I98" s="9">
        <f>IF(D98="USD",F98*$L$1,F98)</f>
        <v/>
      </c>
      <c r="J98" s="9">
        <f>IF(D98="USD",G98*$L$1,G98)</f>
        <v/>
      </c>
    </row>
    <row r="99">
      <c r="A99" s="8" t="n">
        <v>45969</v>
      </c>
      <c r="B99" t="inlineStr">
        <is>
          <t>2025-W45</t>
        </is>
      </c>
      <c r="C99" t="inlineStr">
        <is>
          <t>Nuvei</t>
        </is>
      </c>
      <c r="D99" t="inlineStr">
        <is>
          <t>EUR</t>
        </is>
      </c>
      <c r="E99" s="9" t="n">
        <v>18087.89</v>
      </c>
      <c r="F99" s="9" t="n">
        <v>17561.88</v>
      </c>
      <c r="G99" s="9" t="n">
        <v>0</v>
      </c>
      <c r="H99" s="9">
        <f>IF(D99="USD",E99*$L$1,E99)</f>
        <v/>
      </c>
      <c r="I99" s="9">
        <f>IF(D99="USD",F99*$L$1,F99)</f>
        <v/>
      </c>
      <c r="J99" s="9">
        <f>IF(D99="USD",G99*$L$1,G99)</f>
        <v/>
      </c>
    </row>
    <row r="100">
      <c r="A100" s="8" t="n">
        <v>45970</v>
      </c>
      <c r="B100" t="inlineStr">
        <is>
          <t>2025-W45</t>
        </is>
      </c>
      <c r="C100" t="inlineStr">
        <is>
          <t>Nuvei</t>
        </is>
      </c>
      <c r="D100" t="inlineStr">
        <is>
          <t>EUR</t>
        </is>
      </c>
      <c r="E100" s="9" t="n">
        <v>434964.76</v>
      </c>
      <c r="F100" s="9" t="n">
        <v>430119.32</v>
      </c>
      <c r="G100" s="9" t="n">
        <v>0</v>
      </c>
      <c r="H100" s="9">
        <f>IF(D100="USD",E100*$L$1,E100)</f>
        <v/>
      </c>
      <c r="I100" s="9">
        <f>IF(D100="USD",F100*$L$1,F100)</f>
        <v/>
      </c>
      <c r="J100" s="9">
        <f>IF(D100="USD",G100*$L$1,G100)</f>
        <v/>
      </c>
    </row>
    <row r="101">
      <c r="A101" s="8" t="n">
        <v>45970</v>
      </c>
      <c r="B101" t="inlineStr">
        <is>
          <t>2025-W45</t>
        </is>
      </c>
      <c r="C101" t="inlineStr">
        <is>
          <t>Nuvei</t>
        </is>
      </c>
      <c r="D101" t="inlineStr">
        <is>
          <t>EUR</t>
        </is>
      </c>
      <c r="E101" s="9" t="n">
        <v>13785.95</v>
      </c>
      <c r="F101" s="9" t="n">
        <v>13429.54</v>
      </c>
      <c r="G101" s="9" t="n">
        <v>0</v>
      </c>
      <c r="H101" s="9">
        <f>IF(D101="USD",E101*$L$1,E101)</f>
        <v/>
      </c>
      <c r="I101" s="9">
        <f>IF(D101="USD",F101*$L$1,F101)</f>
        <v/>
      </c>
      <c r="J101" s="9">
        <f>IF(D101="USD",G101*$L$1,G101)</f>
        <v/>
      </c>
    </row>
    <row r="102">
      <c r="A102" s="8" t="n">
        <v>45971</v>
      </c>
      <c r="B102" t="inlineStr">
        <is>
          <t>2025-W46</t>
        </is>
      </c>
      <c r="C102" t="inlineStr">
        <is>
          <t>Nuvei</t>
        </is>
      </c>
      <c r="D102" t="inlineStr">
        <is>
          <t>EUR</t>
        </is>
      </c>
      <c r="E102" s="9" t="n">
        <v>506858.64</v>
      </c>
      <c r="F102" s="9" t="n">
        <v>500217.79</v>
      </c>
      <c r="G102" s="9" t="n">
        <v>0</v>
      </c>
      <c r="H102" s="9">
        <f>IF(D102="USD",E102*$L$1,E102)</f>
        <v/>
      </c>
      <c r="I102" s="9">
        <f>IF(D102="USD",F102*$L$1,F102)</f>
        <v/>
      </c>
      <c r="J102" s="9">
        <f>IF(D102="USD",G102*$L$1,G102)</f>
        <v/>
      </c>
    </row>
    <row r="103">
      <c r="A103" s="8" t="n">
        <v>45971</v>
      </c>
      <c r="B103" t="inlineStr">
        <is>
          <t>2025-W46</t>
        </is>
      </c>
      <c r="C103" t="inlineStr">
        <is>
          <t>Nuvei</t>
        </is>
      </c>
      <c r="D103" t="inlineStr">
        <is>
          <t>EUR</t>
        </is>
      </c>
      <c r="E103" s="9" t="n">
        <v>27659.53</v>
      </c>
      <c r="F103" s="9" t="n">
        <v>26922.49</v>
      </c>
      <c r="G103" s="9" t="n">
        <v>0</v>
      </c>
      <c r="H103" s="9">
        <f>IF(D103="USD",E103*$L$1,E103)</f>
        <v/>
      </c>
      <c r="I103" s="9">
        <f>IF(D103="USD",F103*$L$1,F103)</f>
        <v/>
      </c>
      <c r="J103" s="9">
        <f>IF(D103="USD",G103*$L$1,G103)</f>
        <v/>
      </c>
    </row>
    <row r="104">
      <c r="A104" s="8" t="n">
        <v>45972</v>
      </c>
      <c r="B104" t="inlineStr">
        <is>
          <t>2025-W46</t>
        </is>
      </c>
      <c r="C104" t="inlineStr">
        <is>
          <t>Nuvei</t>
        </is>
      </c>
      <c r="D104" t="inlineStr">
        <is>
          <t>EUR</t>
        </is>
      </c>
      <c r="E104" s="9" t="n">
        <v>623165</v>
      </c>
      <c r="F104" s="9" t="n">
        <v>615286.49</v>
      </c>
      <c r="G104" s="9" t="n">
        <v>-3024444.73</v>
      </c>
      <c r="H104" s="9">
        <f>IF(D104="USD",E104*$L$1,E104)</f>
        <v/>
      </c>
      <c r="I104" s="9">
        <f>IF(D104="USD",F104*$L$1,F104)</f>
        <v/>
      </c>
      <c r="J104" s="9">
        <f>IF(D104="USD",G104*$L$1,G104)</f>
        <v/>
      </c>
    </row>
    <row r="105">
      <c r="A105" s="8" t="n">
        <v>45972</v>
      </c>
      <c r="B105" t="inlineStr">
        <is>
          <t>2025-W46</t>
        </is>
      </c>
      <c r="C105" t="inlineStr">
        <is>
          <t>Nuvei</t>
        </is>
      </c>
      <c r="D105" t="inlineStr">
        <is>
          <t>EUR</t>
        </is>
      </c>
      <c r="E105" s="9" t="n">
        <v>13192.68</v>
      </c>
      <c r="F105" s="9" t="n">
        <v>12869.91</v>
      </c>
      <c r="G105" s="9" t="n">
        <v>-139127.99</v>
      </c>
      <c r="H105" s="9">
        <f>IF(D105="USD",E105*$L$1,E105)</f>
        <v/>
      </c>
      <c r="I105" s="9">
        <f>IF(D105="USD",F105*$L$1,F105)</f>
        <v/>
      </c>
      <c r="J105" s="9">
        <f>IF(D105="USD",G105*$L$1,G105)</f>
        <v/>
      </c>
    </row>
    <row r="106">
      <c r="A106" s="8" t="n">
        <v>45973</v>
      </c>
      <c r="B106" t="inlineStr">
        <is>
          <t>2025-W46</t>
        </is>
      </c>
      <c r="C106" t="inlineStr">
        <is>
          <t>Nuvei</t>
        </is>
      </c>
      <c r="D106" t="inlineStr">
        <is>
          <t>EUR</t>
        </is>
      </c>
      <c r="E106" s="9" t="n">
        <v>477717.73</v>
      </c>
      <c r="F106" s="9" t="n">
        <v>471835.37</v>
      </c>
      <c r="G106" s="9" t="n">
        <v>0</v>
      </c>
      <c r="H106" s="9">
        <f>IF(D106="USD",E106*$L$1,E106)</f>
        <v/>
      </c>
      <c r="I106" s="9">
        <f>IF(D106="USD",F106*$L$1,F106)</f>
        <v/>
      </c>
      <c r="J106" s="9">
        <f>IF(D106="USD",G106*$L$1,G106)</f>
        <v/>
      </c>
    </row>
    <row r="107">
      <c r="A107" s="8" t="n">
        <v>45973</v>
      </c>
      <c r="B107" t="inlineStr">
        <is>
          <t>2025-W46</t>
        </is>
      </c>
      <c r="C107" t="inlineStr">
        <is>
          <t>Nuvei</t>
        </is>
      </c>
      <c r="D107" t="inlineStr">
        <is>
          <t>EUR</t>
        </is>
      </c>
      <c r="E107" s="9" t="n">
        <v>15890.56</v>
      </c>
      <c r="F107" s="9" t="n">
        <v>15444.95</v>
      </c>
      <c r="G107" s="9" t="n">
        <v>0</v>
      </c>
      <c r="H107" s="9">
        <f>IF(D107="USD",E107*$L$1,E107)</f>
        <v/>
      </c>
      <c r="I107" s="9">
        <f>IF(D107="USD",F107*$L$1,F107)</f>
        <v/>
      </c>
      <c r="J107" s="9">
        <f>IF(D107="USD",G107*$L$1,G107)</f>
        <v/>
      </c>
    </row>
    <row r="108">
      <c r="A108" s="8" t="n">
        <v>45974</v>
      </c>
      <c r="B108" t="inlineStr">
        <is>
          <t>2025-W46</t>
        </is>
      </c>
      <c r="C108" t="inlineStr">
        <is>
          <t>Nuvei</t>
        </is>
      </c>
      <c r="D108" t="inlineStr">
        <is>
          <t>EUR</t>
        </is>
      </c>
      <c r="E108" s="9" t="n">
        <v>421694.3</v>
      </c>
      <c r="F108" s="9" t="n">
        <v>416417.31</v>
      </c>
      <c r="G108" s="9" t="n">
        <v>0</v>
      </c>
      <c r="H108" s="9">
        <f>IF(D108="USD",E108*$L$1,E108)</f>
        <v/>
      </c>
      <c r="I108" s="9">
        <f>IF(D108="USD",F108*$L$1,F108)</f>
        <v/>
      </c>
      <c r="J108" s="9">
        <f>IF(D108="USD",G108*$L$1,G108)</f>
        <v/>
      </c>
    </row>
    <row r="109">
      <c r="A109" s="8" t="n">
        <v>45974</v>
      </c>
      <c r="B109" t="inlineStr">
        <is>
          <t>2025-W46</t>
        </is>
      </c>
      <c r="C109" t="inlineStr">
        <is>
          <t>Nuvei</t>
        </is>
      </c>
      <c r="D109" t="inlineStr">
        <is>
          <t>EUR</t>
        </is>
      </c>
      <c r="E109" s="9" t="n">
        <v>16133.46</v>
      </c>
      <c r="F109" s="9" t="n">
        <v>15673.39</v>
      </c>
      <c r="G109" s="9" t="n">
        <v>0</v>
      </c>
      <c r="H109" s="9">
        <f>IF(D109="USD",E109*$L$1,E109)</f>
        <v/>
      </c>
      <c r="I109" s="9">
        <f>IF(D109="USD",F109*$L$1,F109)</f>
        <v/>
      </c>
      <c r="J109" s="9">
        <f>IF(D109="USD",G109*$L$1,G109)</f>
        <v/>
      </c>
    </row>
    <row r="110">
      <c r="A110" s="8" t="n">
        <v>45975</v>
      </c>
      <c r="B110" t="inlineStr">
        <is>
          <t>2025-W46</t>
        </is>
      </c>
      <c r="C110" t="inlineStr">
        <is>
          <t>Nuvei</t>
        </is>
      </c>
      <c r="D110" t="inlineStr">
        <is>
          <t>EUR</t>
        </is>
      </c>
      <c r="E110" s="9" t="n">
        <v>407755.82</v>
      </c>
      <c r="F110" s="9" t="n">
        <v>402303.96</v>
      </c>
      <c r="G110" s="9" t="n">
        <v>0</v>
      </c>
      <c r="H110" s="9">
        <f>IF(D110="USD",E110*$L$1,E110)</f>
        <v/>
      </c>
      <c r="I110" s="9">
        <f>IF(D110="USD",F110*$L$1,F110)</f>
        <v/>
      </c>
      <c r="J110" s="9">
        <f>IF(D110="USD",G110*$L$1,G110)</f>
        <v/>
      </c>
    </row>
    <row r="111">
      <c r="A111" s="8" t="n">
        <v>45975</v>
      </c>
      <c r="B111" t="inlineStr">
        <is>
          <t>2025-W46</t>
        </is>
      </c>
      <c r="C111" t="inlineStr">
        <is>
          <t>Nuvei</t>
        </is>
      </c>
      <c r="D111" t="inlineStr">
        <is>
          <t>EUR</t>
        </is>
      </c>
      <c r="E111" s="9" t="n">
        <v>16315.04</v>
      </c>
      <c r="F111" s="9" t="n">
        <v>15853.93</v>
      </c>
      <c r="G111" s="9" t="n">
        <v>0</v>
      </c>
      <c r="H111" s="9">
        <f>IF(D111="USD",E111*$L$1,E111)</f>
        <v/>
      </c>
      <c r="I111" s="9">
        <f>IF(D111="USD",F111*$L$1,F111)</f>
        <v/>
      </c>
      <c r="J111" s="9">
        <f>IF(D111="USD",G111*$L$1,G111)</f>
        <v/>
      </c>
    </row>
    <row r="112">
      <c r="A112" s="8" t="n">
        <v>45976</v>
      </c>
      <c r="B112" t="inlineStr">
        <is>
          <t>2025-W46</t>
        </is>
      </c>
      <c r="C112" t="inlineStr">
        <is>
          <t>Nuvei</t>
        </is>
      </c>
      <c r="D112" t="inlineStr">
        <is>
          <t>EUR</t>
        </is>
      </c>
      <c r="E112" s="9" t="n">
        <v>349850.72</v>
      </c>
      <c r="F112" s="9" t="n">
        <v>345581.71</v>
      </c>
      <c r="G112" s="9" t="n">
        <v>0</v>
      </c>
      <c r="H112" s="9">
        <f>IF(D112="USD",E112*$L$1,E112)</f>
        <v/>
      </c>
      <c r="I112" s="9">
        <f>IF(D112="USD",F112*$L$1,F112)</f>
        <v/>
      </c>
      <c r="J112" s="9">
        <f>IF(D112="USD",G112*$L$1,G112)</f>
        <v/>
      </c>
    </row>
    <row r="113">
      <c r="A113" s="8" t="n">
        <v>45976</v>
      </c>
      <c r="B113" t="inlineStr">
        <is>
          <t>2025-W46</t>
        </is>
      </c>
      <c r="C113" t="inlineStr">
        <is>
          <t>Nuvei</t>
        </is>
      </c>
      <c r="D113" t="inlineStr">
        <is>
          <t>EUR</t>
        </is>
      </c>
      <c r="E113" s="9" t="n">
        <v>30462.13</v>
      </c>
      <c r="F113" s="9" t="n">
        <v>29556.36</v>
      </c>
      <c r="G113" s="9" t="n">
        <v>0</v>
      </c>
      <c r="H113" s="9">
        <f>IF(D113="USD",E113*$L$1,E113)</f>
        <v/>
      </c>
      <c r="I113" s="9">
        <f>IF(D113="USD",F113*$L$1,F113)</f>
        <v/>
      </c>
      <c r="J113" s="9">
        <f>IF(D113="USD",G113*$L$1,G113)</f>
        <v/>
      </c>
    </row>
    <row r="114">
      <c r="A114" s="8" t="n">
        <v>45977</v>
      </c>
      <c r="B114" t="inlineStr">
        <is>
          <t>2025-W46</t>
        </is>
      </c>
      <c r="C114" t="inlineStr">
        <is>
          <t>Nuvei</t>
        </is>
      </c>
      <c r="D114" t="inlineStr">
        <is>
          <t>EUR</t>
        </is>
      </c>
      <c r="E114" s="9" t="n">
        <v>488188.75</v>
      </c>
      <c r="F114" s="9" t="n">
        <v>482372.57</v>
      </c>
      <c r="G114" s="9" t="n">
        <v>-1087111.86</v>
      </c>
      <c r="H114" s="9">
        <f>IF(D114="USD",E114*$L$1,E114)</f>
        <v/>
      </c>
      <c r="I114" s="9">
        <f>IF(D114="USD",F114*$L$1,F114)</f>
        <v/>
      </c>
      <c r="J114" s="9">
        <f>IF(D114="USD",G114*$L$1,G114)</f>
        <v/>
      </c>
    </row>
    <row r="115">
      <c r="A115" s="8" t="n">
        <v>45977</v>
      </c>
      <c r="B115" t="inlineStr">
        <is>
          <t>2025-W46</t>
        </is>
      </c>
      <c r="C115" t="inlineStr">
        <is>
          <t>Nuvei</t>
        </is>
      </c>
      <c r="D115" t="inlineStr">
        <is>
          <t>EUR</t>
        </is>
      </c>
      <c r="E115" s="9" t="n">
        <v>27304.18</v>
      </c>
      <c r="F115" s="9" t="n">
        <v>26561.76</v>
      </c>
      <c r="G115" s="9" t="n">
        <v>-28314.86</v>
      </c>
      <c r="H115" s="9">
        <f>IF(D115="USD",E115*$L$1,E115)</f>
        <v/>
      </c>
      <c r="I115" s="9">
        <f>IF(D115="USD",F115*$L$1,F115)</f>
        <v/>
      </c>
      <c r="J115" s="9">
        <f>IF(D115="USD",G115*$L$1,G115)</f>
        <v/>
      </c>
    </row>
    <row r="116">
      <c r="A116" s="8" t="n">
        <v>45978</v>
      </c>
      <c r="B116" t="inlineStr">
        <is>
          <t>2025-W47</t>
        </is>
      </c>
      <c r="C116" t="inlineStr">
        <is>
          <t>Nuvei</t>
        </is>
      </c>
      <c r="D116" t="inlineStr">
        <is>
          <t>EUR</t>
        </is>
      </c>
      <c r="E116" s="9" t="n">
        <v>442378.17</v>
      </c>
      <c r="F116" s="9" t="n">
        <v>436714.87</v>
      </c>
      <c r="G116" s="9" t="n">
        <v>-416413.8</v>
      </c>
      <c r="H116" s="9">
        <f>IF(D116="USD",E116*$L$1,E116)</f>
        <v/>
      </c>
      <c r="I116" s="9">
        <f>IF(D116="USD",F116*$L$1,F116)</f>
        <v/>
      </c>
      <c r="J116" s="9">
        <f>IF(D116="USD",G116*$L$1,G116)</f>
        <v/>
      </c>
    </row>
    <row r="117">
      <c r="A117" s="8" t="n">
        <v>45978</v>
      </c>
      <c r="B117" t="inlineStr">
        <is>
          <t>2025-W47</t>
        </is>
      </c>
      <c r="C117" t="inlineStr">
        <is>
          <t>Nuvei</t>
        </is>
      </c>
      <c r="D117" t="inlineStr">
        <is>
          <t>EUR</t>
        </is>
      </c>
      <c r="E117" s="9" t="n">
        <v>25604.48</v>
      </c>
      <c r="F117" s="9" t="n">
        <v>24884.68</v>
      </c>
      <c r="G117" s="9" t="n">
        <v>-15669.89</v>
      </c>
      <c r="H117" s="9">
        <f>IF(D117="USD",E117*$L$1,E117)</f>
        <v/>
      </c>
      <c r="I117" s="9">
        <f>IF(D117="USD",F117*$L$1,F117)</f>
        <v/>
      </c>
      <c r="J117" s="9">
        <f>IF(D117="USD",G117*$L$1,G117)</f>
        <v/>
      </c>
    </row>
    <row r="118">
      <c r="A118" s="8" t="n">
        <v>45979</v>
      </c>
      <c r="B118" t="inlineStr">
        <is>
          <t>2025-W47</t>
        </is>
      </c>
      <c r="C118" t="inlineStr">
        <is>
          <t>Nuvei</t>
        </is>
      </c>
      <c r="D118" t="inlineStr">
        <is>
          <t>EUR</t>
        </is>
      </c>
      <c r="E118" s="9" t="n">
        <v>457244.25</v>
      </c>
      <c r="F118" s="9" t="n">
        <v>451376.77</v>
      </c>
      <c r="G118" s="9" t="n">
        <v>-402303.96</v>
      </c>
      <c r="H118" s="9">
        <f>IF(D118="USD",E118*$L$1,E118)</f>
        <v/>
      </c>
      <c r="I118" s="9">
        <f>IF(D118="USD",F118*$L$1,F118)</f>
        <v/>
      </c>
      <c r="J118" s="9">
        <f>IF(D118="USD",G118*$L$1,G118)</f>
        <v/>
      </c>
    </row>
    <row r="119">
      <c r="A119" s="8" t="n">
        <v>45979</v>
      </c>
      <c r="B119" t="inlineStr">
        <is>
          <t>2025-W47</t>
        </is>
      </c>
      <c r="C119" t="inlineStr">
        <is>
          <t>Nuvei</t>
        </is>
      </c>
      <c r="D119" t="inlineStr">
        <is>
          <t>EUR</t>
        </is>
      </c>
      <c r="E119" s="9" t="n">
        <v>22867.5</v>
      </c>
      <c r="F119" s="9" t="n">
        <v>22191.81</v>
      </c>
      <c r="G119" s="9" t="n">
        <v>-15853.93</v>
      </c>
      <c r="H119" s="9">
        <f>IF(D119="USD",E119*$L$1,E119)</f>
        <v/>
      </c>
      <c r="I119" s="9">
        <f>IF(D119="USD",F119*$L$1,F119)</f>
        <v/>
      </c>
      <c r="J119" s="9">
        <f>IF(D119="USD",G119*$L$1,G119)</f>
        <v/>
      </c>
    </row>
    <row r="120">
      <c r="A120" s="8" t="n">
        <v>45980</v>
      </c>
      <c r="B120" t="inlineStr">
        <is>
          <t>2025-W47</t>
        </is>
      </c>
      <c r="C120" t="inlineStr">
        <is>
          <t>Nuvei</t>
        </is>
      </c>
      <c r="D120" t="inlineStr">
        <is>
          <t>EUR</t>
        </is>
      </c>
      <c r="E120" s="9" t="n">
        <v>422357.36</v>
      </c>
      <c r="F120" s="9" t="n">
        <v>416684.26</v>
      </c>
      <c r="G120" s="9" t="n">
        <v>-1264669.17</v>
      </c>
      <c r="H120" s="9">
        <f>IF(D120="USD",E120*$L$1,E120)</f>
        <v/>
      </c>
      <c r="I120" s="9">
        <f>IF(D120="USD",F120*$L$1,F120)</f>
        <v/>
      </c>
      <c r="J120" s="9">
        <f>IF(D120="USD",G120*$L$1,G120)</f>
        <v/>
      </c>
    </row>
    <row r="121">
      <c r="A121" s="8" t="n">
        <v>45980</v>
      </c>
      <c r="B121" t="inlineStr">
        <is>
          <t>2025-W47</t>
        </is>
      </c>
      <c r="C121" t="inlineStr">
        <is>
          <t>Nuvei</t>
        </is>
      </c>
      <c r="D121" t="inlineStr">
        <is>
          <t>EUR</t>
        </is>
      </c>
      <c r="E121" s="9" t="n">
        <v>31150.59</v>
      </c>
      <c r="F121" s="9" t="n">
        <v>30251.8</v>
      </c>
      <c r="G121" s="9" t="n">
        <v>-81002.8</v>
      </c>
      <c r="H121" s="9">
        <f>IF(D121="USD",E121*$L$1,E121)</f>
        <v/>
      </c>
      <c r="I121" s="9">
        <f>IF(D121="USD",F121*$L$1,F121)</f>
        <v/>
      </c>
      <c r="J121" s="9">
        <f>IF(D121="USD",G121*$L$1,G121)</f>
        <v/>
      </c>
    </row>
    <row r="122">
      <c r="A122" s="8" t="n">
        <v>45981</v>
      </c>
      <c r="B122" t="inlineStr">
        <is>
          <t>2025-W47</t>
        </is>
      </c>
      <c r="C122" t="inlineStr">
        <is>
          <t>Nuvei</t>
        </is>
      </c>
      <c r="D122" t="inlineStr">
        <is>
          <t>EUR</t>
        </is>
      </c>
      <c r="E122" s="9" t="n">
        <v>367034.77</v>
      </c>
      <c r="F122" s="9" t="n">
        <v>362229.03</v>
      </c>
      <c r="G122" s="9" t="n">
        <v>-451373.28</v>
      </c>
      <c r="H122" s="9">
        <f>IF(D122="USD",E122*$L$1,E122)</f>
        <v/>
      </c>
      <c r="I122" s="9">
        <f>IF(D122="USD",F122*$L$1,F122)</f>
        <v/>
      </c>
      <c r="J122" s="9">
        <f>IF(D122="USD",G122*$L$1,G122)</f>
        <v/>
      </c>
    </row>
    <row r="123">
      <c r="A123" s="8" t="n">
        <v>45981</v>
      </c>
      <c r="B123" t="inlineStr">
        <is>
          <t>2025-W47</t>
        </is>
      </c>
      <c r="C123" t="inlineStr">
        <is>
          <t>Nuvei</t>
        </is>
      </c>
      <c r="D123" t="inlineStr">
        <is>
          <t>EUR</t>
        </is>
      </c>
      <c r="E123" s="9" t="n">
        <v>23001.96</v>
      </c>
      <c r="F123" s="9" t="n">
        <v>22377.06</v>
      </c>
      <c r="G123" s="9" t="n">
        <v>-22188.31</v>
      </c>
      <c r="H123" s="9">
        <f>IF(D123="USD",E123*$L$1,E123)</f>
        <v/>
      </c>
      <c r="I123" s="9">
        <f>IF(D123="USD",F123*$L$1,F123)</f>
        <v/>
      </c>
      <c r="J123" s="9">
        <f>IF(D123="USD",G123*$L$1,G123)</f>
        <v/>
      </c>
    </row>
    <row r="124">
      <c r="A124" s="8" t="n">
        <v>45982</v>
      </c>
      <c r="B124" t="inlineStr">
        <is>
          <t>2025-W47</t>
        </is>
      </c>
      <c r="C124" t="inlineStr">
        <is>
          <t>Nuvei</t>
        </is>
      </c>
      <c r="D124" t="inlineStr">
        <is>
          <t>EUR</t>
        </is>
      </c>
      <c r="E124" s="9" t="n">
        <v>306727.27</v>
      </c>
      <c r="F124" s="9" t="n">
        <v>302844.68</v>
      </c>
      <c r="G124" s="9" t="n">
        <v>-416680.76</v>
      </c>
      <c r="H124" s="9">
        <f>IF(D124="USD",E124*$L$1,E124)</f>
        <v/>
      </c>
      <c r="I124" s="9">
        <f>IF(D124="USD",F124*$L$1,F124)</f>
        <v/>
      </c>
      <c r="J124" s="9">
        <f>IF(D124="USD",G124*$L$1,G124)</f>
        <v/>
      </c>
    </row>
    <row r="125">
      <c r="A125" s="8" t="n">
        <v>45982</v>
      </c>
      <c r="B125" t="inlineStr">
        <is>
          <t>2025-W47</t>
        </is>
      </c>
      <c r="C125" t="inlineStr">
        <is>
          <t>Nuvei</t>
        </is>
      </c>
      <c r="D125" t="inlineStr">
        <is>
          <t>EUR</t>
        </is>
      </c>
      <c r="E125" s="9" t="n">
        <v>25430.83</v>
      </c>
      <c r="F125" s="9" t="n">
        <v>24712.49</v>
      </c>
      <c r="G125" s="9" t="n">
        <v>-30248.31</v>
      </c>
      <c r="H125" s="9">
        <f>IF(D125="USD",E125*$L$1,E125)</f>
        <v/>
      </c>
      <c r="I125" s="9">
        <f>IF(D125="USD",F125*$L$1,F125)</f>
        <v/>
      </c>
      <c r="J125" s="9">
        <f>IF(D125="USD",G125*$L$1,G125)</f>
        <v/>
      </c>
    </row>
    <row r="126">
      <c r="A126" s="8" t="n">
        <v>45983</v>
      </c>
      <c r="B126" t="inlineStr">
        <is>
          <t>2025-W47</t>
        </is>
      </c>
      <c r="C126" t="inlineStr">
        <is>
          <t>Nuvei</t>
        </is>
      </c>
      <c r="D126" t="inlineStr">
        <is>
          <t>EUR</t>
        </is>
      </c>
      <c r="E126" s="9" t="n">
        <v>312917.45</v>
      </c>
      <c r="F126" s="9" t="n">
        <v>308672.14</v>
      </c>
      <c r="G126" s="9" t="n">
        <v>-362225.54</v>
      </c>
      <c r="H126" s="9">
        <f>IF(D126="USD",E126*$L$1,E126)</f>
        <v/>
      </c>
      <c r="I126" s="9">
        <f>IF(D126="USD",F126*$L$1,F126)</f>
        <v/>
      </c>
      <c r="J126" s="9">
        <f>IF(D126="USD",G126*$L$1,G126)</f>
        <v/>
      </c>
    </row>
    <row r="127">
      <c r="A127" s="8" t="n">
        <v>45983</v>
      </c>
      <c r="B127" t="inlineStr">
        <is>
          <t>2025-W47</t>
        </is>
      </c>
      <c r="C127" t="inlineStr">
        <is>
          <t>Nuvei</t>
        </is>
      </c>
      <c r="D127" t="inlineStr">
        <is>
          <t>EUR</t>
        </is>
      </c>
      <c r="E127" s="9" t="n">
        <v>13633.28</v>
      </c>
      <c r="F127" s="9" t="n">
        <v>13229.13</v>
      </c>
      <c r="G127" s="9" t="n">
        <v>-22373.57</v>
      </c>
      <c r="H127" s="9">
        <f>IF(D127="USD",E127*$L$1,E127)</f>
        <v/>
      </c>
      <c r="I127" s="9">
        <f>IF(D127="USD",F127*$L$1,F127)</f>
        <v/>
      </c>
      <c r="J127" s="9">
        <f>IF(D127="USD",G127*$L$1,G127)</f>
        <v/>
      </c>
    </row>
    <row r="128">
      <c r="A128" s="8" t="n">
        <v>45984</v>
      </c>
      <c r="B128" t="inlineStr">
        <is>
          <t>2025-W47</t>
        </is>
      </c>
      <c r="C128" t="inlineStr">
        <is>
          <t>Nuvei</t>
        </is>
      </c>
      <c r="D128" t="inlineStr">
        <is>
          <t>EUR</t>
        </is>
      </c>
      <c r="E128" s="9" t="n">
        <v>416709.08</v>
      </c>
      <c r="F128" s="9" t="n">
        <v>411318.38</v>
      </c>
      <c r="G128" s="9" t="n">
        <v>-302841.19</v>
      </c>
      <c r="H128" s="9">
        <f>IF(D128="USD",E128*$L$1,E128)</f>
        <v/>
      </c>
      <c r="I128" s="9">
        <f>IF(D128="USD",F128*$L$1,F128)</f>
        <v/>
      </c>
      <c r="J128" s="9">
        <f>IF(D128="USD",G128*$L$1,G128)</f>
        <v/>
      </c>
    </row>
    <row r="129">
      <c r="A129" s="8" t="n">
        <v>45984</v>
      </c>
      <c r="B129" t="inlineStr">
        <is>
          <t>2025-W47</t>
        </is>
      </c>
      <c r="C129" t="inlineStr">
        <is>
          <t>Nuvei</t>
        </is>
      </c>
      <c r="D129" t="inlineStr">
        <is>
          <t>EUR</t>
        </is>
      </c>
      <c r="E129" s="9" t="n">
        <v>25510.57</v>
      </c>
      <c r="F129" s="9" t="n">
        <v>24785.18</v>
      </c>
      <c r="G129" s="9" t="n">
        <v>-24708.99</v>
      </c>
      <c r="H129" s="9">
        <f>IF(D129="USD",E129*$L$1,E129)</f>
        <v/>
      </c>
      <c r="I129" s="9">
        <f>IF(D129="USD",F129*$L$1,F129)</f>
        <v/>
      </c>
      <c r="J129" s="9">
        <f>IF(D129="USD",G129*$L$1,G129)</f>
        <v/>
      </c>
    </row>
    <row r="130">
      <c r="A130" s="8" t="n">
        <v>45985</v>
      </c>
      <c r="B130" t="inlineStr">
        <is>
          <t>2025-W48</t>
        </is>
      </c>
      <c r="C130" t="inlineStr">
        <is>
          <t>Nuvei</t>
        </is>
      </c>
      <c r="D130" t="inlineStr">
        <is>
          <t>EUR</t>
        </is>
      </c>
      <c r="E130" s="9" t="n">
        <v>365240.18</v>
      </c>
      <c r="F130" s="9" t="n">
        <v>360352.29</v>
      </c>
      <c r="G130" s="9" t="n">
        <v>-1080339.31</v>
      </c>
      <c r="H130" s="9">
        <f>IF(D130="USD",E130*$L$1,E130)</f>
        <v/>
      </c>
      <c r="I130" s="9">
        <f>IF(D130="USD",F130*$L$1,F130)</f>
        <v/>
      </c>
      <c r="J130" s="9">
        <f>IF(D130="USD",G130*$L$1,G130)</f>
        <v/>
      </c>
    </row>
    <row r="131">
      <c r="A131" s="8" t="n">
        <v>45985</v>
      </c>
      <c r="B131" t="inlineStr">
        <is>
          <t>2025-W48</t>
        </is>
      </c>
      <c r="C131" t="inlineStr">
        <is>
          <t>Nuvei</t>
        </is>
      </c>
      <c r="D131" t="inlineStr">
        <is>
          <t>EUR</t>
        </is>
      </c>
      <c r="E131" s="9" t="n">
        <v>22331.58</v>
      </c>
      <c r="F131" s="9" t="n">
        <v>21724.48</v>
      </c>
      <c r="G131" s="9" t="n">
        <v>-59735.28</v>
      </c>
      <c r="H131" s="9">
        <f>IF(D131="USD",E131*$L$1,E131)</f>
        <v/>
      </c>
      <c r="I131" s="9">
        <f>IF(D131="USD",F131*$L$1,F131)</f>
        <v/>
      </c>
      <c r="J131" s="9">
        <f>IF(D131="USD",G131*$L$1,G131)</f>
        <v/>
      </c>
    </row>
    <row r="132">
      <c r="A132" s="8" t="n">
        <v>45986</v>
      </c>
      <c r="B132" t="inlineStr">
        <is>
          <t>2025-W48</t>
        </is>
      </c>
      <c r="C132" t="inlineStr">
        <is>
          <t>Nuvei</t>
        </is>
      </c>
      <c r="D132" t="inlineStr">
        <is>
          <t>EUR</t>
        </is>
      </c>
      <c r="E132" s="9" t="n">
        <v>419766.98</v>
      </c>
      <c r="F132" s="9" t="n">
        <v>414090.08</v>
      </c>
      <c r="G132" s="9" t="n">
        <v>-414071.59</v>
      </c>
      <c r="H132" s="9">
        <f>IF(D132="USD",E132*$L$1,E132)</f>
        <v/>
      </c>
      <c r="I132" s="9">
        <f>IF(D132="USD",F132*$L$1,F132)</f>
        <v/>
      </c>
      <c r="J132" s="9">
        <f>IF(D132="USD",G132*$L$1,G132)</f>
        <v/>
      </c>
    </row>
    <row r="133">
      <c r="A133" s="8" t="n">
        <v>45986</v>
      </c>
      <c r="B133" t="inlineStr">
        <is>
          <t>2025-W48</t>
        </is>
      </c>
      <c r="C133" t="inlineStr">
        <is>
          <t>Nuvei</t>
        </is>
      </c>
      <c r="D133" t="inlineStr">
        <is>
          <t>EUR</t>
        </is>
      </c>
      <c r="E133" s="9" t="n">
        <v>30003.92</v>
      </c>
      <c r="F133" s="9" t="n">
        <v>29208.2</v>
      </c>
      <c r="G133" s="9" t="n">
        <v>-29204.7</v>
      </c>
      <c r="H133" s="9">
        <f>IF(D133="USD",E133*$L$1,E133)</f>
        <v/>
      </c>
      <c r="I133" s="9">
        <f>IF(D133="USD",F133*$L$1,F133)</f>
        <v/>
      </c>
      <c r="J133" s="9">
        <f>IF(D133="USD",G133*$L$1,G133)</f>
        <v/>
      </c>
    </row>
    <row r="134">
      <c r="A134" s="8" t="n">
        <v>45987</v>
      </c>
      <c r="B134" t="inlineStr">
        <is>
          <t>2025-W48</t>
        </is>
      </c>
      <c r="C134" t="inlineStr">
        <is>
          <t>Nuvei</t>
        </is>
      </c>
      <c r="D134" t="inlineStr">
        <is>
          <t>EUR</t>
        </is>
      </c>
      <c r="E134" s="9" t="n">
        <v>393430.31</v>
      </c>
      <c r="F134" s="9" t="n">
        <v>388125.47</v>
      </c>
      <c r="G134" s="9" t="n">
        <v>-388121.97</v>
      </c>
      <c r="H134" s="9">
        <f>IF(D134="USD",E134*$L$1,E134)</f>
        <v/>
      </c>
      <c r="I134" s="9">
        <f>IF(D134="USD",F134*$L$1,F134)</f>
        <v/>
      </c>
      <c r="J134" s="9">
        <f>IF(D134="USD",G134*$L$1,G134)</f>
        <v/>
      </c>
    </row>
    <row r="135">
      <c r="A135" s="8" t="n">
        <v>45987</v>
      </c>
      <c r="B135" t="inlineStr">
        <is>
          <t>2025-W48</t>
        </is>
      </c>
      <c r="C135" t="inlineStr">
        <is>
          <t>Nuvei</t>
        </is>
      </c>
      <c r="D135" t="inlineStr">
        <is>
          <t>EUR</t>
        </is>
      </c>
      <c r="E135" s="9" t="n">
        <v>25773.69</v>
      </c>
      <c r="F135" s="9" t="n">
        <v>25036.66</v>
      </c>
      <c r="G135" s="9" t="n">
        <v>-25033.16</v>
      </c>
      <c r="H135" s="9">
        <f>IF(D135="USD",E135*$L$1,E135)</f>
        <v/>
      </c>
      <c r="I135" s="9">
        <f>IF(D135="USD",F135*$L$1,F135)</f>
        <v/>
      </c>
      <c r="J135" s="9">
        <f>IF(D135="USD",G135*$L$1,G135)</f>
        <v/>
      </c>
    </row>
    <row r="136">
      <c r="A136" s="8" t="n">
        <v>45988</v>
      </c>
      <c r="B136" t="inlineStr">
        <is>
          <t>2025-W48</t>
        </is>
      </c>
      <c r="C136" t="inlineStr">
        <is>
          <t>Nuvei</t>
        </is>
      </c>
      <c r="D136" t="inlineStr">
        <is>
          <t>EUR</t>
        </is>
      </c>
      <c r="E136" s="9" t="n">
        <v>359169.77</v>
      </c>
      <c r="F136" s="9" t="n">
        <v>354308.76</v>
      </c>
      <c r="G136" s="9" t="n">
        <v>-354305.25</v>
      </c>
      <c r="H136" s="9">
        <f>IF(D136="USD",E136*$L$1,E136)</f>
        <v/>
      </c>
      <c r="I136" s="9">
        <f>IF(D136="USD",F136*$L$1,F136)</f>
        <v/>
      </c>
      <c r="J136" s="9">
        <f>IF(D136="USD",G136*$L$1,G136)</f>
        <v/>
      </c>
    </row>
    <row r="137">
      <c r="A137" s="8" t="n">
        <v>45988</v>
      </c>
      <c r="B137" t="inlineStr">
        <is>
          <t>2025-W48</t>
        </is>
      </c>
      <c r="C137" t="inlineStr">
        <is>
          <t>Nuvei</t>
        </is>
      </c>
      <c r="D137" t="inlineStr">
        <is>
          <t>EUR</t>
        </is>
      </c>
      <c r="E137" s="9" t="n">
        <v>26046.46</v>
      </c>
      <c r="F137" s="9" t="n">
        <v>25318.85</v>
      </c>
      <c r="G137" s="9" t="n">
        <v>-25315.35</v>
      </c>
      <c r="H137" s="9">
        <f>IF(D137="USD",E137*$L$1,E137)</f>
        <v/>
      </c>
      <c r="I137" s="9">
        <f>IF(D137="USD",F137*$L$1,F137)</f>
        <v/>
      </c>
      <c r="J137" s="9">
        <f>IF(D137="USD",G137*$L$1,G137)</f>
        <v/>
      </c>
    </row>
    <row r="138">
      <c r="A138" s="8" t="n">
        <v>45989</v>
      </c>
      <c r="B138" t="inlineStr">
        <is>
          <t>2025-W48</t>
        </is>
      </c>
      <c r="C138" t="inlineStr">
        <is>
          <t>Nuvei</t>
        </is>
      </c>
      <c r="D138" t="inlineStr">
        <is>
          <t>EUR</t>
        </is>
      </c>
      <c r="E138" s="9" t="n">
        <v>546494.48</v>
      </c>
      <c r="F138" s="9" t="n">
        <v>539516.27</v>
      </c>
      <c r="G138" s="9" t="n">
        <v>-539512.77</v>
      </c>
      <c r="H138" s="9">
        <f>IF(D138="USD",E138*$L$1,E138)</f>
        <v/>
      </c>
      <c r="I138" s="9">
        <f>IF(D138="USD",F138*$L$1,F138)</f>
        <v/>
      </c>
      <c r="J138" s="9">
        <f>IF(D138="USD",G138*$L$1,G138)</f>
        <v/>
      </c>
    </row>
    <row r="139">
      <c r="A139" s="8" t="n">
        <v>45989</v>
      </c>
      <c r="B139" t="inlineStr">
        <is>
          <t>2025-W48</t>
        </is>
      </c>
      <c r="C139" t="inlineStr">
        <is>
          <t>Nuvei</t>
        </is>
      </c>
      <c r="D139" t="inlineStr">
        <is>
          <t>EUR</t>
        </is>
      </c>
      <c r="E139" s="9" t="n">
        <v>26552.48</v>
      </c>
      <c r="F139" s="9" t="n">
        <v>25772.56</v>
      </c>
      <c r="G139" s="9" t="n">
        <v>-25769.07</v>
      </c>
      <c r="H139" s="9">
        <f>IF(D139="USD",E139*$L$1,E139)</f>
        <v/>
      </c>
      <c r="I139" s="9">
        <f>IF(D139="USD",F139*$L$1,F139)</f>
        <v/>
      </c>
      <c r="J139" s="9">
        <f>IF(D139="USD",G139*$L$1,G139)</f>
        <v/>
      </c>
    </row>
    <row r="140">
      <c r="A140" s="8" t="n">
        <v>45990</v>
      </c>
      <c r="B140" t="inlineStr">
        <is>
          <t>2025-W48</t>
        </is>
      </c>
      <c r="C140" t="inlineStr">
        <is>
          <t>Nuvei</t>
        </is>
      </c>
      <c r="D140" t="inlineStr">
        <is>
          <t>EUR</t>
        </is>
      </c>
      <c r="E140" s="9" t="n">
        <v>394122.68</v>
      </c>
      <c r="F140" s="9" t="n">
        <v>389200.03</v>
      </c>
      <c r="G140" s="9" t="n">
        <v>0</v>
      </c>
      <c r="H140" s="9">
        <f>IF(D140="USD",E140*$L$1,E140)</f>
        <v/>
      </c>
      <c r="I140" s="9">
        <f>IF(D140="USD",F140*$L$1,F140)</f>
        <v/>
      </c>
      <c r="J140" s="9">
        <f>IF(D140="USD",G140*$L$1,G140)</f>
        <v/>
      </c>
    </row>
    <row r="141">
      <c r="A141" s="8" t="n">
        <v>45990</v>
      </c>
      <c r="B141" t="inlineStr">
        <is>
          <t>2025-W48</t>
        </is>
      </c>
      <c r="C141" t="inlineStr">
        <is>
          <t>Nuvei</t>
        </is>
      </c>
      <c r="D141" t="inlineStr">
        <is>
          <t>EUR</t>
        </is>
      </c>
      <c r="E141" s="9" t="n">
        <v>15839.26</v>
      </c>
      <c r="F141" s="9" t="n">
        <v>15412.54</v>
      </c>
      <c r="G141" s="9" t="n">
        <v>0</v>
      </c>
      <c r="H141" s="9">
        <f>IF(D141="USD",E141*$L$1,E141)</f>
        <v/>
      </c>
      <c r="I141" s="9">
        <f>IF(D141="USD",F141*$L$1,F141)</f>
        <v/>
      </c>
      <c r="J141" s="9">
        <f>IF(D141="USD",G141*$L$1,G141)</f>
        <v/>
      </c>
    </row>
    <row r="142">
      <c r="A142" s="8" t="n">
        <v>45991</v>
      </c>
      <c r="B142" t="inlineStr">
        <is>
          <t>2025-W48</t>
        </is>
      </c>
      <c r="C142" t="inlineStr">
        <is>
          <t>Nuvei</t>
        </is>
      </c>
      <c r="D142" t="inlineStr">
        <is>
          <t>EUR</t>
        </is>
      </c>
      <c r="E142" s="9" t="n">
        <v>527801.84</v>
      </c>
      <c r="F142" s="9" t="n">
        <v>521506.7</v>
      </c>
      <c r="G142" s="9" t="n">
        <v>0</v>
      </c>
      <c r="H142" s="9">
        <f>IF(D142="USD",E142*$L$1,E142)</f>
        <v/>
      </c>
      <c r="I142" s="9">
        <f>IF(D142="USD",F142*$L$1,F142)</f>
        <v/>
      </c>
      <c r="J142" s="9">
        <f>IF(D142="USD",G142*$L$1,G142)</f>
        <v/>
      </c>
    </row>
    <row r="143">
      <c r="A143" s="8" t="n">
        <v>45991</v>
      </c>
      <c r="B143" t="inlineStr">
        <is>
          <t>2025-W48</t>
        </is>
      </c>
      <c r="C143" t="inlineStr">
        <is>
          <t>Nuvei</t>
        </is>
      </c>
      <c r="D143" t="inlineStr">
        <is>
          <t>EUR</t>
        </is>
      </c>
      <c r="E143" s="9" t="n">
        <v>26547.58</v>
      </c>
      <c r="F143" s="9" t="n">
        <v>25783.61</v>
      </c>
      <c r="G143" s="9" t="n">
        <v>0</v>
      </c>
      <c r="H143" s="9">
        <f>IF(D143="USD",E143*$L$1,E143)</f>
        <v/>
      </c>
      <c r="I143" s="9">
        <f>IF(D143="USD",F143*$L$1,F143)</f>
        <v/>
      </c>
      <c r="J143" s="9">
        <f>IF(D143="USD",G143*$L$1,G143)</f>
        <v/>
      </c>
    </row>
    <row r="144">
      <c r="A144" s="8" t="n">
        <v>45992</v>
      </c>
      <c r="B144" t="inlineStr">
        <is>
          <t>2025-W49</t>
        </is>
      </c>
      <c r="C144" t="inlineStr">
        <is>
          <t>Nuvei</t>
        </is>
      </c>
      <c r="D144" t="inlineStr">
        <is>
          <t>EUR</t>
        </is>
      </c>
      <c r="E144" s="9" t="n">
        <v>439176.21</v>
      </c>
      <c r="F144" s="9" t="n">
        <v>433597.37</v>
      </c>
      <c r="G144" s="9" t="n">
        <v>-1344290.61</v>
      </c>
      <c r="H144" s="9">
        <f>IF(D144="USD",E144*$L$1,E144)</f>
        <v/>
      </c>
      <c r="I144" s="9">
        <f>IF(D144="USD",F144*$L$1,F144)</f>
        <v/>
      </c>
      <c r="J144" s="9">
        <f>IF(D144="USD",G144*$L$1,G144)</f>
        <v/>
      </c>
    </row>
    <row r="145">
      <c r="A145" s="8" t="n">
        <v>45992</v>
      </c>
      <c r="B145" t="inlineStr">
        <is>
          <t>2025-W49</t>
        </is>
      </c>
      <c r="C145" t="inlineStr">
        <is>
          <t>Nuvei</t>
        </is>
      </c>
      <c r="D145" t="inlineStr">
        <is>
          <t>EUR</t>
        </is>
      </c>
      <c r="E145" s="9" t="n">
        <v>20258.06</v>
      </c>
      <c r="F145" s="9" t="n">
        <v>19677.03</v>
      </c>
      <c r="G145" s="9" t="n">
        <v>-60869.68</v>
      </c>
      <c r="H145" s="9">
        <f>IF(D145="USD",E145*$L$1,E145)</f>
        <v/>
      </c>
      <c r="I145" s="9">
        <f>IF(D145="USD",F145*$L$1,F145)</f>
        <v/>
      </c>
      <c r="J145" s="9">
        <f>IF(D145="USD",G145*$L$1,G145)</f>
        <v/>
      </c>
    </row>
    <row r="146">
      <c r="A146" s="8" t="n">
        <v>45993</v>
      </c>
      <c r="B146" t="inlineStr">
        <is>
          <t>2025-W49</t>
        </is>
      </c>
      <c r="C146" t="inlineStr">
        <is>
          <t>Nuvei</t>
        </is>
      </c>
      <c r="D146" t="inlineStr">
        <is>
          <t>EUR</t>
        </is>
      </c>
      <c r="E146" s="9" t="n">
        <v>469578.28</v>
      </c>
      <c r="F146" s="9" t="n">
        <v>463175.26</v>
      </c>
      <c r="G146" s="9" t="n">
        <v>-463171.77</v>
      </c>
      <c r="H146" s="9">
        <f>IF(D146="USD",E146*$L$1,E146)</f>
        <v/>
      </c>
      <c r="I146" s="9">
        <f>IF(D146="USD",F146*$L$1,F146)</f>
        <v/>
      </c>
      <c r="J146" s="9">
        <f>IF(D146="USD",G146*$L$1,G146)</f>
        <v/>
      </c>
    </row>
    <row r="147">
      <c r="A147" s="8" t="n">
        <v>45993</v>
      </c>
      <c r="B147" t="inlineStr">
        <is>
          <t>2025-W49</t>
        </is>
      </c>
      <c r="C147" t="inlineStr">
        <is>
          <t>Nuvei</t>
        </is>
      </c>
      <c r="D147" t="inlineStr">
        <is>
          <t>EUR</t>
        </is>
      </c>
      <c r="E147" s="9" t="n">
        <v>18235.29</v>
      </c>
      <c r="F147" s="9" t="n">
        <v>17729.83</v>
      </c>
      <c r="G147" s="9" t="n">
        <v>-17726.33</v>
      </c>
      <c r="H147" s="9">
        <f>IF(D147="USD",E147*$L$1,E147)</f>
        <v/>
      </c>
      <c r="I147" s="9">
        <f>IF(D147="USD",F147*$L$1,F147)</f>
        <v/>
      </c>
      <c r="J147" s="9">
        <f>IF(D147="USD",G147*$L$1,G147)</f>
        <v/>
      </c>
    </row>
    <row r="148">
      <c r="A148" s="8" t="n">
        <v>45994</v>
      </c>
      <c r="B148" t="inlineStr">
        <is>
          <t>2025-W49</t>
        </is>
      </c>
      <c r="C148" t="inlineStr">
        <is>
          <t>Nuvei</t>
        </is>
      </c>
      <c r="D148" t="inlineStr">
        <is>
          <t>EUR</t>
        </is>
      </c>
      <c r="E148" s="9" t="n">
        <v>372215.88</v>
      </c>
      <c r="F148" s="9" t="n">
        <v>366838.49</v>
      </c>
      <c r="G148" s="9" t="n">
        <v>-366835</v>
      </c>
      <c r="H148" s="9">
        <f>IF(D148="USD",E148*$L$1,E148)</f>
        <v/>
      </c>
      <c r="I148" s="9">
        <f>IF(D148="USD",F148*$L$1,F148)</f>
        <v/>
      </c>
      <c r="J148" s="9">
        <f>IF(D148="USD",G148*$L$1,G148)</f>
        <v/>
      </c>
    </row>
    <row r="149">
      <c r="A149" s="8" t="n">
        <v>45994</v>
      </c>
      <c r="B149" t="inlineStr">
        <is>
          <t>2025-W49</t>
        </is>
      </c>
      <c r="C149" t="inlineStr">
        <is>
          <t>Nuvei</t>
        </is>
      </c>
      <c r="D149" t="inlineStr">
        <is>
          <t>EUR</t>
        </is>
      </c>
      <c r="E149" s="9" t="n">
        <v>24402.67</v>
      </c>
      <c r="F149" s="9" t="n">
        <v>23695.71</v>
      </c>
      <c r="G149" s="9" t="n">
        <v>-23692.22</v>
      </c>
      <c r="H149" s="9">
        <f>IF(D149="USD",E149*$L$1,E149)</f>
        <v/>
      </c>
      <c r="I149" s="9">
        <f>IF(D149="USD",F149*$L$1,F149)</f>
        <v/>
      </c>
      <c r="J149" s="9">
        <f>IF(D149="USD",G149*$L$1,G149)</f>
        <v/>
      </c>
    </row>
    <row r="150">
      <c r="A150" s="8" t="n">
        <v>45995</v>
      </c>
      <c r="B150" t="inlineStr">
        <is>
          <t>2025-W49</t>
        </is>
      </c>
      <c r="C150" t="inlineStr">
        <is>
          <t>Nuvei</t>
        </is>
      </c>
      <c r="D150" t="inlineStr">
        <is>
          <t>EUR</t>
        </is>
      </c>
      <c r="E150" s="9" t="n">
        <v>336572.66</v>
      </c>
      <c r="F150" s="9" t="n">
        <v>331802</v>
      </c>
      <c r="G150" s="9" t="n">
        <v>-331798.57</v>
      </c>
      <c r="H150" s="9">
        <f>IF(D150="USD",E150*$L$1,E150)</f>
        <v/>
      </c>
      <c r="I150" s="9">
        <f>IF(D150="USD",F150*$L$1,F150)</f>
        <v/>
      </c>
      <c r="J150" s="9">
        <f>IF(D150="USD",G150*$L$1,G150)</f>
        <v/>
      </c>
    </row>
    <row r="151">
      <c r="A151" s="8" t="n">
        <v>45995</v>
      </c>
      <c r="B151" t="inlineStr">
        <is>
          <t>2025-W49</t>
        </is>
      </c>
      <c r="C151" t="inlineStr">
        <is>
          <t>Nuvei</t>
        </is>
      </c>
      <c r="D151" t="inlineStr">
        <is>
          <t>EUR</t>
        </is>
      </c>
      <c r="E151" s="9" t="n">
        <v>21044.44</v>
      </c>
      <c r="F151" s="9" t="n">
        <v>20432.45</v>
      </c>
      <c r="G151" s="9" t="n">
        <v>-20428.94</v>
      </c>
      <c r="H151" s="9">
        <f>IF(D151="USD",E151*$L$1,E151)</f>
        <v/>
      </c>
      <c r="I151" s="9">
        <f>IF(D151="USD",F151*$L$1,F151)</f>
        <v/>
      </c>
      <c r="J151" s="9">
        <f>IF(D151="USD",G151*$L$1,G151)</f>
        <v/>
      </c>
    </row>
    <row r="152">
      <c r="A152" s="8" t="n">
        <v>45996</v>
      </c>
      <c r="B152" t="inlineStr">
        <is>
          <t>2025-W49</t>
        </is>
      </c>
      <c r="C152" t="inlineStr">
        <is>
          <t>Nuvei</t>
        </is>
      </c>
      <c r="D152" t="inlineStr">
        <is>
          <t>EUR</t>
        </is>
      </c>
      <c r="E152" s="9" t="n">
        <v>271111.22</v>
      </c>
      <c r="F152" s="9" t="n">
        <v>267329.9</v>
      </c>
      <c r="G152" s="9" t="n">
        <v>-267326.41</v>
      </c>
      <c r="H152" s="9">
        <f>IF(D152="USD",E152*$L$1,E152)</f>
        <v/>
      </c>
      <c r="I152" s="9">
        <f>IF(D152="USD",F152*$L$1,F152)</f>
        <v/>
      </c>
      <c r="J152" s="9">
        <f>IF(D152="USD",G152*$L$1,G152)</f>
        <v/>
      </c>
    </row>
    <row r="153">
      <c r="A153" s="8" t="n">
        <v>45996</v>
      </c>
      <c r="B153" t="inlineStr">
        <is>
          <t>2025-W49</t>
        </is>
      </c>
      <c r="C153" t="inlineStr">
        <is>
          <t>Nuvei</t>
        </is>
      </c>
      <c r="D153" t="inlineStr">
        <is>
          <t>EUR</t>
        </is>
      </c>
      <c r="E153" s="9" t="n">
        <v>13098.7</v>
      </c>
      <c r="F153" s="9" t="n">
        <v>12725.62</v>
      </c>
      <c r="G153" s="9" t="n">
        <v>-12722.13</v>
      </c>
      <c r="H153" s="9">
        <f>IF(D153="USD",E153*$L$1,E153)</f>
        <v/>
      </c>
      <c r="I153" s="9">
        <f>IF(D153="USD",F153*$L$1,F153)</f>
        <v/>
      </c>
      <c r="J153" s="9">
        <f>IF(D153="USD",G153*$L$1,G153)</f>
        <v/>
      </c>
    </row>
    <row r="154">
      <c r="A154" s="8" t="n">
        <v>45997</v>
      </c>
      <c r="B154" t="inlineStr">
        <is>
          <t>2025-W49</t>
        </is>
      </c>
      <c r="C154" t="inlineStr">
        <is>
          <t>Nuvei</t>
        </is>
      </c>
      <c r="D154" t="inlineStr">
        <is>
          <t>EUR</t>
        </is>
      </c>
      <c r="E154" s="9" t="n">
        <v>262992.57</v>
      </c>
      <c r="F154" s="9" t="n">
        <v>259642.64</v>
      </c>
      <c r="G154" s="9" t="n">
        <v>0</v>
      </c>
      <c r="H154" s="9">
        <f>IF(D154="USD",E154*$L$1,E154)</f>
        <v/>
      </c>
      <c r="I154" s="9">
        <f>IF(D154="USD",F154*$L$1,F154)</f>
        <v/>
      </c>
      <c r="J154" s="9">
        <f>IF(D154="USD",G154*$L$1,G154)</f>
        <v/>
      </c>
    </row>
    <row r="155">
      <c r="A155" s="8" t="n">
        <v>45997</v>
      </c>
      <c r="B155" t="inlineStr">
        <is>
          <t>2025-W49</t>
        </is>
      </c>
      <c r="C155" t="inlineStr">
        <is>
          <t>Nuvei</t>
        </is>
      </c>
      <c r="D155" t="inlineStr">
        <is>
          <t>EUR</t>
        </is>
      </c>
      <c r="E155" s="9" t="n">
        <v>13087.88</v>
      </c>
      <c r="F155" s="9" t="n">
        <v>12703.07</v>
      </c>
      <c r="G155" s="9" t="n">
        <v>0</v>
      </c>
      <c r="H155" s="9">
        <f>IF(D155="USD",E155*$L$1,E155)</f>
        <v/>
      </c>
      <c r="I155" s="9">
        <f>IF(D155="USD",F155*$L$1,F155)</f>
        <v/>
      </c>
      <c r="J155" s="9">
        <f>IF(D155="USD",G155*$L$1,G155)</f>
        <v/>
      </c>
    </row>
    <row r="156">
      <c r="A156" s="8" t="n">
        <v>45998</v>
      </c>
      <c r="B156" t="inlineStr">
        <is>
          <t>2025-W49</t>
        </is>
      </c>
      <c r="C156" t="inlineStr">
        <is>
          <t>Nuvei</t>
        </is>
      </c>
      <c r="D156" t="inlineStr">
        <is>
          <t>EUR</t>
        </is>
      </c>
      <c r="E156" s="9" t="n">
        <v>337549.13</v>
      </c>
      <c r="F156" s="9" t="n">
        <v>333041.74</v>
      </c>
      <c r="G156" s="9" t="n">
        <v>0</v>
      </c>
      <c r="H156" s="9">
        <f>IF(D156="USD",E156*$L$1,E156)</f>
        <v/>
      </c>
      <c r="I156" s="9">
        <f>IF(D156="USD",F156*$L$1,F156)</f>
        <v/>
      </c>
      <c r="J156" s="9">
        <f>IF(D156="USD",G156*$L$1,G156)</f>
        <v/>
      </c>
    </row>
    <row r="157">
      <c r="A157" s="8" t="n">
        <v>45998</v>
      </c>
      <c r="B157" t="inlineStr">
        <is>
          <t>2025-W49</t>
        </is>
      </c>
      <c r="C157" t="inlineStr">
        <is>
          <t>Nuvei</t>
        </is>
      </c>
      <c r="D157" t="inlineStr">
        <is>
          <t>EUR</t>
        </is>
      </c>
      <c r="E157" s="9" t="n">
        <v>17193.51</v>
      </c>
      <c r="F157" s="9" t="n">
        <v>16720.83</v>
      </c>
      <c r="G157" s="9" t="n">
        <v>0</v>
      </c>
      <c r="H157" s="9">
        <f>IF(D157="USD",E157*$L$1,E157)</f>
        <v/>
      </c>
      <c r="I157" s="9">
        <f>IF(D157="USD",F157*$L$1,F157)</f>
        <v/>
      </c>
      <c r="J157" s="9">
        <f>IF(D157="USD",G157*$L$1,G157)</f>
        <v/>
      </c>
    </row>
    <row r="158">
      <c r="A158" s="8" t="n">
        <v>45999</v>
      </c>
      <c r="B158" t="inlineStr">
        <is>
          <t>2025-W50</t>
        </is>
      </c>
      <c r="C158" t="inlineStr">
        <is>
          <t>Nuvei</t>
        </is>
      </c>
      <c r="D158" t="inlineStr">
        <is>
          <t>EUR</t>
        </is>
      </c>
      <c r="E158" s="9" t="n">
        <v>303857.81</v>
      </c>
      <c r="F158" s="9" t="n">
        <v>299867.69</v>
      </c>
      <c r="G158" s="9" t="n">
        <v>-892538.5699999999</v>
      </c>
      <c r="H158" s="9">
        <f>IF(D158="USD",E158*$L$1,E158)</f>
        <v/>
      </c>
      <c r="I158" s="9">
        <f>IF(D158="USD",F158*$L$1,F158)</f>
        <v/>
      </c>
      <c r="J158" s="9">
        <f>IF(D158="USD",G158*$L$1,G158)</f>
        <v/>
      </c>
    </row>
    <row r="159">
      <c r="A159" s="8" t="n">
        <v>45999</v>
      </c>
      <c r="B159" t="inlineStr">
        <is>
          <t>2025-W50</t>
        </is>
      </c>
      <c r="C159" t="inlineStr">
        <is>
          <t>Nuvei</t>
        </is>
      </c>
      <c r="D159" t="inlineStr">
        <is>
          <t>EUR</t>
        </is>
      </c>
      <c r="E159" s="9" t="n">
        <v>23095.68</v>
      </c>
      <c r="F159" s="9" t="n">
        <v>22440.34</v>
      </c>
      <c r="G159" s="9" t="n">
        <v>-51860.75</v>
      </c>
      <c r="H159" s="9">
        <f>IF(D159="USD",E159*$L$1,E159)</f>
        <v/>
      </c>
      <c r="I159" s="9">
        <f>IF(D159="USD",F159*$L$1,F159)</f>
        <v/>
      </c>
      <c r="J159" s="9">
        <f>IF(D159="USD",G159*$L$1,G159)</f>
        <v/>
      </c>
    </row>
    <row r="160">
      <c r="A160" s="8" t="n">
        <v>46000</v>
      </c>
      <c r="B160" t="inlineStr">
        <is>
          <t>2025-W50</t>
        </is>
      </c>
      <c r="C160" t="inlineStr">
        <is>
          <t>Nuvei</t>
        </is>
      </c>
      <c r="D160" t="inlineStr">
        <is>
          <t>EUR</t>
        </is>
      </c>
      <c r="E160" s="9" t="n">
        <v>343350.18</v>
      </c>
      <c r="F160" s="9" t="n">
        <v>338637.2</v>
      </c>
      <c r="G160" s="9" t="n">
        <v>-338633.7</v>
      </c>
      <c r="H160" s="9">
        <f>IF(D160="USD",E160*$L$1,E160)</f>
        <v/>
      </c>
      <c r="I160" s="9">
        <f>IF(D160="USD",F160*$L$1,F160)</f>
        <v/>
      </c>
      <c r="J160" s="9">
        <f>IF(D160="USD",G160*$L$1,G160)</f>
        <v/>
      </c>
    </row>
    <row r="161">
      <c r="A161" s="8" t="n">
        <v>46000</v>
      </c>
      <c r="B161" t="inlineStr">
        <is>
          <t>2025-W50</t>
        </is>
      </c>
      <c r="C161" t="inlineStr">
        <is>
          <t>Nuvei</t>
        </is>
      </c>
      <c r="D161" t="inlineStr">
        <is>
          <t>EUR</t>
        </is>
      </c>
      <c r="E161" s="9" t="n">
        <v>21218.07</v>
      </c>
      <c r="F161" s="9" t="n">
        <v>20601.96</v>
      </c>
      <c r="G161" s="9" t="n">
        <v>-20598.46</v>
      </c>
      <c r="H161" s="9">
        <f>IF(D161="USD",E161*$L$1,E161)</f>
        <v/>
      </c>
      <c r="I161" s="9">
        <f>IF(D161="USD",F161*$L$1,F161)</f>
        <v/>
      </c>
      <c r="J161" s="9">
        <f>IF(D161="USD",G161*$L$1,G161)</f>
        <v/>
      </c>
    </row>
    <row r="162">
      <c r="A162" s="8" t="n">
        <v>46001</v>
      </c>
      <c r="B162" t="inlineStr">
        <is>
          <t>2025-W50</t>
        </is>
      </c>
      <c r="C162" t="inlineStr">
        <is>
          <t>Nuvei</t>
        </is>
      </c>
      <c r="D162" t="inlineStr">
        <is>
          <t>EUR</t>
        </is>
      </c>
      <c r="E162" s="9" t="n">
        <v>358000.33</v>
      </c>
      <c r="F162" s="9" t="n">
        <v>353117.28</v>
      </c>
      <c r="G162" s="9" t="n">
        <v>-353113.77</v>
      </c>
      <c r="H162" s="9">
        <f>IF(D162="USD",E162*$L$1,E162)</f>
        <v/>
      </c>
      <c r="I162" s="9">
        <f>IF(D162="USD",F162*$L$1,F162)</f>
        <v/>
      </c>
      <c r="J162" s="9">
        <f>IF(D162="USD",G162*$L$1,G162)</f>
        <v/>
      </c>
    </row>
    <row r="163">
      <c r="A163" s="8" t="n">
        <v>46001</v>
      </c>
      <c r="B163" t="inlineStr">
        <is>
          <t>2025-W50</t>
        </is>
      </c>
      <c r="C163" t="inlineStr">
        <is>
          <t>Nuvei</t>
        </is>
      </c>
      <c r="D163" t="inlineStr">
        <is>
          <t>EUR</t>
        </is>
      </c>
      <c r="E163" s="9" t="n">
        <v>17013.59</v>
      </c>
      <c r="F163" s="9" t="n">
        <v>16514.88</v>
      </c>
      <c r="G163" s="9" t="n">
        <v>-16511.38</v>
      </c>
      <c r="H163" s="9">
        <f>IF(D163="USD",E163*$L$1,E163)</f>
        <v/>
      </c>
      <c r="I163" s="9">
        <f>IF(D163="USD",F163*$L$1,F163)</f>
        <v/>
      </c>
      <c r="J163" s="9">
        <f>IF(D163="USD",G163*$L$1,G163)</f>
        <v/>
      </c>
    </row>
    <row r="164">
      <c r="A164" s="8" t="n">
        <v>46001</v>
      </c>
      <c r="B164" t="inlineStr">
        <is>
          <t>2025-W50</t>
        </is>
      </c>
      <c r="C164" t="inlineStr">
        <is>
          <t>Nuvei</t>
        </is>
      </c>
      <c r="D164" t="inlineStr">
        <is>
          <t>EUR</t>
        </is>
      </c>
      <c r="E164" s="9" t="n">
        <v>298668.15</v>
      </c>
      <c r="F164" s="9" t="n">
        <v>294767.11</v>
      </c>
      <c r="G164" s="9" t="n">
        <v>-294763.61</v>
      </c>
      <c r="H164" s="9">
        <f>IF(D164="USD",E164*$L$1,E164)</f>
        <v/>
      </c>
      <c r="I164" s="9">
        <f>IF(D164="USD",F164*$L$1,F164)</f>
        <v/>
      </c>
      <c r="J164" s="9">
        <f>IF(D164="USD",G164*$L$1,G164)</f>
        <v/>
      </c>
    </row>
    <row r="165">
      <c r="A165" s="8" t="n">
        <v>46001</v>
      </c>
      <c r="B165" t="inlineStr">
        <is>
          <t>2025-W50</t>
        </is>
      </c>
      <c r="C165" t="inlineStr">
        <is>
          <t>Nuvei</t>
        </is>
      </c>
      <c r="D165" t="inlineStr">
        <is>
          <t>EUR</t>
        </is>
      </c>
      <c r="E165" s="9" t="n">
        <v>22118.44</v>
      </c>
      <c r="F165" s="9" t="n">
        <v>21484.76</v>
      </c>
      <c r="G165" s="9" t="n">
        <v>-21481.26</v>
      </c>
      <c r="H165" s="9">
        <f>IF(D165="USD",E165*$L$1,E165)</f>
        <v/>
      </c>
      <c r="I165" s="9">
        <f>IF(D165="USD",F165*$L$1,F165)</f>
        <v/>
      </c>
      <c r="J165" s="9">
        <f>IF(D165="USD",G165*$L$1,G165)</f>
        <v/>
      </c>
    </row>
    <row r="166">
      <c r="A166" s="8" t="n">
        <v>46005</v>
      </c>
      <c r="B166" t="inlineStr">
        <is>
          <t>2025-W50</t>
        </is>
      </c>
      <c r="C166" t="inlineStr">
        <is>
          <t>Nuvei</t>
        </is>
      </c>
      <c r="D166" t="inlineStr">
        <is>
          <t>EUR</t>
        </is>
      </c>
      <c r="E166" s="9" t="n">
        <v>310074.39</v>
      </c>
      <c r="F166" s="9" t="n">
        <v>305894.53</v>
      </c>
      <c r="G166" s="9" t="n">
        <v>-305891.03</v>
      </c>
      <c r="H166" s="9">
        <f>IF(D166="USD",E166*$L$1,E166)</f>
        <v/>
      </c>
      <c r="I166" s="9">
        <f>IF(D166="USD",F166*$L$1,F166)</f>
        <v/>
      </c>
      <c r="J166" s="9">
        <f>IF(D166="USD",G166*$L$1,G166)</f>
        <v/>
      </c>
    </row>
    <row r="167">
      <c r="A167" s="8" t="n">
        <v>46005</v>
      </c>
      <c r="B167" t="inlineStr">
        <is>
          <t>2025-W50</t>
        </is>
      </c>
      <c r="C167" t="inlineStr">
        <is>
          <t>Nuvei</t>
        </is>
      </c>
      <c r="D167" t="inlineStr">
        <is>
          <t>EUR</t>
        </is>
      </c>
      <c r="E167" s="9" t="n">
        <v>15388.27</v>
      </c>
      <c r="F167" s="9" t="n">
        <v>14969.92</v>
      </c>
      <c r="G167" s="9" t="n">
        <v>-14966.42</v>
      </c>
      <c r="H167" s="9">
        <f>IF(D167="USD",E167*$L$1,E167)</f>
        <v/>
      </c>
      <c r="I167" s="9">
        <f>IF(D167="USD",F167*$L$1,F167)</f>
        <v/>
      </c>
      <c r="J167" s="9">
        <f>IF(D167="USD",G167*$L$1,G167)</f>
        <v/>
      </c>
    </row>
    <row r="168">
      <c r="A168" s="8" t="n">
        <v>46005</v>
      </c>
      <c r="B168" t="inlineStr">
        <is>
          <t>2025-W50</t>
        </is>
      </c>
      <c r="C168" t="inlineStr">
        <is>
          <t>Nuvei</t>
        </is>
      </c>
      <c r="D168" t="inlineStr">
        <is>
          <t>EUR</t>
        </is>
      </c>
      <c r="E168" s="9" t="n">
        <v>267779.66</v>
      </c>
      <c r="F168" s="9" t="n">
        <v>264395.53</v>
      </c>
      <c r="G168" s="9" t="n">
        <v>0</v>
      </c>
      <c r="H168" s="9">
        <f>IF(D168="USD",E168*$L$1,E168)</f>
        <v/>
      </c>
      <c r="I168" s="9">
        <f>IF(D168="USD",F168*$L$1,F168)</f>
        <v/>
      </c>
      <c r="J168" s="9">
        <f>IF(D168="USD",G168*$L$1,G168)</f>
        <v/>
      </c>
    </row>
    <row r="169">
      <c r="A169" s="8" t="n">
        <v>46005</v>
      </c>
      <c r="B169" t="inlineStr">
        <is>
          <t>2025-W50</t>
        </is>
      </c>
      <c r="C169" t="inlineStr">
        <is>
          <t>Nuvei</t>
        </is>
      </c>
      <c r="D169" t="inlineStr">
        <is>
          <t>EUR</t>
        </is>
      </c>
      <c r="E169" s="9" t="n">
        <v>9129.73</v>
      </c>
      <c r="F169" s="9" t="n">
        <v>8871.48</v>
      </c>
      <c r="G169" s="9" t="n">
        <v>0</v>
      </c>
      <c r="H169" s="9">
        <f>IF(D169="USD",E169*$L$1,E169)</f>
        <v/>
      </c>
      <c r="I169" s="9">
        <f>IF(D169="USD",F169*$L$1,F169)</f>
        <v/>
      </c>
      <c r="J169" s="9">
        <f>IF(D169="USD",G169*$L$1,G169)</f>
        <v/>
      </c>
    </row>
    <row r="170">
      <c r="A170" s="8" t="n">
        <v>46005</v>
      </c>
      <c r="B170" t="inlineStr">
        <is>
          <t>2025-W50</t>
        </is>
      </c>
      <c r="C170" t="inlineStr">
        <is>
          <t>Nuvei</t>
        </is>
      </c>
      <c r="D170" t="inlineStr">
        <is>
          <t>EUR</t>
        </is>
      </c>
      <c r="E170" s="9" t="n">
        <v>368803.66</v>
      </c>
      <c r="F170" s="9" t="n">
        <v>364030.37</v>
      </c>
      <c r="G170" s="9" t="n">
        <v>0</v>
      </c>
      <c r="H170" s="9">
        <f>IF(D170="USD",E170*$L$1,E170)</f>
        <v/>
      </c>
      <c r="I170" s="9">
        <f>IF(D170="USD",F170*$L$1,F170)</f>
        <v/>
      </c>
      <c r="J170" s="9">
        <f>IF(D170="USD",G170*$L$1,G170)</f>
        <v/>
      </c>
    </row>
    <row r="171">
      <c r="A171" s="8" t="n">
        <v>46005</v>
      </c>
      <c r="B171" t="inlineStr">
        <is>
          <t>2025-W50</t>
        </is>
      </c>
      <c r="C171" t="inlineStr">
        <is>
          <t>Nuvei</t>
        </is>
      </c>
      <c r="D171" t="inlineStr">
        <is>
          <t>EUR</t>
        </is>
      </c>
      <c r="E171" s="9" t="n">
        <v>12143.14</v>
      </c>
      <c r="F171" s="9" t="n">
        <v>11790.61</v>
      </c>
      <c r="G171" s="9" t="n">
        <v>0</v>
      </c>
      <c r="H171" s="9">
        <f>IF(D171="USD",E171*$L$1,E171)</f>
        <v/>
      </c>
      <c r="I171" s="9">
        <f>IF(D171="USD",F171*$L$1,F171)</f>
        <v/>
      </c>
      <c r="J171" s="9">
        <f>IF(D171="USD",G171*$L$1,G171)</f>
        <v/>
      </c>
    </row>
    <row r="172">
      <c r="A172" s="8" t="n">
        <v>46006</v>
      </c>
      <c r="B172" t="inlineStr">
        <is>
          <t>2025-W51</t>
        </is>
      </c>
      <c r="C172" t="inlineStr">
        <is>
          <t>Nuvei</t>
        </is>
      </c>
      <c r="D172" t="inlineStr">
        <is>
          <t>EUR</t>
        </is>
      </c>
      <c r="E172" s="9" t="n">
        <v>352172.56</v>
      </c>
      <c r="F172" s="9" t="n">
        <v>347174.56</v>
      </c>
      <c r="G172" s="9" t="n">
        <v>-975596.99</v>
      </c>
      <c r="H172" s="9">
        <f>IF(D172="USD",E172*$L$1,E172)</f>
        <v/>
      </c>
      <c r="I172" s="9">
        <f>IF(D172="USD",F172*$L$1,F172)</f>
        <v/>
      </c>
      <c r="J172" s="9">
        <f>IF(D172="USD",G172*$L$1,G172)</f>
        <v/>
      </c>
    </row>
    <row r="173">
      <c r="A173" s="8" t="n">
        <v>46006</v>
      </c>
      <c r="B173" t="inlineStr">
        <is>
          <t>2025-W51</t>
        </is>
      </c>
      <c r="C173" t="inlineStr">
        <is>
          <t>Nuvei</t>
        </is>
      </c>
      <c r="D173" t="inlineStr">
        <is>
          <t>EUR</t>
        </is>
      </c>
      <c r="E173" s="9" t="n">
        <v>26845</v>
      </c>
      <c r="F173" s="9" t="n">
        <v>26102.47</v>
      </c>
      <c r="G173" s="9" t="n">
        <v>-46761.05</v>
      </c>
      <c r="H173" s="9">
        <f>IF(D173="USD",E173*$L$1,E173)</f>
        <v/>
      </c>
      <c r="I173" s="9">
        <f>IF(D173="USD",F173*$L$1,F173)</f>
        <v/>
      </c>
      <c r="J173" s="9">
        <f>IF(D173="USD",G173*$L$1,G173)</f>
        <v/>
      </c>
    </row>
    <row r="174">
      <c r="A174" s="8" t="n">
        <v>46007</v>
      </c>
      <c r="B174" t="inlineStr">
        <is>
          <t>2025-W51</t>
        </is>
      </c>
      <c r="C174" t="inlineStr">
        <is>
          <t>Nuvei</t>
        </is>
      </c>
      <c r="D174" t="inlineStr">
        <is>
          <t>EUR</t>
        </is>
      </c>
      <c r="E174" s="9" t="n">
        <v>325950.1</v>
      </c>
      <c r="F174" s="9" t="n">
        <v>321224.31</v>
      </c>
      <c r="G174" s="9" t="n">
        <v>-321200.81</v>
      </c>
      <c r="H174" s="9">
        <f>IF(D174="USD",E174*$L$1,E174)</f>
        <v/>
      </c>
      <c r="I174" s="9">
        <f>IF(D174="USD",F174*$L$1,F174)</f>
        <v/>
      </c>
      <c r="J174" s="9">
        <f>IF(D174="USD",G174*$L$1,G174)</f>
        <v/>
      </c>
    </row>
    <row r="175">
      <c r="A175" s="8" t="n">
        <v>46007</v>
      </c>
      <c r="B175" t="inlineStr">
        <is>
          <t>2025-W51</t>
        </is>
      </c>
      <c r="C175" t="inlineStr">
        <is>
          <t>Nuvei</t>
        </is>
      </c>
      <c r="D175" t="inlineStr">
        <is>
          <t>EUR</t>
        </is>
      </c>
      <c r="E175" s="9" t="n">
        <v>40276.68</v>
      </c>
      <c r="F175" s="9" t="n">
        <v>39217.13</v>
      </c>
      <c r="G175" s="9" t="n">
        <v>-39213.63</v>
      </c>
      <c r="H175" s="9">
        <f>IF(D175="USD",E175*$L$1,E175)</f>
        <v/>
      </c>
      <c r="I175" s="9">
        <f>IF(D175="USD",F175*$L$1,F175)</f>
        <v/>
      </c>
      <c r="J175" s="9">
        <f>IF(D175="USD",G175*$L$1,G175)</f>
        <v/>
      </c>
    </row>
    <row r="176">
      <c r="A176" s="8" t="n">
        <v>46008</v>
      </c>
      <c r="B176" t="inlineStr">
        <is>
          <t>2025-W51</t>
        </is>
      </c>
      <c r="C176" t="inlineStr">
        <is>
          <t>Nuvei</t>
        </is>
      </c>
      <c r="D176" t="inlineStr">
        <is>
          <t>EUR</t>
        </is>
      </c>
      <c r="E176" s="9" t="n">
        <v>354470.66</v>
      </c>
      <c r="F176" s="9" t="n">
        <v>349190.01</v>
      </c>
      <c r="G176" s="9" t="n">
        <v>-349186.51</v>
      </c>
      <c r="H176" s="9">
        <f>IF(D176="USD",E176*$L$1,E176)</f>
        <v/>
      </c>
      <c r="I176" s="9">
        <f>IF(D176="USD",F176*$L$1,F176)</f>
        <v/>
      </c>
      <c r="J176" s="9">
        <f>IF(D176="USD",G176*$L$1,G176)</f>
        <v/>
      </c>
    </row>
    <row r="177">
      <c r="A177" s="8" t="n">
        <v>46008</v>
      </c>
      <c r="B177" t="inlineStr">
        <is>
          <t>2025-W51</t>
        </is>
      </c>
      <c r="C177" t="inlineStr">
        <is>
          <t>Nuvei</t>
        </is>
      </c>
      <c r="D177" t="inlineStr">
        <is>
          <t>EUR</t>
        </is>
      </c>
      <c r="E177" s="9" t="n">
        <v>19284.77</v>
      </c>
      <c r="F177" s="9" t="n">
        <v>18759.93</v>
      </c>
      <c r="G177" s="9" t="n">
        <v>-18756.43</v>
      </c>
      <c r="H177" s="9">
        <f>IF(D177="USD",E177*$L$1,E177)</f>
        <v/>
      </c>
      <c r="I177" s="9">
        <f>IF(D177="USD",F177*$L$1,F177)</f>
        <v/>
      </c>
      <c r="J177" s="9">
        <f>IF(D177="USD",G177*$L$1,G177)</f>
        <v/>
      </c>
    </row>
    <row r="178">
      <c r="A178" s="8" t="n">
        <v>46008</v>
      </c>
      <c r="B178" t="inlineStr">
        <is>
          <t>2025-W51</t>
        </is>
      </c>
      <c r="C178" t="inlineStr">
        <is>
          <t>Nuvei</t>
        </is>
      </c>
      <c r="D178" t="inlineStr">
        <is>
          <t>EUR</t>
        </is>
      </c>
      <c r="E178" s="9" t="n">
        <v>349825.22</v>
      </c>
      <c r="F178" s="9" t="n">
        <v>344938.06</v>
      </c>
      <c r="G178" s="9" t="n">
        <v>-344934.57</v>
      </c>
      <c r="H178" s="9">
        <f>IF(D178="USD",E178*$L$1,E178)</f>
        <v/>
      </c>
      <c r="I178" s="9">
        <f>IF(D178="USD",F178*$L$1,F178)</f>
        <v/>
      </c>
      <c r="J178" s="9">
        <f>IF(D178="USD",G178*$L$1,G178)</f>
        <v/>
      </c>
    </row>
    <row r="179">
      <c r="A179" s="8" t="n">
        <v>46008</v>
      </c>
      <c r="B179" t="inlineStr">
        <is>
          <t>2025-W51</t>
        </is>
      </c>
      <c r="C179" t="inlineStr">
        <is>
          <t>Nuvei</t>
        </is>
      </c>
      <c r="D179" t="inlineStr">
        <is>
          <t>EUR</t>
        </is>
      </c>
      <c r="E179" s="9" t="n">
        <v>27944.02</v>
      </c>
      <c r="F179" s="9" t="n">
        <v>27171.31</v>
      </c>
      <c r="G179" s="9" t="n">
        <v>-27167.81</v>
      </c>
      <c r="H179" s="9">
        <f>IF(D179="USD",E179*$L$1,E179)</f>
        <v/>
      </c>
      <c r="I179" s="9">
        <f>IF(D179="USD",F179*$L$1,F179)</f>
        <v/>
      </c>
      <c r="J179" s="9">
        <f>IF(D179="USD",G179*$L$1,G179)</f>
        <v/>
      </c>
    </row>
    <row r="180">
      <c r="A180" s="8" t="n">
        <v>46008</v>
      </c>
      <c r="B180" t="inlineStr">
        <is>
          <t>2025-W51</t>
        </is>
      </c>
      <c r="C180" t="inlineStr">
        <is>
          <t>Nuvei</t>
        </is>
      </c>
      <c r="D180" t="inlineStr">
        <is>
          <t>EUR</t>
        </is>
      </c>
      <c r="E180" s="9" t="n">
        <v>336422.4</v>
      </c>
      <c r="F180" s="9" t="n">
        <v>331275.81</v>
      </c>
      <c r="G180" s="9" t="n">
        <v>0</v>
      </c>
      <c r="H180" s="9">
        <f>IF(D180="USD",E180*$L$1,E180)</f>
        <v/>
      </c>
      <c r="I180" s="9">
        <f>IF(D180="USD",F180*$L$1,F180)</f>
        <v/>
      </c>
      <c r="J180" s="9">
        <f>IF(D180="USD",G180*$L$1,G180)</f>
        <v/>
      </c>
    </row>
    <row r="181">
      <c r="A181" s="8" t="n">
        <v>46008</v>
      </c>
      <c r="B181" t="inlineStr">
        <is>
          <t>2025-W51</t>
        </is>
      </c>
      <c r="C181" t="inlineStr">
        <is>
          <t>Nuvei</t>
        </is>
      </c>
      <c r="D181" t="inlineStr">
        <is>
          <t>EUR</t>
        </is>
      </c>
      <c r="E181" s="9" t="n">
        <v>26811.34</v>
      </c>
      <c r="F181" s="9" t="n">
        <v>26069.94</v>
      </c>
      <c r="G181" s="9" t="n">
        <v>0</v>
      </c>
      <c r="H181" s="9">
        <f>IF(D181="USD",E181*$L$1,E181)</f>
        <v/>
      </c>
      <c r="I181" s="9">
        <f>IF(D181="USD",F181*$L$1,F181)</f>
        <v/>
      </c>
      <c r="J181" s="9">
        <f>IF(D181="USD",G181*$L$1,G181)</f>
        <v/>
      </c>
    </row>
    <row r="182">
      <c r="A182" s="8" t="n">
        <v>46010</v>
      </c>
      <c r="B182" t="inlineStr">
        <is>
          <t>2025-W51</t>
        </is>
      </c>
      <c r="C182" t="inlineStr">
        <is>
          <t>Nuvei</t>
        </is>
      </c>
      <c r="D182" t="inlineStr">
        <is>
          <t>EUR</t>
        </is>
      </c>
      <c r="E182" s="9" t="n">
        <v>309454.05</v>
      </c>
      <c r="F182" s="9" t="n">
        <v>305485.68</v>
      </c>
      <c r="G182" s="9" t="n">
        <v>0</v>
      </c>
      <c r="H182" s="9">
        <f>IF(D182="USD",E182*$L$1,E182)</f>
        <v/>
      </c>
      <c r="I182" s="9">
        <f>IF(D182="USD",F182*$L$1,F182)</f>
        <v/>
      </c>
      <c r="J182" s="9">
        <f>IF(D182="USD",G182*$L$1,G182)</f>
        <v/>
      </c>
    </row>
    <row r="183">
      <c r="A183" s="8" t="n">
        <v>46010</v>
      </c>
      <c r="B183" t="inlineStr">
        <is>
          <t>2025-W51</t>
        </is>
      </c>
      <c r="C183" t="inlineStr">
        <is>
          <t>Nuvei</t>
        </is>
      </c>
      <c r="D183" t="inlineStr">
        <is>
          <t>EUR</t>
        </is>
      </c>
      <c r="E183" s="9" t="n">
        <v>23622.24</v>
      </c>
      <c r="F183" s="9" t="n">
        <v>22997.7</v>
      </c>
      <c r="G183" s="9" t="n">
        <v>0</v>
      </c>
      <c r="H183" s="9">
        <f>IF(D183="USD",E183*$L$1,E183)</f>
        <v/>
      </c>
      <c r="I183" s="9">
        <f>IF(D183="USD",F183*$L$1,F183)</f>
        <v/>
      </c>
      <c r="J183" s="9">
        <f>IF(D183="USD",G183*$L$1,G183)</f>
        <v/>
      </c>
    </row>
    <row r="184">
      <c r="A184" s="8" t="n">
        <v>46011</v>
      </c>
      <c r="B184" t="inlineStr">
        <is>
          <t>2025-W51</t>
        </is>
      </c>
      <c r="C184" t="inlineStr">
        <is>
          <t>Nuvei</t>
        </is>
      </c>
      <c r="D184" t="inlineStr">
        <is>
          <t>EUR</t>
        </is>
      </c>
      <c r="E184" s="9" t="n">
        <v>369537.94</v>
      </c>
      <c r="F184" s="9" t="n">
        <v>364980.71</v>
      </c>
      <c r="G184" s="9" t="n">
        <v>0</v>
      </c>
      <c r="H184" s="9">
        <f>IF(D184="USD",E184*$L$1,E184)</f>
        <v/>
      </c>
      <c r="I184" s="9">
        <f>IF(D184="USD",F184*$L$1,F184)</f>
        <v/>
      </c>
      <c r="J184" s="9">
        <f>IF(D184="USD",G184*$L$1,G184)</f>
        <v/>
      </c>
    </row>
    <row r="185">
      <c r="A185" s="8" t="n">
        <v>46011</v>
      </c>
      <c r="B185" t="inlineStr">
        <is>
          <t>2025-W51</t>
        </is>
      </c>
      <c r="C185" t="inlineStr">
        <is>
          <t>Nuvei</t>
        </is>
      </c>
      <c r="D185" t="inlineStr">
        <is>
          <t>EUR</t>
        </is>
      </c>
      <c r="E185" s="9" t="n">
        <v>18367.37</v>
      </c>
      <c r="F185" s="9" t="n">
        <v>17829.71</v>
      </c>
      <c r="G185" s="9" t="n">
        <v>0</v>
      </c>
      <c r="H185" s="9">
        <f>IF(D185="USD",E185*$L$1,E185)</f>
        <v/>
      </c>
      <c r="I185" s="9">
        <f>IF(D185="USD",F185*$L$1,F185)</f>
        <v/>
      </c>
      <c r="J185" s="9">
        <f>IF(D185="USD",G185*$L$1,G185)</f>
        <v/>
      </c>
    </row>
    <row r="186">
      <c r="A186" s="8" t="n">
        <v>46012</v>
      </c>
      <c r="B186" t="inlineStr">
        <is>
          <t>2025-W51</t>
        </is>
      </c>
      <c r="C186" t="inlineStr">
        <is>
          <t>Nuvei</t>
        </is>
      </c>
      <c r="D186" t="inlineStr">
        <is>
          <t>EUR</t>
        </is>
      </c>
      <c r="E186" s="9" t="n">
        <v>365787.57</v>
      </c>
      <c r="F186" s="9" t="n">
        <v>360831.27</v>
      </c>
      <c r="G186" s="9" t="n">
        <v>0</v>
      </c>
      <c r="H186" s="9">
        <f>IF(D186="USD",E186*$L$1,E186)</f>
        <v/>
      </c>
      <c r="I186" s="9">
        <f>IF(D186="USD",F186*$L$1,F186)</f>
        <v/>
      </c>
      <c r="J186" s="9">
        <f>IF(D186="USD",G186*$L$1,G186)</f>
        <v/>
      </c>
    </row>
    <row r="187">
      <c r="A187" s="8" t="n">
        <v>46012</v>
      </c>
      <c r="B187" t="inlineStr">
        <is>
          <t>2025-W51</t>
        </is>
      </c>
      <c r="C187" t="inlineStr">
        <is>
          <t>Nuvei</t>
        </is>
      </c>
      <c r="D187" t="inlineStr">
        <is>
          <t>EUR</t>
        </is>
      </c>
      <c r="E187" s="9" t="n">
        <v>30711.1</v>
      </c>
      <c r="F187" s="9" t="n">
        <v>29942.43</v>
      </c>
      <c r="G187" s="9" t="n">
        <v>0</v>
      </c>
      <c r="H187" s="9">
        <f>IF(D187="USD",E187*$L$1,E187)</f>
        <v/>
      </c>
      <c r="I187" s="9">
        <f>IF(D187="USD",F187*$L$1,F187)</f>
        <v/>
      </c>
      <c r="J187" s="9">
        <f>IF(D187="USD",G187*$L$1,G187)</f>
        <v/>
      </c>
    </row>
    <row r="188">
      <c r="A188" s="8" t="n">
        <v>46013</v>
      </c>
      <c r="B188" t="inlineStr">
        <is>
          <t>2025-W52</t>
        </is>
      </c>
      <c r="C188" t="inlineStr">
        <is>
          <t>Nuvei</t>
        </is>
      </c>
      <c r="D188" t="inlineStr">
        <is>
          <t>EUR</t>
        </is>
      </c>
      <c r="E188" s="9" t="n">
        <v>397881.71</v>
      </c>
      <c r="F188" s="9" t="n">
        <v>397598.31</v>
      </c>
      <c r="G188" s="9" t="n">
        <v>-1760149.79</v>
      </c>
      <c r="H188" s="9">
        <f>IF(D188="USD",E188*$L$1,E188)</f>
        <v/>
      </c>
      <c r="I188" s="9">
        <f>IF(D188="USD",F188*$L$1,F188)</f>
        <v/>
      </c>
      <c r="J188" s="9">
        <f>IF(D188="USD",G188*$L$1,G188)</f>
        <v/>
      </c>
    </row>
    <row r="189">
      <c r="A189" s="8" t="n">
        <v>46013</v>
      </c>
      <c r="B189" t="inlineStr">
        <is>
          <t>2025-W52</t>
        </is>
      </c>
      <c r="C189" t="inlineStr">
        <is>
          <t>Nuvei</t>
        </is>
      </c>
      <c r="D189" t="inlineStr">
        <is>
          <t>EUR</t>
        </is>
      </c>
      <c r="E189" s="9" t="n">
        <v>37183.59</v>
      </c>
      <c r="F189" s="9" t="n">
        <v>36241.77</v>
      </c>
      <c r="G189" s="9" t="n">
        <v>-133071.05</v>
      </c>
      <c r="H189" s="9">
        <f>IF(D189="USD",E189*$L$1,E189)</f>
        <v/>
      </c>
      <c r="I189" s="9">
        <f>IF(D189="USD",F189*$L$1,F189)</f>
        <v/>
      </c>
      <c r="J189" s="9">
        <f>IF(D189="USD",G189*$L$1,G189)</f>
        <v/>
      </c>
    </row>
    <row r="190">
      <c r="A190" s="8" t="n">
        <v>46014</v>
      </c>
      <c r="B190" t="inlineStr">
        <is>
          <t>2025-W52</t>
        </is>
      </c>
      <c r="C190" t="inlineStr">
        <is>
          <t>Nuvei</t>
        </is>
      </c>
      <c r="D190" t="inlineStr">
        <is>
          <t>EUR</t>
        </is>
      </c>
      <c r="E190" s="9" t="n">
        <v>384974.37</v>
      </c>
      <c r="F190" s="9" t="n">
        <v>380002.49</v>
      </c>
      <c r="G190" s="9" t="n">
        <v>-379999</v>
      </c>
      <c r="H190" s="9">
        <f>IF(D190="USD",E190*$L$1,E190)</f>
        <v/>
      </c>
      <c r="I190" s="9">
        <f>IF(D190="USD",F190*$L$1,F190)</f>
        <v/>
      </c>
      <c r="J190" s="9">
        <f>IF(D190="USD",G190*$L$1,G190)</f>
        <v/>
      </c>
    </row>
    <row r="191">
      <c r="A191" s="8" t="n">
        <v>46014</v>
      </c>
      <c r="B191" t="inlineStr">
        <is>
          <t>2025-W52</t>
        </is>
      </c>
      <c r="C191" t="inlineStr">
        <is>
          <t>Nuvei</t>
        </is>
      </c>
      <c r="D191" t="inlineStr">
        <is>
          <t>EUR</t>
        </is>
      </c>
      <c r="E191" s="9" t="n">
        <v>41336.94</v>
      </c>
      <c r="F191" s="9" t="n">
        <v>40264.93</v>
      </c>
      <c r="G191" s="9" t="n">
        <v>-40261.43</v>
      </c>
      <c r="H191" s="9">
        <f>IF(D191="USD",E191*$L$1,E191)</f>
        <v/>
      </c>
      <c r="I191" s="9">
        <f>IF(D191="USD",F191*$L$1,F191)</f>
        <v/>
      </c>
      <c r="J191" s="9">
        <f>IF(D191="USD",G191*$L$1,G191)</f>
        <v/>
      </c>
    </row>
    <row r="192">
      <c r="A192" s="8" t="n">
        <v>46015</v>
      </c>
      <c r="B192" t="inlineStr">
        <is>
          <t>2025-W52</t>
        </is>
      </c>
      <c r="C192" t="inlineStr">
        <is>
          <t>Nuvei</t>
        </is>
      </c>
      <c r="D192" t="inlineStr">
        <is>
          <t>EUR</t>
        </is>
      </c>
      <c r="E192" s="9" t="n">
        <v>299683.75</v>
      </c>
      <c r="F192" s="9" t="n">
        <v>296000.07</v>
      </c>
      <c r="G192" s="9" t="n">
        <v>-296000.07</v>
      </c>
      <c r="H192" s="9">
        <f>IF(D192="USD",E192*$L$1,E192)</f>
        <v/>
      </c>
      <c r="I192" s="9">
        <f>IF(D192="USD",F192*$L$1,F192)</f>
        <v/>
      </c>
      <c r="J192" s="9">
        <f>IF(D192="USD",G192*$L$1,G192)</f>
        <v/>
      </c>
    </row>
    <row r="193">
      <c r="A193" s="8" t="n">
        <v>46015</v>
      </c>
      <c r="B193" t="inlineStr">
        <is>
          <t>2025-W52</t>
        </is>
      </c>
      <c r="C193" t="inlineStr">
        <is>
          <t>Nuvei</t>
        </is>
      </c>
      <c r="D193" t="inlineStr">
        <is>
          <t>EUR</t>
        </is>
      </c>
      <c r="E193" s="9" t="n">
        <v>29997.33</v>
      </c>
      <c r="F193" s="9" t="n">
        <v>29181.32</v>
      </c>
      <c r="G193" s="9" t="n">
        <v>-29181.32</v>
      </c>
      <c r="H193" s="9">
        <f>IF(D193="USD",E193*$L$1,E193)</f>
        <v/>
      </c>
      <c r="I193" s="9">
        <f>IF(D193="USD",F193*$L$1,F193)</f>
        <v/>
      </c>
      <c r="J193" s="9">
        <f>IF(D193="USD",G193*$L$1,G193)</f>
        <v/>
      </c>
    </row>
    <row r="194">
      <c r="A194" s="8" t="n">
        <v>46015</v>
      </c>
      <c r="B194" t="inlineStr">
        <is>
          <t>2025-W52</t>
        </is>
      </c>
      <c r="C194" t="inlineStr">
        <is>
          <t>Nuvei</t>
        </is>
      </c>
      <c r="D194" t="inlineStr">
        <is>
          <t>EUR</t>
        </is>
      </c>
      <c r="E194" s="9" t="n">
        <v>428013.94</v>
      </c>
      <c r="F194" s="9" t="n">
        <v>422584.81</v>
      </c>
      <c r="G194" s="9" t="n">
        <v>0</v>
      </c>
      <c r="H194" s="9">
        <f>IF(D194="USD",E194*$L$1,E194)</f>
        <v/>
      </c>
      <c r="I194" s="9">
        <f>IF(D194="USD",F194*$L$1,F194)</f>
        <v/>
      </c>
      <c r="J194" s="9">
        <f>IF(D194="USD",G194*$L$1,G194)</f>
        <v/>
      </c>
    </row>
    <row r="195">
      <c r="A195" s="8" t="n">
        <v>46015</v>
      </c>
      <c r="B195" t="inlineStr">
        <is>
          <t>2025-W52</t>
        </is>
      </c>
      <c r="C195" t="inlineStr">
        <is>
          <t>Nuvei</t>
        </is>
      </c>
      <c r="D195" t="inlineStr">
        <is>
          <t>EUR</t>
        </is>
      </c>
      <c r="E195" s="9" t="n">
        <v>39701.42</v>
      </c>
      <c r="F195" s="9" t="n">
        <v>38603.64</v>
      </c>
      <c r="G195" s="9" t="n">
        <v>0</v>
      </c>
      <c r="H195" s="9">
        <f>IF(D195="USD",E195*$L$1,E195)</f>
        <v/>
      </c>
      <c r="I195" s="9">
        <f>IF(D195="USD",F195*$L$1,F195)</f>
        <v/>
      </c>
      <c r="J195" s="9">
        <f>IF(D195="USD",G195*$L$1,G195)</f>
        <v/>
      </c>
    </row>
    <row r="196">
      <c r="A196" s="8" t="n">
        <v>46015</v>
      </c>
      <c r="B196" t="inlineStr">
        <is>
          <t>2025-W52</t>
        </is>
      </c>
      <c r="C196" t="inlineStr">
        <is>
          <t>Nuvei</t>
        </is>
      </c>
      <c r="D196" t="inlineStr">
        <is>
          <t>EUR</t>
        </is>
      </c>
      <c r="E196" s="9" t="n">
        <v>393236.21</v>
      </c>
      <c r="F196" s="9" t="n">
        <v>388397.17</v>
      </c>
      <c r="G196" s="9" t="n">
        <v>0</v>
      </c>
      <c r="H196" s="9">
        <f>IF(D196="USD",E196*$L$1,E196)</f>
        <v/>
      </c>
      <c r="I196" s="9">
        <f>IF(D196="USD",F196*$L$1,F196)</f>
        <v/>
      </c>
      <c r="J196" s="9">
        <f>IF(D196="USD",G196*$L$1,G196)</f>
        <v/>
      </c>
    </row>
    <row r="197">
      <c r="A197" s="8" t="n">
        <v>46015</v>
      </c>
      <c r="B197" t="inlineStr">
        <is>
          <t>2025-W52</t>
        </is>
      </c>
      <c r="C197" t="inlineStr">
        <is>
          <t>Nuvei</t>
        </is>
      </c>
      <c r="D197" t="inlineStr">
        <is>
          <t>EUR</t>
        </is>
      </c>
      <c r="E197" s="9" t="n">
        <v>35216.14</v>
      </c>
      <c r="F197" s="9" t="n">
        <v>34293.92</v>
      </c>
      <c r="G197" s="9" t="n">
        <v>0</v>
      </c>
      <c r="H197" s="9">
        <f>IF(D197="USD",E197*$L$1,E197)</f>
        <v/>
      </c>
      <c r="I197" s="9">
        <f>IF(D197="USD",F197*$L$1,F197)</f>
        <v/>
      </c>
      <c r="J197" s="9">
        <f>IF(D197="USD",G197*$L$1,G197)</f>
        <v/>
      </c>
    </row>
    <row r="198">
      <c r="A198" s="8" t="n">
        <v>46015</v>
      </c>
      <c r="B198" t="inlineStr">
        <is>
          <t>2025-W52</t>
        </is>
      </c>
      <c r="C198" t="inlineStr">
        <is>
          <t>Nuvei</t>
        </is>
      </c>
      <c r="D198" t="inlineStr">
        <is>
          <t>EUR</t>
        </is>
      </c>
      <c r="E198" s="9" t="n">
        <v>499241.54</v>
      </c>
      <c r="F198" s="9" t="n">
        <v>493142.96</v>
      </c>
      <c r="G198" s="9" t="n">
        <v>0</v>
      </c>
      <c r="H198" s="9">
        <f>IF(D198="USD",E198*$L$1,E198)</f>
        <v/>
      </c>
      <c r="I198" s="9">
        <f>IF(D198="USD",F198*$L$1,F198)</f>
        <v/>
      </c>
      <c r="J198" s="9">
        <f>IF(D198="USD",G198*$L$1,G198)</f>
        <v/>
      </c>
    </row>
    <row r="199">
      <c r="A199" s="8" t="n">
        <v>46015</v>
      </c>
      <c r="B199" t="inlineStr">
        <is>
          <t>2025-W52</t>
        </is>
      </c>
      <c r="C199" t="inlineStr">
        <is>
          <t>Nuvei</t>
        </is>
      </c>
      <c r="D199" t="inlineStr">
        <is>
          <t>EUR</t>
        </is>
      </c>
      <c r="E199" s="9" t="n">
        <v>36061.6</v>
      </c>
      <c r="F199" s="9" t="n">
        <v>35113.28</v>
      </c>
      <c r="G199" s="9" t="n">
        <v>0</v>
      </c>
      <c r="H199" s="9">
        <f>IF(D199="USD",E199*$L$1,E199)</f>
        <v/>
      </c>
      <c r="I199" s="9">
        <f>IF(D199="USD",F199*$L$1,F199)</f>
        <v/>
      </c>
      <c r="J199" s="9">
        <f>IF(D199="USD",G199*$L$1,G199)</f>
        <v/>
      </c>
    </row>
    <row r="200">
      <c r="A200" s="8" t="n">
        <v>46019</v>
      </c>
      <c r="B200" t="inlineStr">
        <is>
          <t>2025-W52</t>
        </is>
      </c>
      <c r="C200" t="inlineStr">
        <is>
          <t>Nuvei</t>
        </is>
      </c>
      <c r="D200" t="inlineStr">
        <is>
          <t>EUR</t>
        </is>
      </c>
      <c r="E200" s="9" t="n">
        <v>538944.5</v>
      </c>
      <c r="F200" s="9" t="n">
        <v>531869.49</v>
      </c>
      <c r="G200" s="9" t="n">
        <v>-1835980.93</v>
      </c>
      <c r="H200" s="9">
        <f>IF(D200="USD",E200*$L$1,E200)</f>
        <v/>
      </c>
      <c r="I200" s="9">
        <f>IF(D200="USD",F200*$L$1,F200)</f>
        <v/>
      </c>
      <c r="J200" s="9">
        <f>IF(D200="USD",G200*$L$1,G200)</f>
        <v/>
      </c>
    </row>
    <row r="201">
      <c r="A201" s="8" t="n">
        <v>46019</v>
      </c>
      <c r="B201" t="inlineStr">
        <is>
          <t>2025-W52</t>
        </is>
      </c>
      <c r="C201" t="inlineStr">
        <is>
          <t>Nuvei</t>
        </is>
      </c>
      <c r="D201" t="inlineStr">
        <is>
          <t>EUR</t>
        </is>
      </c>
      <c r="E201" s="9" t="n">
        <v>37380.64</v>
      </c>
      <c r="F201" s="9" t="n">
        <v>36449.55</v>
      </c>
      <c r="G201" s="9" t="n">
        <v>-144456.9</v>
      </c>
      <c r="H201" s="9">
        <f>IF(D201="USD",E201*$L$1,E201)</f>
        <v/>
      </c>
      <c r="I201" s="9">
        <f>IF(D201="USD",F201*$L$1,F201)</f>
        <v/>
      </c>
      <c r="J201" s="9">
        <f>IF(D201="USD",G201*$L$1,G201)</f>
        <v/>
      </c>
    </row>
    <row r="202">
      <c r="A202" s="8" t="n">
        <v>46020</v>
      </c>
      <c r="B202" t="inlineStr">
        <is>
          <t>2026-W01</t>
        </is>
      </c>
      <c r="C202" t="inlineStr">
        <is>
          <t>Adyen</t>
        </is>
      </c>
      <c r="D202" t="inlineStr">
        <is>
          <t>EUR</t>
        </is>
      </c>
      <c r="E202" s="9" t="n">
        <v>217332.72</v>
      </c>
      <c r="F202" s="9" t="n">
        <v>0</v>
      </c>
      <c r="G202" s="9" t="n">
        <v>229859.55</v>
      </c>
      <c r="H202" s="9">
        <f>IF(D202="USD",E202*$L$1,E202)</f>
        <v/>
      </c>
      <c r="I202" s="9">
        <f>IF(D202="USD",F202*$L$1,F202)</f>
        <v/>
      </c>
      <c r="J202" s="9">
        <f>IF(D202="USD",G202*$L$1,G202)</f>
        <v/>
      </c>
    </row>
    <row r="203">
      <c r="A203" s="8" t="n">
        <v>46020</v>
      </c>
      <c r="B203" t="inlineStr">
        <is>
          <t>2026-W01</t>
        </is>
      </c>
      <c r="C203" t="inlineStr">
        <is>
          <t>Adyen</t>
        </is>
      </c>
      <c r="D203" t="inlineStr">
        <is>
          <t>EUR</t>
        </is>
      </c>
      <c r="E203" s="9" t="n">
        <v>17937.17</v>
      </c>
      <c r="F203" s="9" t="n">
        <v>0</v>
      </c>
      <c r="G203" s="9" t="n">
        <v>0</v>
      </c>
      <c r="H203" s="9">
        <f>IF(D203="USD",E203*$L$1,E203)</f>
        <v/>
      </c>
      <c r="I203" s="9">
        <f>IF(D203="USD",F203*$L$1,F203)</f>
        <v/>
      </c>
      <c r="J203" s="9">
        <f>IF(D203="USD",G203*$L$1,G203)</f>
        <v/>
      </c>
    </row>
    <row r="204">
      <c r="A204" s="8" t="n">
        <v>46020</v>
      </c>
      <c r="B204" t="inlineStr">
        <is>
          <t>2026-W01</t>
        </is>
      </c>
      <c r="C204" t="inlineStr">
        <is>
          <t>Nuvei</t>
        </is>
      </c>
      <c r="D204" t="inlineStr">
        <is>
          <t>EUR</t>
        </is>
      </c>
      <c r="E204" s="9" t="n">
        <v>568483.17</v>
      </c>
      <c r="F204" s="9" t="n">
        <v>561324.39</v>
      </c>
      <c r="G204" s="9" t="n">
        <v>-561320.89</v>
      </c>
      <c r="H204" s="9">
        <f>IF(D204="USD",E204*$L$1,E204)</f>
        <v/>
      </c>
      <c r="I204" s="9">
        <f>IF(D204="USD",F204*$L$1,F204)</f>
        <v/>
      </c>
      <c r="J204" s="9">
        <f>IF(D204="USD",G204*$L$1,G204)</f>
        <v/>
      </c>
    </row>
    <row r="205">
      <c r="A205" s="8" t="n">
        <v>46020</v>
      </c>
      <c r="B205" t="inlineStr">
        <is>
          <t>2026-W01</t>
        </is>
      </c>
      <c r="C205" t="inlineStr">
        <is>
          <t>Nuvei</t>
        </is>
      </c>
      <c r="D205" t="inlineStr">
        <is>
          <t>EUR</t>
        </is>
      </c>
      <c r="E205" s="9" t="n">
        <v>19958.93</v>
      </c>
      <c r="F205" s="9" t="n">
        <v>19428.35</v>
      </c>
      <c r="G205" s="9" t="n">
        <v>-19424.85</v>
      </c>
      <c r="H205" s="9">
        <f>IF(D205="USD",E205*$L$1,E205)</f>
        <v/>
      </c>
      <c r="I205" s="9">
        <f>IF(D205="USD",F205*$L$1,F205)</f>
        <v/>
      </c>
      <c r="J205" s="9">
        <f>IF(D205="USD",G205*$L$1,G205)</f>
        <v/>
      </c>
    </row>
    <row r="206">
      <c r="A206" s="8" t="n">
        <v>46021</v>
      </c>
      <c r="B206" t="inlineStr">
        <is>
          <t>2026-W01</t>
        </is>
      </c>
      <c r="C206" t="inlineStr">
        <is>
          <t>Adyen</t>
        </is>
      </c>
      <c r="D206" t="inlineStr">
        <is>
          <t>EUR</t>
        </is>
      </c>
      <c r="E206" s="9" t="n">
        <v>192325.81</v>
      </c>
      <c r="F206" s="9" t="n">
        <v>0</v>
      </c>
      <c r="G206" s="9" t="n">
        <v>201242.23</v>
      </c>
      <c r="H206" s="9">
        <f>IF(D206="USD",E206*$L$1,E206)</f>
        <v/>
      </c>
      <c r="I206" s="9">
        <f>IF(D206="USD",F206*$L$1,F206)</f>
        <v/>
      </c>
      <c r="J206" s="9">
        <f>IF(D206="USD",G206*$L$1,G206)</f>
        <v/>
      </c>
    </row>
    <row r="207">
      <c r="A207" s="8" t="n">
        <v>46021</v>
      </c>
      <c r="B207" t="inlineStr">
        <is>
          <t>2026-W01</t>
        </is>
      </c>
      <c r="C207" t="inlineStr">
        <is>
          <t>Adyen</t>
        </is>
      </c>
      <c r="D207" t="inlineStr">
        <is>
          <t>EUR</t>
        </is>
      </c>
      <c r="E207" s="9" t="n">
        <v>13894.68</v>
      </c>
      <c r="F207" s="9" t="n">
        <v>0</v>
      </c>
      <c r="G207" s="9" t="n">
        <v>0</v>
      </c>
      <c r="H207" s="9">
        <f>IF(D207="USD",E207*$L$1,E207)</f>
        <v/>
      </c>
      <c r="I207" s="9">
        <f>IF(D207="USD",F207*$L$1,F207)</f>
        <v/>
      </c>
      <c r="J207" s="9">
        <f>IF(D207="USD",G207*$L$1,G207)</f>
        <v/>
      </c>
    </row>
    <row r="208">
      <c r="A208" s="8" t="n">
        <v>46021</v>
      </c>
      <c r="B208" t="inlineStr">
        <is>
          <t>2026-W01</t>
        </is>
      </c>
      <c r="C208" t="inlineStr">
        <is>
          <t>Nuvei</t>
        </is>
      </c>
      <c r="D208" t="inlineStr">
        <is>
          <t>EUR</t>
        </is>
      </c>
      <c r="E208" s="9" t="n">
        <v>422268.46</v>
      </c>
      <c r="F208" s="9" t="n">
        <v>417180.91</v>
      </c>
      <c r="G208" s="9" t="n">
        <v>-417177.41</v>
      </c>
      <c r="H208" s="9">
        <f>IF(D208="USD",E208*$L$1,E208)</f>
        <v/>
      </c>
      <c r="I208" s="9">
        <f>IF(D208="USD",F208*$L$1,F208)</f>
        <v/>
      </c>
      <c r="J208" s="9">
        <f>IF(D208="USD",G208*$L$1,G208)</f>
        <v/>
      </c>
    </row>
    <row r="209">
      <c r="A209" s="8" t="n">
        <v>46021</v>
      </c>
      <c r="B209" t="inlineStr">
        <is>
          <t>2026-W01</t>
        </is>
      </c>
      <c r="C209" t="inlineStr">
        <is>
          <t>Nuvei</t>
        </is>
      </c>
      <c r="D209" t="inlineStr">
        <is>
          <t>EUR</t>
        </is>
      </c>
      <c r="E209" s="9" t="n">
        <v>43377.52</v>
      </c>
      <c r="F209" s="9" t="n">
        <v>42255.95</v>
      </c>
      <c r="G209" s="9" t="n">
        <v>-42252.45</v>
      </c>
      <c r="H209" s="9">
        <f>IF(D209="USD",E209*$L$1,E209)</f>
        <v/>
      </c>
      <c r="I209" s="9">
        <f>IF(D209="USD",F209*$L$1,F209)</f>
        <v/>
      </c>
      <c r="J209" s="9">
        <f>IF(D209="USD",G209*$L$1,G209)</f>
        <v/>
      </c>
    </row>
    <row r="210">
      <c r="A210" s="8" t="n">
        <v>46022</v>
      </c>
      <c r="B210" t="inlineStr">
        <is>
          <t>2026-W01</t>
        </is>
      </c>
      <c r="C210" t="inlineStr">
        <is>
          <t>Adyen</t>
        </is>
      </c>
      <c r="D210" t="inlineStr">
        <is>
          <t>EUR</t>
        </is>
      </c>
      <c r="E210" s="9" t="n">
        <v>122772.49</v>
      </c>
      <c r="F210" s="9" t="n">
        <v>0</v>
      </c>
      <c r="G210" s="9" t="n">
        <v>262775.07</v>
      </c>
      <c r="H210" s="9">
        <f>IF(D210="USD",E210*$L$1,E210)</f>
        <v/>
      </c>
      <c r="I210" s="9">
        <f>IF(D210="USD",F210*$L$1,F210)</f>
        <v/>
      </c>
      <c r="J210" s="9">
        <f>IF(D210="USD",G210*$L$1,G210)</f>
        <v/>
      </c>
    </row>
    <row r="211">
      <c r="A211" s="8" t="n">
        <v>46022</v>
      </c>
      <c r="B211" t="inlineStr">
        <is>
          <t>2026-W01</t>
        </is>
      </c>
      <c r="C211" t="inlineStr">
        <is>
          <t>Adyen</t>
        </is>
      </c>
      <c r="D211" t="inlineStr">
        <is>
          <t>EUR</t>
        </is>
      </c>
      <c r="E211" s="9" t="n">
        <v>17022.15</v>
      </c>
      <c r="F211" s="9" t="n">
        <v>0</v>
      </c>
      <c r="G211" s="9" t="n">
        <v>0</v>
      </c>
      <c r="H211" s="9">
        <f>IF(D211="USD",E211*$L$1,E211)</f>
        <v/>
      </c>
      <c r="I211" s="9">
        <f>IF(D211="USD",F211*$L$1,F211)</f>
        <v/>
      </c>
      <c r="J211" s="9">
        <f>IF(D211="USD",G211*$L$1,G211)</f>
        <v/>
      </c>
    </row>
    <row r="212">
      <c r="A212" s="8" t="n">
        <v>46023</v>
      </c>
      <c r="B212" t="inlineStr">
        <is>
          <t>2026-W01</t>
        </is>
      </c>
      <c r="C212" t="inlineStr">
        <is>
          <t>Adyen</t>
        </is>
      </c>
      <c r="D212" t="inlineStr">
        <is>
          <t>EUR</t>
        </is>
      </c>
      <c r="E212" s="9" t="n">
        <v>120686.68</v>
      </c>
      <c r="F212" s="9" t="n">
        <v>0</v>
      </c>
      <c r="G212" s="9" t="n">
        <v>0</v>
      </c>
      <c r="H212" s="9">
        <f>IF(D212="USD",E212*$L$1,E212)</f>
        <v/>
      </c>
      <c r="I212" s="9">
        <f>IF(D212="USD",F212*$L$1,F212)</f>
        <v/>
      </c>
      <c r="J212" s="9">
        <f>IF(D212="USD",G212*$L$1,G212)</f>
        <v/>
      </c>
    </row>
    <row r="213">
      <c r="A213" s="8" t="n">
        <v>46023</v>
      </c>
      <c r="B213" t="inlineStr">
        <is>
          <t>2026-W01</t>
        </is>
      </c>
      <c r="C213" t="inlineStr">
        <is>
          <t>Adyen</t>
        </is>
      </c>
      <c r="D213" t="inlineStr">
        <is>
          <t>EUR</t>
        </is>
      </c>
      <c r="E213" s="9" t="n">
        <v>9523.27</v>
      </c>
      <c r="F213" s="9" t="n">
        <v>0</v>
      </c>
      <c r="G213" s="9" t="n">
        <v>0</v>
      </c>
      <c r="H213" s="9">
        <f>IF(D213="USD",E213*$L$1,E213)</f>
        <v/>
      </c>
      <c r="I213" s="9">
        <f>IF(D213="USD",F213*$L$1,F213)</f>
        <v/>
      </c>
      <c r="J213" s="9">
        <f>IF(D213="USD",G213*$L$1,G213)</f>
        <v/>
      </c>
    </row>
    <row r="214">
      <c r="A214" s="8" t="n">
        <v>46023</v>
      </c>
      <c r="B214" t="inlineStr">
        <is>
          <t>2026-W01</t>
        </is>
      </c>
      <c r="C214" t="inlineStr">
        <is>
          <t>Nuvei</t>
        </is>
      </c>
      <c r="D214" t="inlineStr">
        <is>
          <t>EUR</t>
        </is>
      </c>
      <c r="E214" s="9" t="n">
        <v>464659.65</v>
      </c>
      <c r="F214" s="9" t="n">
        <v>458927.77</v>
      </c>
      <c r="G214" s="9" t="n">
        <v>-458927.77</v>
      </c>
      <c r="H214" s="9">
        <f>IF(D214="USD",E214*$L$1,E214)</f>
        <v/>
      </c>
      <c r="I214" s="9">
        <f>IF(D214="USD",F214*$L$1,F214)</f>
        <v/>
      </c>
      <c r="J214" s="9">
        <f>IF(D214="USD",G214*$L$1,G214)</f>
        <v/>
      </c>
    </row>
    <row r="215">
      <c r="A215" s="8" t="n">
        <v>46023</v>
      </c>
      <c r="B215" t="inlineStr">
        <is>
          <t>2026-W01</t>
        </is>
      </c>
      <c r="C215" t="inlineStr">
        <is>
          <t>Nuvei</t>
        </is>
      </c>
      <c r="D215" t="inlineStr">
        <is>
          <t>EUR</t>
        </is>
      </c>
      <c r="E215" s="9" t="n">
        <v>55919.24</v>
      </c>
      <c r="F215" s="9" t="n">
        <v>54449.69</v>
      </c>
      <c r="G215" s="9" t="n">
        <v>-54449.69</v>
      </c>
      <c r="H215" s="9">
        <f>IF(D215="USD",E215*$L$1,E215)</f>
        <v/>
      </c>
      <c r="I215" s="9">
        <f>IF(D215="USD",F215*$L$1,F215)</f>
        <v/>
      </c>
      <c r="J215" s="9">
        <f>IF(D215="USD",G215*$L$1,G215)</f>
        <v/>
      </c>
    </row>
    <row r="216">
      <c r="A216" s="8" t="n">
        <v>46024</v>
      </c>
      <c r="B216" t="inlineStr">
        <is>
          <t>2026-W01</t>
        </is>
      </c>
      <c r="C216" t="inlineStr">
        <is>
          <t>Adyen</t>
        </is>
      </c>
      <c r="D216" t="inlineStr">
        <is>
          <t>EUR</t>
        </is>
      </c>
      <c r="E216" s="9" t="n">
        <v>218111.24</v>
      </c>
      <c r="F216" s="9" t="n">
        <v>0</v>
      </c>
      <c r="G216" s="9" t="n">
        <v>851298.62</v>
      </c>
      <c r="H216" s="9">
        <f>IF(D216="USD",E216*$L$1,E216)</f>
        <v/>
      </c>
      <c r="I216" s="9">
        <f>IF(D216="USD",F216*$L$1,F216)</f>
        <v/>
      </c>
      <c r="J216" s="9">
        <f>IF(D216="USD",G216*$L$1,G216)</f>
        <v/>
      </c>
    </row>
    <row r="217">
      <c r="A217" s="8" t="n">
        <v>46024</v>
      </c>
      <c r="B217" t="inlineStr">
        <is>
          <t>2026-W01</t>
        </is>
      </c>
      <c r="C217" t="inlineStr">
        <is>
          <t>Adyen</t>
        </is>
      </c>
      <c r="D217" t="inlineStr">
        <is>
          <t>EUR</t>
        </is>
      </c>
      <c r="E217" s="9" t="n">
        <v>24492.36</v>
      </c>
      <c r="F217" s="9" t="n">
        <v>0</v>
      </c>
      <c r="G217" s="9" t="n">
        <v>0</v>
      </c>
      <c r="H217" s="9">
        <f>IF(D217="USD",E217*$L$1,E217)</f>
        <v/>
      </c>
      <c r="I217" s="9">
        <f>IF(D217="USD",F217*$L$1,F217)</f>
        <v/>
      </c>
      <c r="J217" s="9">
        <f>IF(D217="USD",G217*$L$1,G217)</f>
        <v/>
      </c>
    </row>
    <row r="218">
      <c r="A218" s="8" t="n">
        <v>46024</v>
      </c>
      <c r="B218" t="inlineStr">
        <is>
          <t>2026-W01</t>
        </is>
      </c>
      <c r="C218" t="inlineStr">
        <is>
          <t>Nuvei</t>
        </is>
      </c>
      <c r="D218" t="inlineStr">
        <is>
          <t>EUR</t>
        </is>
      </c>
      <c r="E218" s="9" t="n">
        <v>608078.4300000001</v>
      </c>
      <c r="F218" s="9" t="n">
        <v>600915.9700000001</v>
      </c>
      <c r="G218" s="9" t="n">
        <v>-600912.48</v>
      </c>
      <c r="H218" s="9">
        <f>IF(D218="USD",E218*$L$1,E218)</f>
        <v/>
      </c>
      <c r="I218" s="9">
        <f>IF(D218="USD",F218*$L$1,F218)</f>
        <v/>
      </c>
      <c r="J218" s="9">
        <f>IF(D218="USD",G218*$L$1,G218)</f>
        <v/>
      </c>
    </row>
    <row r="219">
      <c r="A219" s="8" t="n">
        <v>46024</v>
      </c>
      <c r="B219" t="inlineStr">
        <is>
          <t>2026-W01</t>
        </is>
      </c>
      <c r="C219" t="inlineStr">
        <is>
          <t>Nuvei</t>
        </is>
      </c>
      <c r="D219" t="inlineStr">
        <is>
          <t>EUR</t>
        </is>
      </c>
      <c r="E219" s="9" t="n">
        <v>75227.21000000001</v>
      </c>
      <c r="F219" s="9" t="n">
        <v>73275.77</v>
      </c>
      <c r="G219" s="9" t="n">
        <v>-73272.27</v>
      </c>
      <c r="H219" s="9">
        <f>IF(D219="USD",E219*$L$1,E219)</f>
        <v/>
      </c>
      <c r="I219" s="9">
        <f>IF(D219="USD",F219*$L$1,F219)</f>
        <v/>
      </c>
      <c r="J219" s="9">
        <f>IF(D219="USD",G219*$L$1,G219)</f>
        <v/>
      </c>
    </row>
    <row r="220">
      <c r="A220" s="8" t="n">
        <v>46025</v>
      </c>
      <c r="B220" t="inlineStr">
        <is>
          <t>2026-W01</t>
        </is>
      </c>
      <c r="C220" t="inlineStr">
        <is>
          <t>Adyen</t>
        </is>
      </c>
      <c r="D220" t="inlineStr">
        <is>
          <t>EUR</t>
        </is>
      </c>
      <c r="E220" s="9" t="n">
        <v>144905.52</v>
      </c>
      <c r="F220" s="9" t="n">
        <v>0</v>
      </c>
      <c r="G220" s="9" t="n">
        <v>0</v>
      </c>
      <c r="H220" s="9">
        <f>IF(D220="USD",E220*$L$1,E220)</f>
        <v/>
      </c>
      <c r="I220" s="9">
        <f>IF(D220="USD",F220*$L$1,F220)</f>
        <v/>
      </c>
      <c r="J220" s="9">
        <f>IF(D220="USD",G220*$L$1,G220)</f>
        <v/>
      </c>
    </row>
    <row r="221">
      <c r="A221" s="8" t="n">
        <v>46025</v>
      </c>
      <c r="B221" t="inlineStr">
        <is>
          <t>2026-W01</t>
        </is>
      </c>
      <c r="C221" t="inlineStr">
        <is>
          <t>Adyen</t>
        </is>
      </c>
      <c r="D221" t="inlineStr">
        <is>
          <t>EUR</t>
        </is>
      </c>
      <c r="E221" s="9" t="n">
        <v>20852.72</v>
      </c>
      <c r="F221" s="9" t="n">
        <v>0</v>
      </c>
      <c r="G221" s="9" t="n">
        <v>0</v>
      </c>
      <c r="H221" s="9">
        <f>IF(D221="USD",E221*$L$1,E221)</f>
        <v/>
      </c>
      <c r="I221" s="9">
        <f>IF(D221="USD",F221*$L$1,F221)</f>
        <v/>
      </c>
      <c r="J221" s="9">
        <f>IF(D221="USD",G221*$L$1,G221)</f>
        <v/>
      </c>
    </row>
    <row r="222">
      <c r="A222" s="8" t="n">
        <v>46025</v>
      </c>
      <c r="B222" t="inlineStr">
        <is>
          <t>2026-W01</t>
        </is>
      </c>
      <c r="C222" t="inlineStr">
        <is>
          <t>Nuvei</t>
        </is>
      </c>
      <c r="D222" t="inlineStr">
        <is>
          <t>EUR</t>
        </is>
      </c>
      <c r="E222" s="9" t="n">
        <v>557600.04</v>
      </c>
      <c r="F222" s="9" t="n">
        <v>552331.7200000001</v>
      </c>
      <c r="G222" s="9" t="n">
        <v>0</v>
      </c>
      <c r="H222" s="9">
        <f>IF(D222="USD",E222*$L$1,E222)</f>
        <v/>
      </c>
      <c r="I222" s="9">
        <f>IF(D222="USD",F222*$L$1,F222)</f>
        <v/>
      </c>
      <c r="J222" s="9">
        <f>IF(D222="USD",G222*$L$1,G222)</f>
        <v/>
      </c>
    </row>
    <row r="223">
      <c r="A223" s="8" t="n">
        <v>46025</v>
      </c>
      <c r="B223" t="inlineStr">
        <is>
          <t>2026-W01</t>
        </is>
      </c>
      <c r="C223" t="inlineStr">
        <is>
          <t>Nuvei</t>
        </is>
      </c>
      <c r="D223" t="inlineStr">
        <is>
          <t>EUR</t>
        </is>
      </c>
      <c r="E223" s="9" t="n">
        <v>52702.91</v>
      </c>
      <c r="F223" s="9" t="n">
        <v>51301.81</v>
      </c>
      <c r="G223" s="9" t="n">
        <v>0</v>
      </c>
      <c r="H223" s="9">
        <f>IF(D223="USD",E223*$L$1,E223)</f>
        <v/>
      </c>
      <c r="I223" s="9">
        <f>IF(D223="USD",F223*$L$1,F223)</f>
        <v/>
      </c>
      <c r="J223" s="9">
        <f>IF(D223="USD",G223*$L$1,G223)</f>
        <v/>
      </c>
    </row>
    <row r="224">
      <c r="A224" s="8" t="n">
        <v>46026</v>
      </c>
      <c r="B224" t="inlineStr">
        <is>
          <t>2026-W01</t>
        </is>
      </c>
      <c r="C224" t="inlineStr">
        <is>
          <t>Adyen</t>
        </is>
      </c>
      <c r="D224" t="inlineStr">
        <is>
          <t>EUR</t>
        </is>
      </c>
      <c r="E224" s="9" t="n">
        <v>154800.18</v>
      </c>
      <c r="F224" s="9" t="n">
        <v>0</v>
      </c>
      <c r="G224" s="9" t="n">
        <v>0</v>
      </c>
      <c r="H224" s="9">
        <f>IF(D224="USD",E224*$L$1,E224)</f>
        <v/>
      </c>
      <c r="I224" s="9">
        <f>IF(D224="USD",F224*$L$1,F224)</f>
        <v/>
      </c>
      <c r="J224" s="9">
        <f>IF(D224="USD",G224*$L$1,G224)</f>
        <v/>
      </c>
    </row>
    <row r="225">
      <c r="A225" s="8" t="n">
        <v>46026</v>
      </c>
      <c r="B225" t="inlineStr">
        <is>
          <t>2026-W01</t>
        </is>
      </c>
      <c r="C225" t="inlineStr">
        <is>
          <t>Adyen</t>
        </is>
      </c>
      <c r="D225" t="inlineStr">
        <is>
          <t>EUR</t>
        </is>
      </c>
      <c r="E225" s="9" t="n">
        <v>16051.23</v>
      </c>
      <c r="F225" s="9" t="n">
        <v>0</v>
      </c>
      <c r="G225" s="9" t="n">
        <v>0</v>
      </c>
      <c r="H225" s="9">
        <f>IF(D225="USD",E225*$L$1,E225)</f>
        <v/>
      </c>
      <c r="I225" s="9">
        <f>IF(D225="USD",F225*$L$1,F225)</f>
        <v/>
      </c>
      <c r="J225" s="9">
        <f>IF(D225="USD",G225*$L$1,G225)</f>
        <v/>
      </c>
    </row>
    <row r="226">
      <c r="A226" s="8" t="n">
        <v>46026</v>
      </c>
      <c r="B226" t="inlineStr">
        <is>
          <t>2026-W01</t>
        </is>
      </c>
      <c r="C226" t="inlineStr">
        <is>
          <t>Nuvei</t>
        </is>
      </c>
      <c r="D226" t="inlineStr">
        <is>
          <t>EUR</t>
        </is>
      </c>
      <c r="E226" s="9" t="n">
        <v>704387.6</v>
      </c>
      <c r="F226" s="9" t="n">
        <v>697975.2999999999</v>
      </c>
      <c r="G226" s="9" t="n">
        <v>0</v>
      </c>
      <c r="H226" s="9">
        <f>IF(D226="USD",E226*$L$1,E226)</f>
        <v/>
      </c>
      <c r="I226" s="9">
        <f>IF(D226="USD",F226*$L$1,F226)</f>
        <v/>
      </c>
      <c r="J226" s="9">
        <f>IF(D226="USD",G226*$L$1,G226)</f>
        <v/>
      </c>
    </row>
    <row r="227">
      <c r="A227" s="8" t="n">
        <v>46026</v>
      </c>
      <c r="B227" t="inlineStr">
        <is>
          <t>2026-W01</t>
        </is>
      </c>
      <c r="C227" t="inlineStr">
        <is>
          <t>Nuvei</t>
        </is>
      </c>
      <c r="D227" t="inlineStr">
        <is>
          <t>EUR</t>
        </is>
      </c>
      <c r="E227" s="9" t="n">
        <v>75649.14999999999</v>
      </c>
      <c r="F227" s="9" t="n">
        <v>73632.57999999999</v>
      </c>
      <c r="G227" s="9" t="n">
        <v>0</v>
      </c>
      <c r="H227" s="9">
        <f>IF(D227="USD",E227*$L$1,E227)</f>
        <v/>
      </c>
      <c r="I227" s="9">
        <f>IF(D227="USD",F227*$L$1,F227)</f>
        <v/>
      </c>
      <c r="J227" s="9">
        <f>IF(D227="USD",G227*$L$1,G227)</f>
        <v/>
      </c>
    </row>
    <row r="228">
      <c r="A228" s="8" t="n">
        <v>46027</v>
      </c>
      <c r="B228" t="inlineStr">
        <is>
          <t>2026-W02</t>
        </is>
      </c>
      <c r="C228" t="inlineStr">
        <is>
          <t>Adyen</t>
        </is>
      </c>
      <c r="D228" t="inlineStr">
        <is>
          <t>EUR</t>
        </is>
      </c>
      <c r="E228" s="9" t="n">
        <v>252608.78</v>
      </c>
      <c r="F228" s="9" t="n">
        <v>0</v>
      </c>
      <c r="G228" s="9" t="n">
        <v>0</v>
      </c>
      <c r="H228" s="9">
        <f>IF(D228="USD",E228*$L$1,E228)</f>
        <v/>
      </c>
      <c r="I228" s="9">
        <f>IF(D228="USD",F228*$L$1,F228)</f>
        <v/>
      </c>
      <c r="J228" s="9">
        <f>IF(D228="USD",G228*$L$1,G228)</f>
        <v/>
      </c>
    </row>
    <row r="229">
      <c r="A229" s="8" t="n">
        <v>46027</v>
      </c>
      <c r="B229" t="inlineStr">
        <is>
          <t>2026-W02</t>
        </is>
      </c>
      <c r="C229" t="inlineStr">
        <is>
          <t>Adyen</t>
        </is>
      </c>
      <c r="D229" t="inlineStr">
        <is>
          <t>EUR</t>
        </is>
      </c>
      <c r="E229" s="9" t="n">
        <v>32741.03</v>
      </c>
      <c r="F229" s="9" t="n">
        <v>0</v>
      </c>
      <c r="G229" s="9" t="n">
        <v>0</v>
      </c>
      <c r="H229" s="9">
        <f>IF(D229="USD",E229*$L$1,E229)</f>
        <v/>
      </c>
      <c r="I229" s="9">
        <f>IF(D229="USD",F229*$L$1,F229)</f>
        <v/>
      </c>
      <c r="J229" s="9">
        <f>IF(D229="USD",G229*$L$1,G229)</f>
        <v/>
      </c>
    </row>
    <row r="230">
      <c r="A230" s="8" t="n">
        <v>46027</v>
      </c>
      <c r="B230" t="inlineStr">
        <is>
          <t>2026-W02</t>
        </is>
      </c>
      <c r="C230" t="inlineStr">
        <is>
          <t>Nuvei</t>
        </is>
      </c>
      <c r="D230" t="inlineStr">
        <is>
          <t>EUR</t>
        </is>
      </c>
      <c r="E230" s="9" t="n">
        <v>604781.74</v>
      </c>
      <c r="F230" s="9" t="n">
        <v>597740.91</v>
      </c>
      <c r="G230" s="9" t="n">
        <v>-1848044.44</v>
      </c>
      <c r="H230" s="9">
        <f>IF(D230="USD",E230*$L$1,E230)</f>
        <v/>
      </c>
      <c r="I230" s="9">
        <f>IF(D230="USD",F230*$L$1,F230)</f>
        <v/>
      </c>
      <c r="J230" s="9">
        <f>IF(D230="USD",G230*$L$1,G230)</f>
        <v/>
      </c>
    </row>
    <row r="231">
      <c r="A231" s="8" t="n">
        <v>46027</v>
      </c>
      <c r="B231" t="inlineStr">
        <is>
          <t>2026-W02</t>
        </is>
      </c>
      <c r="C231" t="inlineStr">
        <is>
          <t>Nuvei</t>
        </is>
      </c>
      <c r="D231" t="inlineStr">
        <is>
          <t>EUR</t>
        </is>
      </c>
      <c r="E231" s="9" t="n">
        <v>70755.57000000001</v>
      </c>
      <c r="F231" s="9" t="n">
        <v>68895.38</v>
      </c>
      <c r="G231" s="9" t="n">
        <v>-193826.27</v>
      </c>
      <c r="H231" s="9">
        <f>IF(D231="USD",E231*$L$1,E231)</f>
        <v/>
      </c>
      <c r="I231" s="9">
        <f>IF(D231="USD",F231*$L$1,F231)</f>
        <v/>
      </c>
      <c r="J231" s="9">
        <f>IF(D231="USD",G231*$L$1,G231)</f>
        <v/>
      </c>
    </row>
    <row r="232">
      <c r="A232" s="8" t="n">
        <v>46028</v>
      </c>
      <c r="B232" t="inlineStr">
        <is>
          <t>2026-W02</t>
        </is>
      </c>
      <c r="C232" t="inlineStr">
        <is>
          <t>Adyen</t>
        </is>
      </c>
      <c r="D232" t="inlineStr">
        <is>
          <t>EUR</t>
        </is>
      </c>
      <c r="E232" s="9" t="n">
        <v>213188.86</v>
      </c>
      <c r="F232" s="9" t="n">
        <v>0</v>
      </c>
      <c r="G232" s="9" t="n">
        <v>240159.67</v>
      </c>
      <c r="H232" s="9">
        <f>IF(D232="USD",E232*$L$1,E232)</f>
        <v/>
      </c>
      <c r="I232" s="9">
        <f>IF(D232="USD",F232*$L$1,F232)</f>
        <v/>
      </c>
      <c r="J232" s="9">
        <f>IF(D232="USD",G232*$L$1,G232)</f>
        <v/>
      </c>
    </row>
    <row r="233">
      <c r="A233" s="8" t="n">
        <v>46028</v>
      </c>
      <c r="B233" t="inlineStr">
        <is>
          <t>2026-W02</t>
        </is>
      </c>
      <c r="C233" t="inlineStr">
        <is>
          <t>Adyen</t>
        </is>
      </c>
      <c r="D233" t="inlineStr">
        <is>
          <t>EUR</t>
        </is>
      </c>
      <c r="E233" s="9" t="n">
        <v>39315.81</v>
      </c>
      <c r="F233" s="9" t="n">
        <v>0</v>
      </c>
      <c r="G233" s="9" t="n">
        <v>0</v>
      </c>
      <c r="H233" s="9">
        <f>IF(D233="USD",E233*$L$1,E233)</f>
        <v/>
      </c>
      <c r="I233" s="9">
        <f>IF(D233="USD",F233*$L$1,F233)</f>
        <v/>
      </c>
      <c r="J233" s="9">
        <f>IF(D233="USD",G233*$L$1,G233)</f>
        <v/>
      </c>
    </row>
    <row r="234">
      <c r="A234" s="8" t="n">
        <v>46028</v>
      </c>
      <c r="B234" t="inlineStr">
        <is>
          <t>2026-W02</t>
        </is>
      </c>
      <c r="C234" t="inlineStr">
        <is>
          <t>Nuvei</t>
        </is>
      </c>
      <c r="D234" t="inlineStr">
        <is>
          <t>EUR</t>
        </is>
      </c>
      <c r="E234" s="9" t="n">
        <v>668878.79</v>
      </c>
      <c r="F234" s="9" t="n">
        <v>660862.3100000001</v>
      </c>
      <c r="G234" s="9" t="n">
        <v>-660858.8199999999</v>
      </c>
      <c r="H234" s="9">
        <f>IF(D234="USD",E234*$L$1,E234)</f>
        <v/>
      </c>
      <c r="I234" s="9">
        <f>IF(D234="USD",F234*$L$1,F234)</f>
        <v/>
      </c>
      <c r="J234" s="9">
        <f>IF(D234="USD",G234*$L$1,G234)</f>
        <v/>
      </c>
    </row>
    <row r="235">
      <c r="A235" s="8" t="n">
        <v>46028</v>
      </c>
      <c r="B235" t="inlineStr">
        <is>
          <t>2026-W02</t>
        </is>
      </c>
      <c r="C235" t="inlineStr">
        <is>
          <t>Nuvei</t>
        </is>
      </c>
      <c r="D235" t="inlineStr">
        <is>
          <t>EUR</t>
        </is>
      </c>
      <c r="E235" s="9" t="n">
        <v>74837.58</v>
      </c>
      <c r="F235" s="9" t="n">
        <v>72905.75</v>
      </c>
      <c r="G235" s="9" t="n">
        <v>-72902.25999999999</v>
      </c>
      <c r="H235" s="9">
        <f>IF(D235="USD",E235*$L$1,E235)</f>
        <v/>
      </c>
      <c r="I235" s="9">
        <f>IF(D235="USD",F235*$L$1,F235)</f>
        <v/>
      </c>
      <c r="J235" s="9">
        <f>IF(D235="USD",G235*$L$1,G235)</f>
        <v/>
      </c>
    </row>
    <row r="236">
      <c r="A236" s="8" t="n">
        <v>46029</v>
      </c>
      <c r="B236" t="inlineStr">
        <is>
          <t>2026-W02</t>
        </is>
      </c>
      <c r="C236" t="inlineStr">
        <is>
          <t>Adyen</t>
        </is>
      </c>
      <c r="D236" t="inlineStr">
        <is>
          <t>EUR</t>
        </is>
      </c>
      <c r="E236" s="9" t="n">
        <v>296281.12</v>
      </c>
      <c r="F236" s="9" t="n">
        <v>0</v>
      </c>
      <c r="G236" s="9" t="n">
        <v>337614.86</v>
      </c>
      <c r="H236" s="9">
        <f>IF(D236="USD",E236*$L$1,E236)</f>
        <v/>
      </c>
      <c r="I236" s="9">
        <f>IF(D236="USD",F236*$L$1,F236)</f>
        <v/>
      </c>
      <c r="J236" s="9">
        <f>IF(D236="USD",G236*$L$1,G236)</f>
        <v/>
      </c>
    </row>
    <row r="237">
      <c r="A237" s="8" t="n">
        <v>46029</v>
      </c>
      <c r="B237" t="inlineStr">
        <is>
          <t>2026-W02</t>
        </is>
      </c>
      <c r="C237" t="inlineStr">
        <is>
          <t>Adyen</t>
        </is>
      </c>
      <c r="D237" t="inlineStr">
        <is>
          <t>EUR</t>
        </is>
      </c>
      <c r="E237" s="9" t="n">
        <v>51136.79</v>
      </c>
      <c r="F237" s="9" t="n">
        <v>0</v>
      </c>
      <c r="G237" s="9" t="n">
        <v>0</v>
      </c>
      <c r="H237" s="9">
        <f>IF(D237="USD",E237*$L$1,E237)</f>
        <v/>
      </c>
      <c r="I237" s="9">
        <f>IF(D237="USD",F237*$L$1,F237)</f>
        <v/>
      </c>
      <c r="J237" s="9">
        <f>IF(D237="USD",G237*$L$1,G237)</f>
        <v/>
      </c>
    </row>
    <row r="238">
      <c r="A238" s="8" t="n">
        <v>46029</v>
      </c>
      <c r="B238" t="inlineStr">
        <is>
          <t>2026-W02</t>
        </is>
      </c>
      <c r="C238" t="inlineStr">
        <is>
          <t>Nuvei</t>
        </is>
      </c>
      <c r="D238" t="inlineStr">
        <is>
          <t>EUR</t>
        </is>
      </c>
      <c r="E238" s="9" t="n">
        <v>694296.91</v>
      </c>
      <c r="F238" s="9" t="n">
        <v>685417.9700000001</v>
      </c>
      <c r="G238" s="9" t="n">
        <v>-685414.47</v>
      </c>
      <c r="H238" s="9">
        <f>IF(D238="USD",E238*$L$1,E238)</f>
        <v/>
      </c>
      <c r="I238" s="9">
        <f>IF(D238="USD",F238*$L$1,F238)</f>
        <v/>
      </c>
      <c r="J238" s="9">
        <f>IF(D238="USD",G238*$L$1,G238)</f>
        <v/>
      </c>
    </row>
    <row r="239">
      <c r="A239" s="8" t="n">
        <v>46029</v>
      </c>
      <c r="B239" t="inlineStr">
        <is>
          <t>2026-W02</t>
        </is>
      </c>
      <c r="C239" t="inlineStr">
        <is>
          <t>Nuvei</t>
        </is>
      </c>
      <c r="D239" t="inlineStr">
        <is>
          <t>EUR</t>
        </is>
      </c>
      <c r="E239" s="9" t="n">
        <v>68997.74000000001</v>
      </c>
      <c r="F239" s="9" t="n">
        <v>67139.48000000001</v>
      </c>
      <c r="G239" s="9" t="n">
        <v>-67135.98</v>
      </c>
      <c r="H239" s="9">
        <f>IF(D239="USD",E239*$L$1,E239)</f>
        <v/>
      </c>
      <c r="I239" s="9">
        <f>IF(D239="USD",F239*$L$1,F239)</f>
        <v/>
      </c>
      <c r="J239" s="9">
        <f>IF(D239="USD",G239*$L$1,G239)</f>
        <v/>
      </c>
    </row>
    <row r="240">
      <c r="A240" s="8" t="n">
        <v>46030</v>
      </c>
      <c r="B240" t="inlineStr">
        <is>
          <t>2026-W02</t>
        </is>
      </c>
      <c r="C240" t="inlineStr">
        <is>
          <t>Adyen</t>
        </is>
      </c>
      <c r="D240" t="inlineStr">
        <is>
          <t>EUR</t>
        </is>
      </c>
      <c r="E240" s="9" t="n">
        <v>259627.74</v>
      </c>
      <c r="F240" s="9" t="n">
        <v>0</v>
      </c>
      <c r="G240" s="9" t="n">
        <v>287951.37</v>
      </c>
      <c r="H240" s="9">
        <f>IF(D240="USD",E240*$L$1,E240)</f>
        <v/>
      </c>
      <c r="I240" s="9">
        <f>IF(D240="USD",F240*$L$1,F240)</f>
        <v/>
      </c>
      <c r="J240" s="9">
        <f>IF(D240="USD",G240*$L$1,G240)</f>
        <v/>
      </c>
    </row>
    <row r="241">
      <c r="A241" s="8" t="n">
        <v>46030</v>
      </c>
      <c r="B241" t="inlineStr">
        <is>
          <t>2026-W02</t>
        </is>
      </c>
      <c r="C241" t="inlineStr">
        <is>
          <t>Adyen</t>
        </is>
      </c>
      <c r="D241" t="inlineStr">
        <is>
          <t>EUR</t>
        </is>
      </c>
      <c r="E241" s="9" t="n">
        <v>33916.6</v>
      </c>
      <c r="F241" s="9" t="n">
        <v>0</v>
      </c>
      <c r="G241" s="9" t="n">
        <v>0</v>
      </c>
      <c r="H241" s="9">
        <f>IF(D241="USD",E241*$L$1,E241)</f>
        <v/>
      </c>
      <c r="I241" s="9">
        <f>IF(D241="USD",F241*$L$1,F241)</f>
        <v/>
      </c>
      <c r="J241" s="9">
        <f>IF(D241="USD",G241*$L$1,G241)</f>
        <v/>
      </c>
    </row>
    <row r="242">
      <c r="A242" s="8" t="n">
        <v>46030</v>
      </c>
      <c r="B242" t="inlineStr">
        <is>
          <t>2026-W02</t>
        </is>
      </c>
      <c r="C242" t="inlineStr">
        <is>
          <t>Nuvei</t>
        </is>
      </c>
      <c r="D242" t="inlineStr">
        <is>
          <t>EUR</t>
        </is>
      </c>
      <c r="E242" s="9" t="n">
        <v>771994.0699999999</v>
      </c>
      <c r="F242" s="9" t="n">
        <v>762353.35</v>
      </c>
      <c r="G242" s="9" t="n">
        <v>-762349.86</v>
      </c>
      <c r="H242" s="9">
        <f>IF(D242="USD",E242*$L$1,E242)</f>
        <v/>
      </c>
      <c r="I242" s="9">
        <f>IF(D242="USD",F242*$L$1,F242)</f>
        <v/>
      </c>
      <c r="J242" s="9">
        <f>IF(D242="USD",G242*$L$1,G242)</f>
        <v/>
      </c>
    </row>
    <row r="243">
      <c r="A243" s="8" t="n">
        <v>46030</v>
      </c>
      <c r="B243" t="inlineStr">
        <is>
          <t>2026-W02</t>
        </is>
      </c>
      <c r="C243" t="inlineStr">
        <is>
          <t>Nuvei</t>
        </is>
      </c>
      <c r="D243" t="inlineStr">
        <is>
          <t>EUR</t>
        </is>
      </c>
      <c r="E243" s="9" t="n">
        <v>66283.12</v>
      </c>
      <c r="F243" s="9" t="n">
        <v>64526.99</v>
      </c>
      <c r="G243" s="9" t="n">
        <v>-64523.49</v>
      </c>
      <c r="H243" s="9">
        <f>IF(D243="USD",E243*$L$1,E243)</f>
        <v/>
      </c>
      <c r="I243" s="9">
        <f>IF(D243="USD",F243*$L$1,F243)</f>
        <v/>
      </c>
      <c r="J243" s="9">
        <f>IF(D243="USD",G243*$L$1,G243)</f>
        <v/>
      </c>
    </row>
    <row r="244">
      <c r="A244" s="8" t="n">
        <v>46031</v>
      </c>
      <c r="B244" t="inlineStr">
        <is>
          <t>2026-W02</t>
        </is>
      </c>
      <c r="C244" t="inlineStr">
        <is>
          <t>Adyen</t>
        </is>
      </c>
      <c r="D244" t="inlineStr">
        <is>
          <t>EUR</t>
        </is>
      </c>
      <c r="E244" s="9" t="n">
        <v>286860.16</v>
      </c>
      <c r="F244" s="9" t="n">
        <v>0</v>
      </c>
      <c r="G244" s="9" t="n">
        <v>701440.0599999999</v>
      </c>
      <c r="H244" s="9">
        <f>IF(D244="USD",E244*$L$1,E244)</f>
        <v/>
      </c>
      <c r="I244" s="9">
        <f>IF(D244="USD",F244*$L$1,F244)</f>
        <v/>
      </c>
      <c r="J244" s="9">
        <f>IF(D244="USD",G244*$L$1,G244)</f>
        <v/>
      </c>
    </row>
    <row r="245">
      <c r="A245" s="8" t="n">
        <v>46031</v>
      </c>
      <c r="B245" t="inlineStr">
        <is>
          <t>2026-W02</t>
        </is>
      </c>
      <c r="C245" t="inlineStr">
        <is>
          <t>Adyen</t>
        </is>
      </c>
      <c r="D245" t="inlineStr">
        <is>
          <t>EUR</t>
        </is>
      </c>
      <c r="E245" s="9" t="n">
        <v>37627.62</v>
      </c>
      <c r="F245" s="9" t="n">
        <v>0</v>
      </c>
      <c r="G245" s="9" t="n">
        <v>0</v>
      </c>
      <c r="H245" s="9">
        <f>IF(D245="USD",E245*$L$1,E245)</f>
        <v/>
      </c>
      <c r="I245" s="9">
        <f>IF(D245="USD",F245*$L$1,F245)</f>
        <v/>
      </c>
      <c r="J245" s="9">
        <f>IF(D245="USD",G245*$L$1,G245)</f>
        <v/>
      </c>
    </row>
    <row r="246">
      <c r="A246" s="8" t="n">
        <v>46031</v>
      </c>
      <c r="B246" t="inlineStr">
        <is>
          <t>2026-W02</t>
        </is>
      </c>
      <c r="C246" t="inlineStr">
        <is>
          <t>Nuvei</t>
        </is>
      </c>
      <c r="D246" t="inlineStr">
        <is>
          <t>EUR</t>
        </is>
      </c>
      <c r="E246" s="9" t="n">
        <v>689589.58</v>
      </c>
      <c r="F246" s="9" t="n">
        <v>680923.8099999999</v>
      </c>
      <c r="G246" s="9" t="n">
        <v>-680910.3100000001</v>
      </c>
      <c r="H246" s="9">
        <f>IF(D246="USD",E246*$L$1,E246)</f>
        <v/>
      </c>
      <c r="I246" s="9">
        <f>IF(D246="USD",F246*$L$1,F246)</f>
        <v/>
      </c>
      <c r="J246" s="9">
        <f>IF(D246="USD",G246*$L$1,G246)</f>
        <v/>
      </c>
    </row>
    <row r="247">
      <c r="A247" s="8" t="n">
        <v>46031</v>
      </c>
      <c r="B247" t="inlineStr">
        <is>
          <t>2026-W02</t>
        </is>
      </c>
      <c r="C247" t="inlineStr">
        <is>
          <t>Nuvei</t>
        </is>
      </c>
      <c r="D247" t="inlineStr">
        <is>
          <t>EUR</t>
        </is>
      </c>
      <c r="E247" s="9" t="n">
        <v>45681.73</v>
      </c>
      <c r="F247" s="9" t="n">
        <v>44448.78000000001</v>
      </c>
      <c r="G247" s="9" t="n">
        <v>-44435.27</v>
      </c>
      <c r="H247" s="9">
        <f>IF(D247="USD",E247*$L$1,E247)</f>
        <v/>
      </c>
      <c r="I247" s="9">
        <f>IF(D247="USD",F247*$L$1,F247)</f>
        <v/>
      </c>
      <c r="J247" s="9">
        <f>IF(D247="USD",G247*$L$1,G247)</f>
        <v/>
      </c>
    </row>
    <row r="248">
      <c r="A248" s="8" t="n">
        <v>46032</v>
      </c>
      <c r="B248" t="inlineStr">
        <is>
          <t>2026-W02</t>
        </is>
      </c>
      <c r="C248" t="inlineStr">
        <is>
          <t>Adyen</t>
        </is>
      </c>
      <c r="D248" t="inlineStr">
        <is>
          <t>EUR</t>
        </is>
      </c>
      <c r="E248" s="9" t="n">
        <v>171355.06</v>
      </c>
      <c r="F248" s="9" t="n">
        <v>0</v>
      </c>
      <c r="G248" s="9" t="n">
        <v>0</v>
      </c>
      <c r="H248" s="9">
        <f>IF(D248="USD",E248*$L$1,E248)</f>
        <v/>
      </c>
      <c r="I248" s="9">
        <f>IF(D248="USD",F248*$L$1,F248)</f>
        <v/>
      </c>
      <c r="J248" s="9">
        <f>IF(D248="USD",G248*$L$1,G248)</f>
        <v/>
      </c>
    </row>
    <row r="249">
      <c r="A249" s="8" t="n">
        <v>46032</v>
      </c>
      <c r="B249" t="inlineStr">
        <is>
          <t>2026-W02</t>
        </is>
      </c>
      <c r="C249" t="inlineStr">
        <is>
          <t>Adyen</t>
        </is>
      </c>
      <c r="D249" t="inlineStr">
        <is>
          <t>EUR</t>
        </is>
      </c>
      <c r="E249" s="9" t="n">
        <v>23314.92</v>
      </c>
      <c r="F249" s="9" t="n">
        <v>0</v>
      </c>
      <c r="G249" s="9" t="n">
        <v>0</v>
      </c>
      <c r="H249" s="9">
        <f>IF(D249="USD",E249*$L$1,E249)</f>
        <v/>
      </c>
      <c r="I249" s="9">
        <f>IF(D249="USD",F249*$L$1,F249)</f>
        <v/>
      </c>
      <c r="J249" s="9">
        <f>IF(D249="USD",G249*$L$1,G249)</f>
        <v/>
      </c>
    </row>
    <row r="250">
      <c r="A250" s="8" t="n">
        <v>46032</v>
      </c>
      <c r="B250" t="inlineStr">
        <is>
          <t>2026-W02</t>
        </is>
      </c>
      <c r="C250" t="inlineStr">
        <is>
          <t>Nuvei</t>
        </is>
      </c>
      <c r="D250" t="inlineStr">
        <is>
          <t>EUR</t>
        </is>
      </c>
      <c r="E250" s="9" t="n">
        <v>678118.33</v>
      </c>
      <c r="F250" s="9" t="n">
        <v>669658.0399999999</v>
      </c>
      <c r="G250" s="9" t="n">
        <v>0</v>
      </c>
      <c r="H250" s="9">
        <f>IF(D250="USD",E250*$L$1,E250)</f>
        <v/>
      </c>
      <c r="I250" s="9">
        <f>IF(D250="USD",F250*$L$1,F250)</f>
        <v/>
      </c>
      <c r="J250" s="9">
        <f>IF(D250="USD",G250*$L$1,G250)</f>
        <v/>
      </c>
    </row>
    <row r="251">
      <c r="A251" s="8" t="n">
        <v>46032</v>
      </c>
      <c r="B251" t="inlineStr">
        <is>
          <t>2026-W02</t>
        </is>
      </c>
      <c r="C251" t="inlineStr">
        <is>
          <t>Nuvei</t>
        </is>
      </c>
      <c r="D251" t="inlineStr">
        <is>
          <t>EUR</t>
        </is>
      </c>
      <c r="E251" s="9" t="n">
        <v>59058.68</v>
      </c>
      <c r="F251" s="9" t="n">
        <v>57576.23</v>
      </c>
      <c r="G251" s="9" t="n">
        <v>0</v>
      </c>
      <c r="H251" s="9">
        <f>IF(D251="USD",E251*$L$1,E251)</f>
        <v/>
      </c>
      <c r="I251" s="9">
        <f>IF(D251="USD",F251*$L$1,F251)</f>
        <v/>
      </c>
      <c r="J251" s="9">
        <f>IF(D251="USD",G251*$L$1,G251)</f>
        <v/>
      </c>
    </row>
    <row r="252">
      <c r="A252" s="8" t="n">
        <v>46033</v>
      </c>
      <c r="B252" t="inlineStr">
        <is>
          <t>2026-W02</t>
        </is>
      </c>
      <c r="C252" t="inlineStr">
        <is>
          <t>Adyen</t>
        </is>
      </c>
      <c r="D252" t="inlineStr">
        <is>
          <t>EUR</t>
        </is>
      </c>
      <c r="E252" s="9" t="n">
        <v>172835.23</v>
      </c>
      <c r="F252" s="9" t="n">
        <v>0</v>
      </c>
      <c r="G252" s="9" t="n">
        <v>0</v>
      </c>
      <c r="H252" s="9">
        <f>IF(D252="USD",E252*$L$1,E252)</f>
        <v/>
      </c>
      <c r="I252" s="9">
        <f>IF(D252="USD",F252*$L$1,F252)</f>
        <v/>
      </c>
      <c r="J252" s="9">
        <f>IF(D252="USD",G252*$L$1,G252)</f>
        <v/>
      </c>
    </row>
    <row r="253">
      <c r="A253" s="8" t="n">
        <v>46033</v>
      </c>
      <c r="B253" t="inlineStr">
        <is>
          <t>2026-W02</t>
        </is>
      </c>
      <c r="C253" t="inlineStr">
        <is>
          <t>Adyen</t>
        </is>
      </c>
      <c r="D253" t="inlineStr">
        <is>
          <t>EUR</t>
        </is>
      </c>
      <c r="E253" s="9" t="n">
        <v>17611.74</v>
      </c>
      <c r="F253" s="9" t="n">
        <v>0</v>
      </c>
      <c r="G253" s="9" t="n">
        <v>0</v>
      </c>
      <c r="H253" s="9">
        <f>IF(D253="USD",E253*$L$1,E253)</f>
        <v/>
      </c>
      <c r="I253" s="9">
        <f>IF(D253="USD",F253*$L$1,F253)</f>
        <v/>
      </c>
      <c r="J253" s="9">
        <f>IF(D253="USD",G253*$L$1,G253)</f>
        <v/>
      </c>
    </row>
    <row r="254">
      <c r="A254" s="8" t="n">
        <v>46033</v>
      </c>
      <c r="B254" t="inlineStr">
        <is>
          <t>2026-W02</t>
        </is>
      </c>
      <c r="C254" t="inlineStr">
        <is>
          <t>Nuvei</t>
        </is>
      </c>
      <c r="D254" t="inlineStr">
        <is>
          <t>EUR</t>
        </is>
      </c>
      <c r="E254" s="9" t="n">
        <v>798576.12</v>
      </c>
      <c r="F254" s="9" t="n">
        <v>788778.34</v>
      </c>
      <c r="G254" s="9" t="n">
        <v>0</v>
      </c>
      <c r="H254" s="9">
        <f>IF(D254="USD",E254*$L$1,E254)</f>
        <v/>
      </c>
      <c r="I254" s="9">
        <f>IF(D254="USD",F254*$L$1,F254)</f>
        <v/>
      </c>
      <c r="J254" s="9">
        <f>IF(D254="USD",G254*$L$1,G254)</f>
        <v/>
      </c>
    </row>
    <row r="255">
      <c r="A255" s="8" t="n">
        <v>46033</v>
      </c>
      <c r="B255" t="inlineStr">
        <is>
          <t>2026-W02</t>
        </is>
      </c>
      <c r="C255" t="inlineStr">
        <is>
          <t>Nuvei</t>
        </is>
      </c>
      <c r="D255" t="inlineStr">
        <is>
          <t>EUR</t>
        </is>
      </c>
      <c r="E255" s="9" t="n">
        <v>64604.6</v>
      </c>
      <c r="F255" s="9" t="n">
        <v>62942.51</v>
      </c>
      <c r="G255" s="9" t="n">
        <v>0</v>
      </c>
      <c r="H255" s="9">
        <f>IF(D255="USD",E255*$L$1,E255)</f>
        <v/>
      </c>
      <c r="I255" s="9">
        <f>IF(D255="USD",F255*$L$1,F255)</f>
        <v/>
      </c>
      <c r="J255" s="9">
        <f>IF(D255="USD",G255*$L$1,G255)</f>
        <v/>
      </c>
    </row>
    <row r="256">
      <c r="A256" s="8" t="n">
        <v>46034</v>
      </c>
      <c r="B256" t="inlineStr">
        <is>
          <t>2026-W03</t>
        </is>
      </c>
      <c r="C256" t="inlineStr">
        <is>
          <t>Adyen</t>
        </is>
      </c>
      <c r="D256" t="inlineStr">
        <is>
          <t>EUR</t>
        </is>
      </c>
      <c r="E256" s="9" t="n">
        <v>298512.32</v>
      </c>
      <c r="F256" s="9" t="n">
        <v>0</v>
      </c>
      <c r="G256" s="9" t="n">
        <v>340467.16</v>
      </c>
      <c r="H256" s="9">
        <f>IF(D256="USD",E256*$L$1,E256)</f>
        <v/>
      </c>
      <c r="I256" s="9">
        <f>IF(D256="USD",F256*$L$1,F256)</f>
        <v/>
      </c>
      <c r="J256" s="9">
        <f>IF(D256="USD",G256*$L$1,G256)</f>
        <v/>
      </c>
    </row>
    <row r="257">
      <c r="A257" s="8" t="n">
        <v>46034</v>
      </c>
      <c r="B257" t="inlineStr">
        <is>
          <t>2026-W03</t>
        </is>
      </c>
      <c r="C257" t="inlineStr">
        <is>
          <t>Adyen</t>
        </is>
      </c>
      <c r="D257" t="inlineStr">
        <is>
          <t>EUR</t>
        </is>
      </c>
      <c r="E257" s="9" t="n">
        <v>45850.3</v>
      </c>
      <c r="F257" s="9" t="n">
        <v>0</v>
      </c>
      <c r="G257" s="9" t="n">
        <v>0</v>
      </c>
      <c r="H257" s="9">
        <f>IF(D257="USD",E257*$L$1,E257)</f>
        <v/>
      </c>
      <c r="I257" s="9">
        <f>IF(D257="USD",F257*$L$1,F257)</f>
        <v/>
      </c>
      <c r="J257" s="9">
        <f>IF(D257="USD",G257*$L$1,G257)</f>
        <v/>
      </c>
    </row>
    <row r="258">
      <c r="A258" s="8" t="n">
        <v>46034</v>
      </c>
      <c r="B258" t="inlineStr">
        <is>
          <t>2026-W03</t>
        </is>
      </c>
      <c r="C258" t="inlineStr">
        <is>
          <t>Nuvei</t>
        </is>
      </c>
      <c r="D258" t="inlineStr">
        <is>
          <t>EUR</t>
        </is>
      </c>
      <c r="E258" s="9" t="n">
        <v>901272.27</v>
      </c>
      <c r="F258" s="9" t="n">
        <v>890091.38</v>
      </c>
      <c r="G258" s="9" t="n">
        <v>-2348509.25</v>
      </c>
      <c r="H258" s="9">
        <f>IF(D258="USD",E258*$L$1,E258)</f>
        <v/>
      </c>
      <c r="I258" s="9">
        <f>IF(D258="USD",F258*$L$1,F258)</f>
        <v/>
      </c>
      <c r="J258" s="9">
        <f>IF(D258="USD",G258*$L$1,G258)</f>
        <v/>
      </c>
    </row>
    <row r="259">
      <c r="A259" s="8" t="n">
        <v>46034</v>
      </c>
      <c r="B259" t="inlineStr">
        <is>
          <t>2026-W03</t>
        </is>
      </c>
      <c r="C259" t="inlineStr">
        <is>
          <t>Nuvei</t>
        </is>
      </c>
      <c r="D259" t="inlineStr">
        <is>
          <t>EUR</t>
        </is>
      </c>
      <c r="E259" s="9" t="n">
        <v>91086.13</v>
      </c>
      <c r="F259" s="9" t="n">
        <v>88721.31</v>
      </c>
      <c r="G259" s="9" t="n">
        <v>-209236.54</v>
      </c>
      <c r="H259" s="9">
        <f>IF(D259="USD",E259*$L$1,E259)</f>
        <v/>
      </c>
      <c r="I259" s="9">
        <f>IF(D259="USD",F259*$L$1,F259)</f>
        <v/>
      </c>
      <c r="J259" s="9">
        <f>IF(D259="USD",G259*$L$1,G259)</f>
        <v/>
      </c>
    </row>
    <row r="260">
      <c r="A260" s="8" t="n">
        <v>46035</v>
      </c>
      <c r="B260" t="inlineStr">
        <is>
          <t>2026-W03</t>
        </is>
      </c>
      <c r="C260" t="inlineStr">
        <is>
          <t>Adyen</t>
        </is>
      </c>
      <c r="D260" t="inlineStr">
        <is>
          <t>EUR</t>
        </is>
      </c>
      <c r="E260" s="9" t="n">
        <v>349189.98</v>
      </c>
      <c r="F260" s="9" t="n">
        <v>0</v>
      </c>
      <c r="G260" s="9" t="n">
        <v>394298.78</v>
      </c>
      <c r="H260" s="9">
        <f>IF(D260="USD",E260*$L$1,E260)</f>
        <v/>
      </c>
      <c r="I260" s="9">
        <f>IF(D260="USD",F260*$L$1,F260)</f>
        <v/>
      </c>
      <c r="J260" s="9">
        <f>IF(D260="USD",G260*$L$1,G260)</f>
        <v/>
      </c>
    </row>
    <row r="261">
      <c r="A261" s="8" t="n">
        <v>46035</v>
      </c>
      <c r="B261" t="inlineStr">
        <is>
          <t>2026-W03</t>
        </is>
      </c>
      <c r="C261" t="inlineStr">
        <is>
          <t>Adyen</t>
        </is>
      </c>
      <c r="D261" t="inlineStr">
        <is>
          <t>EUR</t>
        </is>
      </c>
      <c r="E261" s="9" t="n">
        <v>48986.78</v>
      </c>
      <c r="F261" s="9" t="n">
        <v>0</v>
      </c>
      <c r="G261" s="9" t="n">
        <v>0</v>
      </c>
      <c r="H261" s="9">
        <f>IF(D261="USD",E261*$L$1,E261)</f>
        <v/>
      </c>
      <c r="I261" s="9">
        <f>IF(D261="USD",F261*$L$1,F261)</f>
        <v/>
      </c>
      <c r="J261" s="9">
        <f>IF(D261="USD",G261*$L$1,G261)</f>
        <v/>
      </c>
    </row>
    <row r="262">
      <c r="A262" s="8" t="n">
        <v>46035</v>
      </c>
      <c r="B262" t="inlineStr">
        <is>
          <t>2026-W03</t>
        </is>
      </c>
      <c r="C262" t="inlineStr">
        <is>
          <t>Nuvei</t>
        </is>
      </c>
      <c r="D262" t="inlineStr">
        <is>
          <t>EUR</t>
        </is>
      </c>
      <c r="E262" s="9" t="n">
        <v>837502.75</v>
      </c>
      <c r="F262" s="9" t="n">
        <v>827186.5</v>
      </c>
      <c r="G262" s="9" t="n">
        <v>-827183.01</v>
      </c>
      <c r="H262" s="9">
        <f>IF(D262="USD",E262*$L$1,E262)</f>
        <v/>
      </c>
      <c r="I262" s="9">
        <f>IF(D262="USD",F262*$L$1,F262)</f>
        <v/>
      </c>
      <c r="J262" s="9">
        <f>IF(D262="USD",G262*$L$1,G262)</f>
        <v/>
      </c>
    </row>
    <row r="263">
      <c r="A263" s="8" t="n">
        <v>46035</v>
      </c>
      <c r="B263" t="inlineStr">
        <is>
          <t>2026-W03</t>
        </is>
      </c>
      <c r="C263" t="inlineStr">
        <is>
          <t>Nuvei</t>
        </is>
      </c>
      <c r="D263" t="inlineStr">
        <is>
          <t>EUR</t>
        </is>
      </c>
      <c r="E263" s="9" t="n">
        <v>76246.12</v>
      </c>
      <c r="F263" s="9" t="n">
        <v>74284.54999999999</v>
      </c>
      <c r="G263" s="9" t="n">
        <v>-74281.05</v>
      </c>
      <c r="H263" s="9">
        <f>IF(D263="USD",E263*$L$1,E263)</f>
        <v/>
      </c>
      <c r="I263" s="9">
        <f>IF(D263="USD",F263*$L$1,F263)</f>
        <v/>
      </c>
      <c r="J263" s="9">
        <f>IF(D263="USD",G263*$L$1,G263)</f>
        <v/>
      </c>
    </row>
    <row r="264">
      <c r="A264" s="8" t="n">
        <v>46036</v>
      </c>
      <c r="B264" t="inlineStr">
        <is>
          <t>2026-W03</t>
        </is>
      </c>
      <c r="C264" t="inlineStr">
        <is>
          <t>Adyen</t>
        </is>
      </c>
      <c r="D264" t="inlineStr">
        <is>
          <t>EUR</t>
        </is>
      </c>
      <c r="E264" s="9" t="n">
        <v>332588.33</v>
      </c>
      <c r="F264" s="9" t="n">
        <v>0</v>
      </c>
      <c r="G264" s="9" t="n">
        <v>379663.25</v>
      </c>
      <c r="H264" s="9">
        <f>IF(D264="USD",E264*$L$1,E264)</f>
        <v/>
      </c>
      <c r="I264" s="9">
        <f>IF(D264="USD",F264*$L$1,F264)</f>
        <v/>
      </c>
      <c r="J264" s="9">
        <f>IF(D264="USD",G264*$L$1,G264)</f>
        <v/>
      </c>
    </row>
    <row r="265">
      <c r="A265" s="8" t="n">
        <v>46036</v>
      </c>
      <c r="B265" t="inlineStr">
        <is>
          <t>2026-W03</t>
        </is>
      </c>
      <c r="C265" t="inlineStr">
        <is>
          <t>Adyen</t>
        </is>
      </c>
      <c r="D265" t="inlineStr">
        <is>
          <t>EUR</t>
        </is>
      </c>
      <c r="E265" s="9" t="n">
        <v>50103.93</v>
      </c>
      <c r="F265" s="9" t="n">
        <v>0</v>
      </c>
      <c r="G265" s="9" t="n">
        <v>0</v>
      </c>
      <c r="H265" s="9">
        <f>IF(D265="USD",E265*$L$1,E265)</f>
        <v/>
      </c>
      <c r="I265" s="9">
        <f>IF(D265="USD",F265*$L$1,F265)</f>
        <v/>
      </c>
      <c r="J265" s="9">
        <f>IF(D265="USD",G265*$L$1,G265)</f>
        <v/>
      </c>
    </row>
    <row r="266">
      <c r="A266" s="8" t="n">
        <v>46036</v>
      </c>
      <c r="B266" t="inlineStr">
        <is>
          <t>2026-W03</t>
        </is>
      </c>
      <c r="C266" t="inlineStr">
        <is>
          <t>Nuvei</t>
        </is>
      </c>
      <c r="D266" t="inlineStr">
        <is>
          <t>EUR</t>
        </is>
      </c>
      <c r="E266" s="9" t="n">
        <v>811259.86</v>
      </c>
      <c r="F266" s="9" t="n">
        <v>801179.5699999999</v>
      </c>
      <c r="G266" s="9" t="n">
        <v>-801176.0699999999</v>
      </c>
      <c r="H266" s="9">
        <f>IF(D266="USD",E266*$L$1,E266)</f>
        <v/>
      </c>
      <c r="I266" s="9">
        <f>IF(D266="USD",F266*$L$1,F266)</f>
        <v/>
      </c>
      <c r="J266" s="9">
        <f>IF(D266="USD",G266*$L$1,G266)</f>
        <v/>
      </c>
    </row>
    <row r="267">
      <c r="A267" s="8" t="n">
        <v>46036</v>
      </c>
      <c r="B267" t="inlineStr">
        <is>
          <t>2026-W03</t>
        </is>
      </c>
      <c r="C267" t="inlineStr">
        <is>
          <t>Nuvei</t>
        </is>
      </c>
      <c r="D267" t="inlineStr">
        <is>
          <t>EUR</t>
        </is>
      </c>
      <c r="E267" s="9" t="n">
        <v>90640.38</v>
      </c>
      <c r="F267" s="9" t="n">
        <v>88270</v>
      </c>
      <c r="G267" s="9" t="n">
        <v>-88266.5</v>
      </c>
      <c r="H267" s="9">
        <f>IF(D267="USD",E267*$L$1,E267)</f>
        <v/>
      </c>
      <c r="I267" s="9">
        <f>IF(D267="USD",F267*$L$1,F267)</f>
        <v/>
      </c>
      <c r="J267" s="9">
        <f>IF(D267="USD",G267*$L$1,G267)</f>
        <v/>
      </c>
    </row>
    <row r="268">
      <c r="A268" s="8" t="n">
        <v>46037</v>
      </c>
      <c r="B268" t="inlineStr">
        <is>
          <t>2026-W03</t>
        </is>
      </c>
      <c r="C268" t="inlineStr">
        <is>
          <t>Adyen</t>
        </is>
      </c>
      <c r="D268" t="inlineStr">
        <is>
          <t>EUR</t>
        </is>
      </c>
      <c r="E268" s="9" t="n">
        <v>353477.34</v>
      </c>
      <c r="F268" s="9" t="n">
        <v>0</v>
      </c>
      <c r="G268" s="9" t="n">
        <v>389499.9</v>
      </c>
      <c r="H268" s="9">
        <f>IF(D268="USD",E268*$L$1,E268)</f>
        <v/>
      </c>
      <c r="I268" s="9">
        <f>IF(D268="USD",F268*$L$1,F268)</f>
        <v/>
      </c>
      <c r="J268" s="9">
        <f>IF(D268="USD",G268*$L$1,G268)</f>
        <v/>
      </c>
    </row>
    <row r="269">
      <c r="A269" s="8" t="n">
        <v>46037</v>
      </c>
      <c r="B269" t="inlineStr">
        <is>
          <t>2026-W03</t>
        </is>
      </c>
      <c r="C269" t="inlineStr">
        <is>
          <t>Adyen</t>
        </is>
      </c>
      <c r="D269" t="inlineStr">
        <is>
          <t>EUR</t>
        </is>
      </c>
      <c r="E269" s="9" t="n">
        <v>38507.87</v>
      </c>
      <c r="F269" s="9" t="n">
        <v>0</v>
      </c>
      <c r="G269" s="9" t="n">
        <v>0</v>
      </c>
      <c r="H269" s="9">
        <f>IF(D269="USD",E269*$L$1,E269)</f>
        <v/>
      </c>
      <c r="I269" s="9">
        <f>IF(D269="USD",F269*$L$1,F269)</f>
        <v/>
      </c>
      <c r="J269" s="9">
        <f>IF(D269="USD",G269*$L$1,G269)</f>
        <v/>
      </c>
    </row>
    <row r="270">
      <c r="A270" s="8" t="n">
        <v>46037</v>
      </c>
      <c r="B270" t="inlineStr">
        <is>
          <t>2026-W03</t>
        </is>
      </c>
      <c r="C270" t="inlineStr">
        <is>
          <t>Nuvei</t>
        </is>
      </c>
      <c r="D270" t="inlineStr">
        <is>
          <t>EUR</t>
        </is>
      </c>
      <c r="E270" s="9" t="n">
        <v>832100.29</v>
      </c>
      <c r="F270" s="9" t="n">
        <v>821830.13</v>
      </c>
      <c r="G270" s="9" t="n">
        <v>-821816.63</v>
      </c>
      <c r="H270" s="9">
        <f>IF(D270="USD",E270*$L$1,E270)</f>
        <v/>
      </c>
      <c r="I270" s="9">
        <f>IF(D270="USD",F270*$L$1,F270)</f>
        <v/>
      </c>
      <c r="J270" s="9">
        <f>IF(D270="USD",G270*$L$1,G270)</f>
        <v/>
      </c>
    </row>
    <row r="271">
      <c r="A271" s="8" t="n">
        <v>46037</v>
      </c>
      <c r="B271" t="inlineStr">
        <is>
          <t>2026-W03</t>
        </is>
      </c>
      <c r="C271" t="inlineStr">
        <is>
          <t>Nuvei</t>
        </is>
      </c>
      <c r="D271" t="inlineStr">
        <is>
          <t>EUR</t>
        </is>
      </c>
      <c r="E271" s="9" t="n">
        <v>84850.02</v>
      </c>
      <c r="F271" s="9" t="n">
        <v>82528.86</v>
      </c>
      <c r="G271" s="9" t="n">
        <v>-82515.36</v>
      </c>
      <c r="H271" s="9">
        <f>IF(D271="USD",E271*$L$1,E271)</f>
        <v/>
      </c>
      <c r="I271" s="9">
        <f>IF(D271="USD",F271*$L$1,F271)</f>
        <v/>
      </c>
      <c r="J271" s="9">
        <f>IF(D271="USD",G271*$L$1,G271)</f>
        <v/>
      </c>
    </row>
    <row r="272">
      <c r="A272" s="8" t="n">
        <v>46038</v>
      </c>
      <c r="B272" t="inlineStr">
        <is>
          <t>2026-W03</t>
        </is>
      </c>
      <c r="C272" t="inlineStr">
        <is>
          <t>Adyen</t>
        </is>
      </c>
      <c r="D272" t="inlineStr">
        <is>
          <t>EUR</t>
        </is>
      </c>
      <c r="E272" s="9" t="n">
        <v>250553.7</v>
      </c>
      <c r="F272" s="9" t="n">
        <v>0</v>
      </c>
      <c r="G272" s="9" t="n">
        <v>733928.5099999999</v>
      </c>
      <c r="H272" s="9">
        <f>IF(D272="USD",E272*$L$1,E272)</f>
        <v/>
      </c>
      <c r="I272" s="9">
        <f>IF(D272="USD",F272*$L$1,F272)</f>
        <v/>
      </c>
      <c r="J272" s="9">
        <f>IF(D272="USD",G272*$L$1,G272)</f>
        <v/>
      </c>
    </row>
    <row r="273">
      <c r="A273" s="8" t="n">
        <v>46038</v>
      </c>
      <c r="B273" t="inlineStr">
        <is>
          <t>2026-W03</t>
        </is>
      </c>
      <c r="C273" t="inlineStr">
        <is>
          <t>Adyen</t>
        </is>
      </c>
      <c r="D273" t="inlineStr">
        <is>
          <t>EUR</t>
        </is>
      </c>
      <c r="E273" s="9" t="n">
        <v>42916.42</v>
      </c>
      <c r="F273" s="9" t="n">
        <v>0</v>
      </c>
      <c r="G273" s="9" t="n">
        <v>0</v>
      </c>
      <c r="H273" s="9">
        <f>IF(D273="USD",E273*$L$1,E273)</f>
        <v/>
      </c>
      <c r="I273" s="9">
        <f>IF(D273="USD",F273*$L$1,F273)</f>
        <v/>
      </c>
      <c r="J273" s="9">
        <f>IF(D273="USD",G273*$L$1,G273)</f>
        <v/>
      </c>
    </row>
    <row r="274">
      <c r="A274" s="8" t="n">
        <v>46038</v>
      </c>
      <c r="B274" t="inlineStr">
        <is>
          <t>2026-W03</t>
        </is>
      </c>
      <c r="C274" t="inlineStr">
        <is>
          <t>Nuvei</t>
        </is>
      </c>
      <c r="D274" t="inlineStr">
        <is>
          <t>EUR</t>
        </is>
      </c>
      <c r="E274" s="9" t="n">
        <v>691341.66</v>
      </c>
      <c r="F274" s="9" t="n">
        <v>681851.4600000001</v>
      </c>
      <c r="G274" s="9" t="n">
        <v>-681847.97</v>
      </c>
      <c r="H274" s="9">
        <f>IF(D274="USD",E274*$L$1,E274)</f>
        <v/>
      </c>
      <c r="I274" s="9">
        <f>IF(D274="USD",F274*$L$1,F274)</f>
        <v/>
      </c>
      <c r="J274" s="9">
        <f>IF(D274="USD",G274*$L$1,G274)</f>
        <v/>
      </c>
    </row>
    <row r="275">
      <c r="A275" s="8" t="n">
        <v>46038</v>
      </c>
      <c r="B275" t="inlineStr">
        <is>
          <t>2026-W03</t>
        </is>
      </c>
      <c r="C275" t="inlineStr">
        <is>
          <t>Nuvei</t>
        </is>
      </c>
      <c r="D275" t="inlineStr">
        <is>
          <t>EUR</t>
        </is>
      </c>
      <c r="E275" s="9" t="n">
        <v>93945.31</v>
      </c>
      <c r="F275" s="9" t="n">
        <v>91543.44</v>
      </c>
      <c r="G275" s="9" t="n">
        <v>-91539.94</v>
      </c>
      <c r="H275" s="9">
        <f>IF(D275="USD",E275*$L$1,E275)</f>
        <v/>
      </c>
      <c r="I275" s="9">
        <f>IF(D275="USD",F275*$L$1,F275)</f>
        <v/>
      </c>
      <c r="J275" s="9">
        <f>IF(D275="USD",G275*$L$1,G275)</f>
        <v/>
      </c>
    </row>
    <row r="276">
      <c r="A276" s="8" t="n">
        <v>46039</v>
      </c>
      <c r="B276" t="inlineStr">
        <is>
          <t>2026-W03</t>
        </is>
      </c>
      <c r="C276" t="inlineStr">
        <is>
          <t>Adyen</t>
        </is>
      </c>
      <c r="D276" t="inlineStr">
        <is>
          <t>EUR</t>
        </is>
      </c>
      <c r="E276" s="9" t="n">
        <v>190075.07</v>
      </c>
      <c r="F276" s="9" t="n">
        <v>0</v>
      </c>
      <c r="G276" s="9" t="n">
        <v>0</v>
      </c>
      <c r="H276" s="9">
        <f>IF(D276="USD",E276*$L$1,E276)</f>
        <v/>
      </c>
      <c r="I276" s="9">
        <f>IF(D276="USD",F276*$L$1,F276)</f>
        <v/>
      </c>
      <c r="J276" s="9">
        <f>IF(D276="USD",G276*$L$1,G276)</f>
        <v/>
      </c>
    </row>
    <row r="277">
      <c r="A277" s="8" t="n">
        <v>46039</v>
      </c>
      <c r="B277" t="inlineStr">
        <is>
          <t>2026-W03</t>
        </is>
      </c>
      <c r="C277" t="inlineStr">
        <is>
          <t>Adyen</t>
        </is>
      </c>
      <c r="D277" t="inlineStr">
        <is>
          <t>EUR</t>
        </is>
      </c>
      <c r="E277" s="9" t="n">
        <v>22279.1</v>
      </c>
      <c r="F277" s="9" t="n">
        <v>0</v>
      </c>
      <c r="G277" s="9" t="n">
        <v>0</v>
      </c>
      <c r="H277" s="9">
        <f>IF(D277="USD",E277*$L$1,E277)</f>
        <v/>
      </c>
      <c r="I277" s="9">
        <f>IF(D277="USD",F277*$L$1,F277)</f>
        <v/>
      </c>
      <c r="J277" s="9">
        <f>IF(D277="USD",G277*$L$1,G277)</f>
        <v/>
      </c>
    </row>
    <row r="278">
      <c r="A278" s="8" t="n">
        <v>46039</v>
      </c>
      <c r="B278" t="inlineStr">
        <is>
          <t>2026-W03</t>
        </is>
      </c>
      <c r="C278" t="inlineStr">
        <is>
          <t>Nuvei</t>
        </is>
      </c>
      <c r="D278" t="inlineStr">
        <is>
          <t>EUR</t>
        </is>
      </c>
      <c r="E278" s="9" t="n">
        <v>726694.86</v>
      </c>
      <c r="F278" s="9" t="n">
        <v>717962.53</v>
      </c>
      <c r="G278" s="9" t="n">
        <v>0</v>
      </c>
      <c r="H278" s="9">
        <f>IF(D278="USD",E278*$L$1,E278)</f>
        <v/>
      </c>
      <c r="I278" s="9">
        <f>IF(D278="USD",F278*$L$1,F278)</f>
        <v/>
      </c>
      <c r="J278" s="9">
        <f>IF(D278="USD",G278*$L$1,G278)</f>
        <v/>
      </c>
    </row>
    <row r="279">
      <c r="A279" s="8" t="n">
        <v>46039</v>
      </c>
      <c r="B279" t="inlineStr">
        <is>
          <t>2026-W03</t>
        </is>
      </c>
      <c r="C279" t="inlineStr">
        <is>
          <t>Nuvei</t>
        </is>
      </c>
      <c r="D279" t="inlineStr">
        <is>
          <t>EUR</t>
        </is>
      </c>
      <c r="E279" s="9" t="n">
        <v>94801.85000000001</v>
      </c>
      <c r="F279" s="9" t="n">
        <v>92402.57000000001</v>
      </c>
      <c r="G279" s="9" t="n">
        <v>0</v>
      </c>
      <c r="H279" s="9">
        <f>IF(D279="USD",E279*$L$1,E279)</f>
        <v/>
      </c>
      <c r="I279" s="9">
        <f>IF(D279="USD",F279*$L$1,F279)</f>
        <v/>
      </c>
      <c r="J279" s="9">
        <f>IF(D279="USD",G279*$L$1,G279)</f>
        <v/>
      </c>
    </row>
    <row r="280">
      <c r="A280" s="8" t="n">
        <v>46040</v>
      </c>
      <c r="B280" t="inlineStr">
        <is>
          <t>2026-W03</t>
        </is>
      </c>
      <c r="C280" t="inlineStr">
        <is>
          <t>Adyen</t>
        </is>
      </c>
      <c r="D280" t="inlineStr">
        <is>
          <t>EUR</t>
        </is>
      </c>
      <c r="E280" s="9" t="n">
        <v>211116.09</v>
      </c>
      <c r="F280" s="9" t="n">
        <v>0</v>
      </c>
      <c r="G280" s="9" t="n">
        <v>0</v>
      </c>
      <c r="H280" s="9">
        <f>IF(D280="USD",E280*$L$1,E280)</f>
        <v/>
      </c>
      <c r="I280" s="9">
        <f>IF(D280="USD",F280*$L$1,F280)</f>
        <v/>
      </c>
      <c r="J280" s="9">
        <f>IF(D280="USD",G280*$L$1,G280)</f>
        <v/>
      </c>
    </row>
    <row r="281">
      <c r="A281" s="8" t="n">
        <v>46040</v>
      </c>
      <c r="B281" t="inlineStr">
        <is>
          <t>2026-W03</t>
        </is>
      </c>
      <c r="C281" t="inlineStr">
        <is>
          <t>Adyen</t>
        </is>
      </c>
      <c r="D281" t="inlineStr">
        <is>
          <t>EUR</t>
        </is>
      </c>
      <c r="E281" s="9" t="n">
        <v>23997.36</v>
      </c>
      <c r="F281" s="9" t="n">
        <v>0</v>
      </c>
      <c r="G281" s="9" t="n">
        <v>0</v>
      </c>
      <c r="H281" s="9">
        <f>IF(D281="USD",E281*$L$1,E281)</f>
        <v/>
      </c>
      <c r="I281" s="9">
        <f>IF(D281="USD",F281*$L$1,F281)</f>
        <v/>
      </c>
      <c r="J281" s="9">
        <f>IF(D281="USD",G281*$L$1,G281)</f>
        <v/>
      </c>
    </row>
    <row r="282">
      <c r="A282" s="8" t="n">
        <v>46040</v>
      </c>
      <c r="B282" t="inlineStr">
        <is>
          <t>2026-W03</t>
        </is>
      </c>
      <c r="C282" t="inlineStr">
        <is>
          <t>Nuvei</t>
        </is>
      </c>
      <c r="D282" t="inlineStr">
        <is>
          <t>EUR</t>
        </is>
      </c>
      <c r="E282" s="9" t="n">
        <v>732413.71</v>
      </c>
      <c r="F282" s="9" t="n">
        <v>723552.2999999999</v>
      </c>
      <c r="G282" s="9" t="n">
        <v>0</v>
      </c>
      <c r="H282" s="9">
        <f>IF(D282="USD",E282*$L$1,E282)</f>
        <v/>
      </c>
      <c r="I282" s="9">
        <f>IF(D282="USD",F282*$L$1,F282)</f>
        <v/>
      </c>
      <c r="J282" s="9">
        <f>IF(D282="USD",G282*$L$1,G282)</f>
        <v/>
      </c>
    </row>
    <row r="283">
      <c r="A283" s="8" t="n">
        <v>46040</v>
      </c>
      <c r="B283" t="inlineStr">
        <is>
          <t>2026-W03</t>
        </is>
      </c>
      <c r="C283" t="inlineStr">
        <is>
          <t>Nuvei</t>
        </is>
      </c>
      <c r="D283" t="inlineStr">
        <is>
          <t>EUR</t>
        </is>
      </c>
      <c r="E283" s="9" t="n">
        <v>89970.77</v>
      </c>
      <c r="F283" s="9" t="n">
        <v>87638.26000000001</v>
      </c>
      <c r="G283" s="9" t="n">
        <v>0</v>
      </c>
      <c r="H283" s="9">
        <f>IF(D283="USD",E283*$L$1,E283)</f>
        <v/>
      </c>
      <c r="I283" s="9">
        <f>IF(D283="USD",F283*$L$1,F283)</f>
        <v/>
      </c>
      <c r="J283" s="9">
        <f>IF(D283="USD",G283*$L$1,G283)</f>
        <v/>
      </c>
    </row>
    <row r="284">
      <c r="A284" s="8" t="n">
        <v>46041</v>
      </c>
      <c r="B284" t="inlineStr">
        <is>
          <t>2026-W04</t>
        </is>
      </c>
      <c r="C284" t="inlineStr">
        <is>
          <t>Adyen</t>
        </is>
      </c>
      <c r="D284" t="inlineStr">
        <is>
          <t>EUR</t>
        </is>
      </c>
      <c r="E284" s="9" t="n">
        <v>305385.22</v>
      </c>
      <c r="F284" s="9" t="n">
        <v>0</v>
      </c>
      <c r="G284" s="9" t="n">
        <v>339772</v>
      </c>
      <c r="H284" s="9">
        <f>IF(D284="USD",E284*$L$1,E284)</f>
        <v/>
      </c>
      <c r="I284" s="9">
        <f>IF(D284="USD",F284*$L$1,F284)</f>
        <v/>
      </c>
      <c r="J284" s="9">
        <f>IF(D284="USD",G284*$L$1,G284)</f>
        <v/>
      </c>
    </row>
    <row r="285">
      <c r="A285" s="8" t="n">
        <v>46041</v>
      </c>
      <c r="B285" t="inlineStr">
        <is>
          <t>2026-W04</t>
        </is>
      </c>
      <c r="C285" t="inlineStr">
        <is>
          <t>Adyen</t>
        </is>
      </c>
      <c r="D285" t="inlineStr">
        <is>
          <t>EUR</t>
        </is>
      </c>
      <c r="E285" s="9" t="n">
        <v>36384.78</v>
      </c>
      <c r="F285" s="9" t="n">
        <v>0</v>
      </c>
      <c r="G285" s="9" t="n">
        <v>0</v>
      </c>
      <c r="H285" s="9">
        <f>IF(D285="USD",E285*$L$1,E285)</f>
        <v/>
      </c>
      <c r="I285" s="9">
        <f>IF(D285="USD",F285*$L$1,F285)</f>
        <v/>
      </c>
      <c r="J285" s="9">
        <f>IF(D285="USD",G285*$L$1,G285)</f>
        <v/>
      </c>
    </row>
    <row r="286">
      <c r="A286" s="8" t="n">
        <v>46041</v>
      </c>
      <c r="B286" t="inlineStr">
        <is>
          <t>2026-W04</t>
        </is>
      </c>
      <c r="C286" t="inlineStr">
        <is>
          <t>Nuvei</t>
        </is>
      </c>
      <c r="D286" t="inlineStr">
        <is>
          <t>EUR</t>
        </is>
      </c>
      <c r="E286" s="9" t="n">
        <v>852297.67</v>
      </c>
      <c r="F286" s="9" t="n">
        <v>841111.63</v>
      </c>
      <c r="G286" s="9" t="n">
        <v>-2282622.96</v>
      </c>
      <c r="H286" s="9">
        <f>IF(D286="USD",E286*$L$1,E286)</f>
        <v/>
      </c>
      <c r="I286" s="9">
        <f>IF(D286="USD",F286*$L$1,F286)</f>
        <v/>
      </c>
      <c r="J286" s="9">
        <f>IF(D286="USD",G286*$L$1,G286)</f>
        <v/>
      </c>
    </row>
    <row r="287">
      <c r="A287" s="8" t="n">
        <v>46041</v>
      </c>
      <c r="B287" t="inlineStr">
        <is>
          <t>2026-W04</t>
        </is>
      </c>
      <c r="C287" t="inlineStr">
        <is>
          <t>Nuvei</t>
        </is>
      </c>
      <c r="D287" t="inlineStr">
        <is>
          <t>EUR</t>
        </is>
      </c>
      <c r="E287" s="9" t="n">
        <v>93483.45</v>
      </c>
      <c r="F287" s="9" t="n">
        <v>91072.95999999999</v>
      </c>
      <c r="G287" s="9" t="n">
        <v>-271110.29</v>
      </c>
      <c r="H287" s="9">
        <f>IF(D287="USD",E287*$L$1,E287)</f>
        <v/>
      </c>
      <c r="I287" s="9">
        <f>IF(D287="USD",F287*$L$1,F287)</f>
        <v/>
      </c>
      <c r="J287" s="9">
        <f>IF(D287="USD",G287*$L$1,G287)</f>
        <v/>
      </c>
    </row>
    <row r="288">
      <c r="A288" s="8" t="n">
        <v>46042</v>
      </c>
      <c r="B288" t="inlineStr">
        <is>
          <t>2026-W04</t>
        </is>
      </c>
      <c r="C288" t="inlineStr">
        <is>
          <t>Adyen</t>
        </is>
      </c>
      <c r="D288" t="inlineStr">
        <is>
          <t>EUR</t>
        </is>
      </c>
      <c r="E288" s="9" t="n">
        <v>333067.76</v>
      </c>
      <c r="F288" s="9" t="n">
        <v>0</v>
      </c>
      <c r="G288" s="9" t="n">
        <v>379463.42</v>
      </c>
      <c r="H288" s="9">
        <f>IF(D288="USD",E288*$L$1,E288)</f>
        <v/>
      </c>
      <c r="I288" s="9">
        <f>IF(D288="USD",F288*$L$1,F288)</f>
        <v/>
      </c>
      <c r="J288" s="9">
        <f>IF(D288="USD",G288*$L$1,G288)</f>
        <v/>
      </c>
    </row>
    <row r="289">
      <c r="A289" s="8" t="n">
        <v>46042</v>
      </c>
      <c r="B289" t="inlineStr">
        <is>
          <t>2026-W04</t>
        </is>
      </c>
      <c r="C289" t="inlineStr">
        <is>
          <t>Adyen</t>
        </is>
      </c>
      <c r="D289" t="inlineStr">
        <is>
          <t>EUR</t>
        </is>
      </c>
      <c r="E289" s="9" t="n">
        <v>48794.76</v>
      </c>
      <c r="F289" s="9" t="n">
        <v>0</v>
      </c>
      <c r="G289" s="9" t="n">
        <v>0</v>
      </c>
      <c r="H289" s="9">
        <f>IF(D289="USD",E289*$L$1,E289)</f>
        <v/>
      </c>
      <c r="I289" s="9">
        <f>IF(D289="USD",F289*$L$1,F289)</f>
        <v/>
      </c>
      <c r="J289" s="9">
        <f>IF(D289="USD",G289*$L$1,G289)</f>
        <v/>
      </c>
    </row>
    <row r="290">
      <c r="A290" s="8" t="n">
        <v>46042</v>
      </c>
      <c r="B290" t="inlineStr">
        <is>
          <t>2026-W04</t>
        </is>
      </c>
      <c r="C290" t="inlineStr">
        <is>
          <t>Nuvei</t>
        </is>
      </c>
      <c r="D290" t="inlineStr">
        <is>
          <t>EUR</t>
        </is>
      </c>
      <c r="E290" s="9" t="n">
        <v>731945.01</v>
      </c>
      <c r="F290" s="9" t="n">
        <v>722601.1800000001</v>
      </c>
      <c r="G290" s="9" t="n">
        <v>-722597.6800000001</v>
      </c>
      <c r="H290" s="9">
        <f>IF(D290="USD",E290*$L$1,E290)</f>
        <v/>
      </c>
      <c r="I290" s="9">
        <f>IF(D290="USD",F290*$L$1,F290)</f>
        <v/>
      </c>
      <c r="J290" s="9">
        <f>IF(D290="USD",G290*$L$1,G290)</f>
        <v/>
      </c>
    </row>
    <row r="291">
      <c r="A291" s="8" t="n">
        <v>46042</v>
      </c>
      <c r="B291" t="inlineStr">
        <is>
          <t>2026-W04</t>
        </is>
      </c>
      <c r="C291" t="inlineStr">
        <is>
          <t>Nuvei</t>
        </is>
      </c>
      <c r="D291" t="inlineStr">
        <is>
          <t>EUR</t>
        </is>
      </c>
      <c r="E291" s="9" t="n">
        <v>106691.59</v>
      </c>
      <c r="F291" s="9" t="n">
        <v>103936.57</v>
      </c>
      <c r="G291" s="9" t="n">
        <v>-103933.07</v>
      </c>
      <c r="H291" s="9">
        <f>IF(D291="USD",E291*$L$1,E291)</f>
        <v/>
      </c>
      <c r="I291" s="9">
        <f>IF(D291="USD",F291*$L$1,F291)</f>
        <v/>
      </c>
      <c r="J291" s="9">
        <f>IF(D291="USD",G291*$L$1,G291)</f>
        <v/>
      </c>
    </row>
    <row r="292">
      <c r="A292" s="8" t="n">
        <v>46043</v>
      </c>
      <c r="B292" t="inlineStr">
        <is>
          <t>2026-W04</t>
        </is>
      </c>
      <c r="C292" t="inlineStr">
        <is>
          <t>Adyen</t>
        </is>
      </c>
      <c r="D292" t="inlineStr">
        <is>
          <t>EUR</t>
        </is>
      </c>
      <c r="E292" s="9" t="n">
        <v>359820.71</v>
      </c>
      <c r="F292" s="9" t="n">
        <v>0</v>
      </c>
      <c r="G292" s="9" t="n">
        <v>399698.83</v>
      </c>
      <c r="H292" s="9">
        <f>IF(D292="USD",E292*$L$1,E292)</f>
        <v/>
      </c>
      <c r="I292" s="9">
        <f>IF(D292="USD",F292*$L$1,F292)</f>
        <v/>
      </c>
      <c r="J292" s="9">
        <f>IF(D292="USD",G292*$L$1,G292)</f>
        <v/>
      </c>
    </row>
    <row r="293">
      <c r="A293" s="8" t="n">
        <v>46043</v>
      </c>
      <c r="B293" t="inlineStr">
        <is>
          <t>2026-W04</t>
        </is>
      </c>
      <c r="C293" t="inlineStr">
        <is>
          <t>Adyen</t>
        </is>
      </c>
      <c r="D293" t="inlineStr">
        <is>
          <t>EUR</t>
        </is>
      </c>
      <c r="E293" s="9" t="n">
        <v>43324.98</v>
      </c>
      <c r="F293" s="9" t="n">
        <v>0</v>
      </c>
      <c r="G293" s="9" t="n">
        <v>0</v>
      </c>
      <c r="H293" s="9">
        <f>IF(D293="USD",E293*$L$1,E293)</f>
        <v/>
      </c>
      <c r="I293" s="9">
        <f>IF(D293="USD",F293*$L$1,F293)</f>
        <v/>
      </c>
      <c r="J293" s="9">
        <f>IF(D293="USD",G293*$L$1,G293)</f>
        <v/>
      </c>
    </row>
    <row r="294">
      <c r="A294" s="8" t="n">
        <v>46043</v>
      </c>
      <c r="B294" t="inlineStr">
        <is>
          <t>2026-W04</t>
        </is>
      </c>
      <c r="C294" t="inlineStr">
        <is>
          <t>Nuvei</t>
        </is>
      </c>
      <c r="D294" t="inlineStr">
        <is>
          <t>EUR</t>
        </is>
      </c>
      <c r="E294" s="9" t="n">
        <v>819275.4300000001</v>
      </c>
      <c r="F294" s="9" t="n">
        <v>809269.42</v>
      </c>
      <c r="G294" s="9" t="n">
        <v>-809265.92</v>
      </c>
      <c r="H294" s="9">
        <f>IF(D294="USD",E294*$L$1,E294)</f>
        <v/>
      </c>
      <c r="I294" s="9">
        <f>IF(D294="USD",F294*$L$1,F294)</f>
        <v/>
      </c>
      <c r="J294" s="9">
        <f>IF(D294="USD",G294*$L$1,G294)</f>
        <v/>
      </c>
    </row>
    <row r="295">
      <c r="A295" s="8" t="n">
        <v>46043</v>
      </c>
      <c r="B295" t="inlineStr">
        <is>
          <t>2026-W04</t>
        </is>
      </c>
      <c r="C295" t="inlineStr">
        <is>
          <t>Nuvei</t>
        </is>
      </c>
      <c r="D295" t="inlineStr">
        <is>
          <t>EUR</t>
        </is>
      </c>
      <c r="E295" s="9" t="n">
        <v>107058.56</v>
      </c>
      <c r="F295" s="9" t="n">
        <v>104321.71</v>
      </c>
      <c r="G295" s="9" t="n">
        <v>-104318.21</v>
      </c>
      <c r="H295" s="9">
        <f>IF(D295="USD",E295*$L$1,E295)</f>
        <v/>
      </c>
      <c r="I295" s="9">
        <f>IF(D295="USD",F295*$L$1,F295)</f>
        <v/>
      </c>
      <c r="J295" s="9">
        <f>IF(D295="USD",G295*$L$1,G295)</f>
        <v/>
      </c>
    </row>
    <row r="296">
      <c r="A296" s="8" t="n">
        <v>46044</v>
      </c>
      <c r="B296" t="inlineStr">
        <is>
          <t>2026-W04</t>
        </is>
      </c>
      <c r="C296" t="inlineStr">
        <is>
          <t>Adyen</t>
        </is>
      </c>
      <c r="D296" t="inlineStr">
        <is>
          <t>EUR</t>
        </is>
      </c>
      <c r="E296" s="9" t="n">
        <v>327945.1</v>
      </c>
      <c r="F296" s="9" t="n">
        <v>0</v>
      </c>
      <c r="G296" s="9" t="n">
        <v>368929.7</v>
      </c>
      <c r="H296" s="9">
        <f>IF(D296="USD",E296*$L$1,E296)</f>
        <v/>
      </c>
      <c r="I296" s="9">
        <f>IF(D296="USD",F296*$L$1,F296)</f>
        <v/>
      </c>
      <c r="J296" s="9">
        <f>IF(D296="USD",G296*$L$1,G296)</f>
        <v/>
      </c>
    </row>
    <row r="297">
      <c r="A297" s="8" t="n">
        <v>46044</v>
      </c>
      <c r="B297" t="inlineStr">
        <is>
          <t>2026-W04</t>
        </is>
      </c>
      <c r="C297" t="inlineStr">
        <is>
          <t>Adyen</t>
        </is>
      </c>
      <c r="D297" t="inlineStr">
        <is>
          <t>EUR</t>
        </is>
      </c>
      <c r="E297" s="9" t="n">
        <v>45159.96</v>
      </c>
      <c r="F297" s="9" t="n">
        <v>0</v>
      </c>
      <c r="G297" s="9" t="n">
        <v>0</v>
      </c>
      <c r="H297" s="9">
        <f>IF(D297="USD",E297*$L$1,E297)</f>
        <v/>
      </c>
      <c r="I297" s="9">
        <f>IF(D297="USD",F297*$L$1,F297)</f>
        <v/>
      </c>
      <c r="J297" s="9">
        <f>IF(D297="USD",G297*$L$1,G297)</f>
        <v/>
      </c>
    </row>
    <row r="298">
      <c r="A298" s="8" t="n">
        <v>46044</v>
      </c>
      <c r="B298" t="inlineStr">
        <is>
          <t>2026-W04</t>
        </is>
      </c>
      <c r="C298" t="inlineStr">
        <is>
          <t>Nuvei</t>
        </is>
      </c>
      <c r="D298" t="inlineStr">
        <is>
          <t>EUR</t>
        </is>
      </c>
      <c r="E298" s="9" t="n">
        <v>692029.58</v>
      </c>
      <c r="F298" s="9" t="n">
        <v>683123.7699999999</v>
      </c>
      <c r="G298" s="9" t="n">
        <v>-683120.28</v>
      </c>
      <c r="H298" s="9">
        <f>IF(D298="USD",E298*$L$1,E298)</f>
        <v/>
      </c>
      <c r="I298" s="9">
        <f>IF(D298="USD",F298*$L$1,F298)</f>
        <v/>
      </c>
      <c r="J298" s="9">
        <f>IF(D298="USD",G298*$L$1,G298)</f>
        <v/>
      </c>
    </row>
    <row r="299">
      <c r="A299" s="8" t="n">
        <v>46044</v>
      </c>
      <c r="B299" t="inlineStr">
        <is>
          <t>2026-W04</t>
        </is>
      </c>
      <c r="C299" t="inlineStr">
        <is>
          <t>Nuvei</t>
        </is>
      </c>
      <c r="D299" t="inlineStr">
        <is>
          <t>EUR</t>
        </is>
      </c>
      <c r="E299" s="9" t="n">
        <v>105897.2</v>
      </c>
      <c r="F299" s="9" t="n">
        <v>103169.43</v>
      </c>
      <c r="G299" s="9" t="n">
        <v>-103165.92</v>
      </c>
      <c r="H299" s="9">
        <f>IF(D299="USD",E299*$L$1,E299)</f>
        <v/>
      </c>
      <c r="I299" s="9">
        <f>IF(D299="USD",F299*$L$1,F299)</f>
        <v/>
      </c>
      <c r="J299" s="9">
        <f>IF(D299="USD",G299*$L$1,G299)</f>
        <v/>
      </c>
    </row>
    <row r="300">
      <c r="A300" s="8" t="n">
        <v>46045</v>
      </c>
      <c r="B300" t="inlineStr">
        <is>
          <t>2026-W04</t>
        </is>
      </c>
      <c r="C300" t="inlineStr">
        <is>
          <t>Adyen</t>
        </is>
      </c>
      <c r="D300" t="inlineStr">
        <is>
          <t>EUR</t>
        </is>
      </c>
      <c r="E300" s="9" t="n">
        <v>311603.64</v>
      </c>
      <c r="F300" s="9" t="n">
        <v>0</v>
      </c>
      <c r="G300" s="9" t="n">
        <v>850798.64</v>
      </c>
      <c r="H300" s="9">
        <f>IF(D300="USD",E300*$L$1,E300)</f>
        <v/>
      </c>
      <c r="I300" s="9">
        <f>IF(D300="USD",F300*$L$1,F300)</f>
        <v/>
      </c>
      <c r="J300" s="9">
        <f>IF(D300="USD",G300*$L$1,G300)</f>
        <v/>
      </c>
    </row>
    <row r="301">
      <c r="A301" s="8" t="n">
        <v>46045</v>
      </c>
      <c r="B301" t="inlineStr">
        <is>
          <t>2026-W04</t>
        </is>
      </c>
      <c r="C301" t="inlineStr">
        <is>
          <t>Adyen</t>
        </is>
      </c>
      <c r="D301" t="inlineStr">
        <is>
          <t>EUR</t>
        </is>
      </c>
      <c r="E301" s="9" t="n">
        <v>36225.71</v>
      </c>
      <c r="F301" s="9" t="n">
        <v>0</v>
      </c>
      <c r="G301" s="9" t="n">
        <v>0</v>
      </c>
      <c r="H301" s="9">
        <f>IF(D301="USD",E301*$L$1,E301)</f>
        <v/>
      </c>
      <c r="I301" s="9">
        <f>IF(D301="USD",F301*$L$1,F301)</f>
        <v/>
      </c>
      <c r="J301" s="9">
        <f>IF(D301="USD",G301*$L$1,G301)</f>
        <v/>
      </c>
    </row>
    <row r="302">
      <c r="A302" s="8" t="n">
        <v>46045</v>
      </c>
      <c r="B302" t="inlineStr">
        <is>
          <t>2026-W04</t>
        </is>
      </c>
      <c r="C302" t="inlineStr">
        <is>
          <t>Nuvei</t>
        </is>
      </c>
      <c r="D302" t="inlineStr">
        <is>
          <t>EUR</t>
        </is>
      </c>
      <c r="E302" s="9" t="n">
        <v>620604.9300000001</v>
      </c>
      <c r="F302" s="9" t="n">
        <v>612106.9600000001</v>
      </c>
      <c r="G302" s="9" t="n">
        <v>-612093.46</v>
      </c>
      <c r="H302" s="9">
        <f>IF(D302="USD",E302*$L$1,E302)</f>
        <v/>
      </c>
      <c r="I302" s="9">
        <f>IF(D302="USD",F302*$L$1,F302)</f>
        <v/>
      </c>
      <c r="J302" s="9">
        <f>IF(D302="USD",G302*$L$1,G302)</f>
        <v/>
      </c>
    </row>
    <row r="303">
      <c r="A303" s="8" t="n">
        <v>46045</v>
      </c>
      <c r="B303" t="inlineStr">
        <is>
          <t>2026-W04</t>
        </is>
      </c>
      <c r="C303" t="inlineStr">
        <is>
          <t>Nuvei</t>
        </is>
      </c>
      <c r="D303" t="inlineStr">
        <is>
          <t>EUR</t>
        </is>
      </c>
      <c r="E303" s="9" t="n">
        <v>82019.84</v>
      </c>
      <c r="F303" s="9" t="n">
        <v>79933.73</v>
      </c>
      <c r="G303" s="9" t="n">
        <v>-79930.23</v>
      </c>
      <c r="H303" s="9">
        <f>IF(D303="USD",E303*$L$1,E303)</f>
        <v/>
      </c>
      <c r="I303" s="9">
        <f>IF(D303="USD",F303*$L$1,F303)</f>
        <v/>
      </c>
      <c r="J303" s="9">
        <f>IF(D303="USD",G303*$L$1,G303)</f>
        <v/>
      </c>
    </row>
    <row r="304">
      <c r="A304" s="8" t="n">
        <v>46046</v>
      </c>
      <c r="B304" t="inlineStr">
        <is>
          <t>2026-W04</t>
        </is>
      </c>
      <c r="C304" t="inlineStr">
        <is>
          <t>Adyen</t>
        </is>
      </c>
      <c r="D304" t="inlineStr">
        <is>
          <t>EUR</t>
        </is>
      </c>
      <c r="E304" s="9" t="n">
        <v>221900.81</v>
      </c>
      <c r="F304" s="9" t="n">
        <v>0</v>
      </c>
      <c r="G304" s="9" t="n">
        <v>0</v>
      </c>
      <c r="H304" s="9">
        <f>IF(D304="USD",E304*$L$1,E304)</f>
        <v/>
      </c>
      <c r="I304" s="9">
        <f>IF(D304="USD",F304*$L$1,F304)</f>
        <v/>
      </c>
      <c r="J304" s="9">
        <f>IF(D304="USD",G304*$L$1,G304)</f>
        <v/>
      </c>
    </row>
    <row r="305">
      <c r="A305" s="8" t="n">
        <v>46046</v>
      </c>
      <c r="B305" t="inlineStr">
        <is>
          <t>2026-W04</t>
        </is>
      </c>
      <c r="C305" t="inlineStr">
        <is>
          <t>Adyen</t>
        </is>
      </c>
      <c r="D305" t="inlineStr">
        <is>
          <t>EUR</t>
        </is>
      </c>
      <c r="E305" s="9" t="n">
        <v>30064.16</v>
      </c>
      <c r="F305" s="9" t="n">
        <v>0</v>
      </c>
      <c r="G305" s="9" t="n">
        <v>0</v>
      </c>
      <c r="H305" s="9">
        <f>IF(D305="USD",E305*$L$1,E305)</f>
        <v/>
      </c>
      <c r="I305" s="9">
        <f>IF(D305="USD",F305*$L$1,F305)</f>
        <v/>
      </c>
      <c r="J305" s="9">
        <f>IF(D305="USD",G305*$L$1,G305)</f>
        <v/>
      </c>
    </row>
    <row r="306">
      <c r="A306" s="8" t="n">
        <v>46046</v>
      </c>
      <c r="B306" t="inlineStr">
        <is>
          <t>2026-W04</t>
        </is>
      </c>
      <c r="C306" t="inlineStr">
        <is>
          <t>Nuvei</t>
        </is>
      </c>
      <c r="D306" t="inlineStr">
        <is>
          <t>EUR</t>
        </is>
      </c>
      <c r="E306" s="9" t="n">
        <v>614469.5600000001</v>
      </c>
      <c r="F306" s="9" t="n">
        <v>606724.77</v>
      </c>
      <c r="G306" s="9" t="n">
        <v>0</v>
      </c>
      <c r="H306" s="9">
        <f>IF(D306="USD",E306*$L$1,E306)</f>
        <v/>
      </c>
      <c r="I306" s="9">
        <f>IF(D306="USD",F306*$L$1,F306)</f>
        <v/>
      </c>
      <c r="J306" s="9">
        <f>IF(D306="USD",G306*$L$1,G306)</f>
        <v/>
      </c>
    </row>
    <row r="307">
      <c r="A307" s="8" t="n">
        <v>46046</v>
      </c>
      <c r="B307" t="inlineStr">
        <is>
          <t>2026-W04</t>
        </is>
      </c>
      <c r="C307" t="inlineStr">
        <is>
          <t>Nuvei</t>
        </is>
      </c>
      <c r="D307" t="inlineStr">
        <is>
          <t>EUR</t>
        </is>
      </c>
      <c r="E307" s="9" t="n">
        <v>84893.41</v>
      </c>
      <c r="F307" s="9" t="n">
        <v>82680.27</v>
      </c>
      <c r="G307" s="9" t="n">
        <v>0</v>
      </c>
      <c r="H307" s="9">
        <f>IF(D307="USD",E307*$L$1,E307)</f>
        <v/>
      </c>
      <c r="I307" s="9">
        <f>IF(D307="USD",F307*$L$1,F307)</f>
        <v/>
      </c>
      <c r="J307" s="9">
        <f>IF(D307="USD",G307*$L$1,G307)</f>
        <v/>
      </c>
    </row>
    <row r="308">
      <c r="A308" s="8" t="n">
        <v>46047</v>
      </c>
      <c r="B308" t="inlineStr">
        <is>
          <t>2026-W04</t>
        </is>
      </c>
      <c r="C308" t="inlineStr">
        <is>
          <t>Adyen</t>
        </is>
      </c>
      <c r="D308" t="inlineStr">
        <is>
          <t>EUR</t>
        </is>
      </c>
      <c r="E308" s="9" t="n">
        <v>230050.44</v>
      </c>
      <c r="F308" s="9" t="n">
        <v>0</v>
      </c>
      <c r="G308" s="9" t="n">
        <v>0</v>
      </c>
      <c r="H308" s="9">
        <f>IF(D308="USD",E308*$L$1,E308)</f>
        <v/>
      </c>
      <c r="I308" s="9">
        <f>IF(D308="USD",F308*$L$1,F308)</f>
        <v/>
      </c>
      <c r="J308" s="9">
        <f>IF(D308="USD",G308*$L$1,G308)</f>
        <v/>
      </c>
    </row>
    <row r="309">
      <c r="A309" s="8" t="n">
        <v>46047</v>
      </c>
      <c r="B309" t="inlineStr">
        <is>
          <t>2026-W04</t>
        </is>
      </c>
      <c r="C309" t="inlineStr">
        <is>
          <t>Adyen</t>
        </is>
      </c>
      <c r="D309" t="inlineStr">
        <is>
          <t>EUR</t>
        </is>
      </c>
      <c r="E309" s="9" t="n">
        <v>28441.12</v>
      </c>
      <c r="F309" s="9" t="n">
        <v>0</v>
      </c>
      <c r="G309" s="9" t="n">
        <v>0</v>
      </c>
      <c r="H309" s="9">
        <f>IF(D309="USD",E309*$L$1,E309)</f>
        <v/>
      </c>
      <c r="I309" s="9">
        <f>IF(D309="USD",F309*$L$1,F309)</f>
        <v/>
      </c>
      <c r="J309" s="9">
        <f>IF(D309="USD",G309*$L$1,G309)</f>
        <v/>
      </c>
    </row>
    <row r="310">
      <c r="A310" s="8" t="n">
        <v>46047</v>
      </c>
      <c r="B310" t="inlineStr">
        <is>
          <t>2026-W04</t>
        </is>
      </c>
      <c r="C310" t="inlineStr">
        <is>
          <t>Nuvei</t>
        </is>
      </c>
      <c r="D310" t="inlineStr">
        <is>
          <t>EUR</t>
        </is>
      </c>
      <c r="E310" s="9" t="n">
        <v>752657.46</v>
      </c>
      <c r="F310" s="9" t="n">
        <v>743654.0299999999</v>
      </c>
      <c r="G310" s="9" t="n">
        <v>0</v>
      </c>
      <c r="H310" s="9">
        <f>IF(D310="USD",E310*$L$1,E310)</f>
        <v/>
      </c>
      <c r="I310" s="9">
        <f>IF(D310="USD",F310*$L$1,F310)</f>
        <v/>
      </c>
      <c r="J310" s="9">
        <f>IF(D310="USD",G310*$L$1,G310)</f>
        <v/>
      </c>
    </row>
    <row r="311">
      <c r="A311" s="8" t="n">
        <v>46047</v>
      </c>
      <c r="B311" t="inlineStr">
        <is>
          <t>2026-W04</t>
        </is>
      </c>
      <c r="C311" t="inlineStr">
        <is>
          <t>Nuvei</t>
        </is>
      </c>
      <c r="D311" t="inlineStr">
        <is>
          <t>EUR</t>
        </is>
      </c>
      <c r="E311" s="9" t="n">
        <v>101507.72</v>
      </c>
      <c r="F311" s="9" t="n">
        <v>98847.99000000001</v>
      </c>
      <c r="G311" s="9" t="n">
        <v>0</v>
      </c>
      <c r="H311" s="9">
        <f>IF(D311="USD",E311*$L$1,E311)</f>
        <v/>
      </c>
      <c r="I311" s="9">
        <f>IF(D311="USD",F311*$L$1,F311)</f>
        <v/>
      </c>
      <c r="J311" s="9">
        <f>IF(D311="USD",G311*$L$1,G311)</f>
        <v/>
      </c>
    </row>
    <row r="312">
      <c r="A312" s="8" t="n">
        <v>46048</v>
      </c>
      <c r="B312" t="inlineStr">
        <is>
          <t>2026-W05</t>
        </is>
      </c>
      <c r="C312" t="inlineStr">
        <is>
          <t>Adyen</t>
        </is>
      </c>
      <c r="D312" t="inlineStr">
        <is>
          <t>EUR</t>
        </is>
      </c>
      <c r="E312" s="9" t="n">
        <v>327206.25</v>
      </c>
      <c r="F312" s="9" t="n">
        <v>0</v>
      </c>
      <c r="G312" s="9" t="n">
        <v>383028.08</v>
      </c>
      <c r="H312" s="9">
        <f>IF(D312="USD",E312*$L$1,E312)</f>
        <v/>
      </c>
      <c r="I312" s="9">
        <f>IF(D312="USD",F312*$L$1,F312)</f>
        <v/>
      </c>
      <c r="J312" s="9">
        <f>IF(D312="USD",G312*$L$1,G312)</f>
        <v/>
      </c>
    </row>
    <row r="313">
      <c r="A313" s="8" t="n">
        <v>46048</v>
      </c>
      <c r="B313" t="inlineStr">
        <is>
          <t>2026-W05</t>
        </is>
      </c>
      <c r="C313" t="inlineStr">
        <is>
          <t>Adyen</t>
        </is>
      </c>
      <c r="D313" t="inlineStr">
        <is>
          <t>EUR</t>
        </is>
      </c>
      <c r="E313" s="9" t="n">
        <v>59167.5</v>
      </c>
      <c r="F313" s="9" t="n">
        <v>0</v>
      </c>
      <c r="G313" s="9" t="n">
        <v>0</v>
      </c>
      <c r="H313" s="9">
        <f>IF(D313="USD",E313*$L$1,E313)</f>
        <v/>
      </c>
      <c r="I313" s="9">
        <f>IF(D313="USD",F313*$L$1,F313)</f>
        <v/>
      </c>
      <c r="J313" s="9">
        <f>IF(D313="USD",G313*$L$1,G313)</f>
        <v/>
      </c>
    </row>
    <row r="314">
      <c r="A314" s="8" t="n">
        <v>46048</v>
      </c>
      <c r="B314" t="inlineStr">
        <is>
          <t>2026-W05</t>
        </is>
      </c>
      <c r="C314" t="inlineStr">
        <is>
          <t>Nuvei</t>
        </is>
      </c>
      <c r="D314" t="inlineStr">
        <is>
          <t>EUR</t>
        </is>
      </c>
      <c r="E314" s="9" t="n">
        <v>814408.25</v>
      </c>
      <c r="F314" s="9" t="n">
        <v>803367.77</v>
      </c>
      <c r="G314" s="9" t="n">
        <v>-2153743.06</v>
      </c>
      <c r="H314" s="9">
        <f>IF(D314="USD",E314*$L$1,E314)</f>
        <v/>
      </c>
      <c r="I314" s="9">
        <f>IF(D314="USD",F314*$L$1,F314)</f>
        <v/>
      </c>
      <c r="J314" s="9">
        <f>IF(D314="USD",G314*$L$1,G314)</f>
        <v/>
      </c>
    </row>
    <row r="315">
      <c r="A315" s="8" t="n">
        <v>46048</v>
      </c>
      <c r="B315" t="inlineStr">
        <is>
          <t>2026-W05</t>
        </is>
      </c>
      <c r="C315" t="inlineStr">
        <is>
          <t>Nuvei</t>
        </is>
      </c>
      <c r="D315" t="inlineStr">
        <is>
          <t>EUR</t>
        </is>
      </c>
      <c r="E315" s="9" t="n">
        <v>103649.73</v>
      </c>
      <c r="F315" s="9" t="n">
        <v>101003.42</v>
      </c>
      <c r="G315" s="9" t="n">
        <v>-282528.18</v>
      </c>
      <c r="H315" s="9">
        <f>IF(D315="USD",E315*$L$1,E315)</f>
        <v/>
      </c>
      <c r="I315" s="9">
        <f>IF(D315="USD",F315*$L$1,F315)</f>
        <v/>
      </c>
      <c r="J315" s="9">
        <f>IF(D315="USD",G315*$L$1,G315)</f>
        <v/>
      </c>
    </row>
    <row r="316">
      <c r="A316" s="8" t="n">
        <v>46049</v>
      </c>
      <c r="B316" t="inlineStr">
        <is>
          <t>2026-W05</t>
        </is>
      </c>
      <c r="C316" t="inlineStr">
        <is>
          <t>Adyen</t>
        </is>
      </c>
      <c r="D316" t="inlineStr">
        <is>
          <t>EUR</t>
        </is>
      </c>
      <c r="E316" s="9" t="n">
        <v>397583.28</v>
      </c>
      <c r="F316" s="9" t="n">
        <v>0</v>
      </c>
      <c r="G316" s="9" t="n">
        <v>446201.1200000001</v>
      </c>
      <c r="H316" s="9">
        <f>IF(D316="USD",E316*$L$1,E316)</f>
        <v/>
      </c>
      <c r="I316" s="9">
        <f>IF(D316="USD",F316*$L$1,F316)</f>
        <v/>
      </c>
      <c r="J316" s="9">
        <f>IF(D316="USD",G316*$L$1,G316)</f>
        <v/>
      </c>
    </row>
    <row r="317">
      <c r="A317" s="8" t="n">
        <v>46049</v>
      </c>
      <c r="B317" t="inlineStr">
        <is>
          <t>2026-W05</t>
        </is>
      </c>
      <c r="C317" t="inlineStr">
        <is>
          <t>Adyen</t>
        </is>
      </c>
      <c r="D317" t="inlineStr">
        <is>
          <t>EUR</t>
        </is>
      </c>
      <c r="E317" s="9" t="n">
        <v>50148.44</v>
      </c>
      <c r="F317" s="9" t="n">
        <v>0</v>
      </c>
      <c r="G317" s="9" t="n">
        <v>0</v>
      </c>
      <c r="H317" s="9">
        <f>IF(D317="USD",E317*$L$1,E317)</f>
        <v/>
      </c>
      <c r="I317" s="9">
        <f>IF(D317="USD",F317*$L$1,F317)</f>
        <v/>
      </c>
      <c r="J317" s="9">
        <f>IF(D317="USD",G317*$L$1,G317)</f>
        <v/>
      </c>
    </row>
    <row r="318">
      <c r="A318" s="8" t="n">
        <v>46049</v>
      </c>
      <c r="B318" t="inlineStr">
        <is>
          <t>2026-W05</t>
        </is>
      </c>
      <c r="C318" t="inlineStr">
        <is>
          <t>Nuvei</t>
        </is>
      </c>
      <c r="D318" t="inlineStr">
        <is>
          <t>EUR</t>
        </is>
      </c>
      <c r="E318" s="9" t="n">
        <v>721550.48</v>
      </c>
      <c r="F318" s="9" t="n">
        <v>712398.63</v>
      </c>
      <c r="G318" s="9" t="n">
        <v>-712395.13</v>
      </c>
      <c r="H318" s="9">
        <f>IF(D318="USD",E318*$L$1,E318)</f>
        <v/>
      </c>
      <c r="I318" s="9">
        <f>IF(D318="USD",F318*$L$1,F318)</f>
        <v/>
      </c>
      <c r="J318" s="9">
        <f>IF(D318="USD",G318*$L$1,G318)</f>
        <v/>
      </c>
    </row>
    <row r="319">
      <c r="A319" s="8" t="n">
        <v>46049</v>
      </c>
      <c r="B319" t="inlineStr">
        <is>
          <t>2026-W05</t>
        </is>
      </c>
      <c r="C319" t="inlineStr">
        <is>
          <t>Nuvei</t>
        </is>
      </c>
      <c r="D319" t="inlineStr">
        <is>
          <t>EUR</t>
        </is>
      </c>
      <c r="E319" s="9" t="n">
        <v>82871.12</v>
      </c>
      <c r="F319" s="9" t="n">
        <v>80714.81999999999</v>
      </c>
      <c r="G319" s="9" t="n">
        <v>-80711.32000000001</v>
      </c>
      <c r="H319" s="9">
        <f>IF(D319="USD",E319*$L$1,E319)</f>
        <v/>
      </c>
      <c r="I319" s="9">
        <f>IF(D319="USD",F319*$L$1,F319)</f>
        <v/>
      </c>
      <c r="J319" s="9">
        <f>IF(D319="USD",G319*$L$1,G319)</f>
        <v/>
      </c>
    </row>
    <row r="320">
      <c r="A320" s="8" t="n">
        <v>46050</v>
      </c>
      <c r="B320" t="inlineStr">
        <is>
          <t>2026-W05</t>
        </is>
      </c>
      <c r="C320" t="inlineStr">
        <is>
          <t>Adyen</t>
        </is>
      </c>
      <c r="D320" t="inlineStr">
        <is>
          <t>EUR</t>
        </is>
      </c>
      <c r="E320" s="9" t="n">
        <v>366778.92</v>
      </c>
      <c r="F320" s="9" t="n">
        <v>0</v>
      </c>
      <c r="G320" s="9" t="n">
        <v>425869.8799999999</v>
      </c>
      <c r="H320" s="9">
        <f>IF(D320="USD",E320*$L$1,E320)</f>
        <v/>
      </c>
      <c r="I320" s="9">
        <f>IF(D320="USD",F320*$L$1,F320)</f>
        <v/>
      </c>
      <c r="J320" s="9">
        <f>IF(D320="USD",G320*$L$1,G320)</f>
        <v/>
      </c>
    </row>
    <row r="321">
      <c r="A321" s="8" t="n">
        <v>46050</v>
      </c>
      <c r="B321" t="inlineStr">
        <is>
          <t>2026-W05</t>
        </is>
      </c>
      <c r="C321" t="inlineStr">
        <is>
          <t>Adyen</t>
        </is>
      </c>
      <c r="D321" t="inlineStr">
        <is>
          <t>EUR</t>
        </is>
      </c>
      <c r="E321" s="9" t="n">
        <v>63038.74</v>
      </c>
      <c r="F321" s="9" t="n">
        <v>0</v>
      </c>
      <c r="G321" s="9" t="n">
        <v>0</v>
      </c>
      <c r="H321" s="9">
        <f>IF(D321="USD",E321*$L$1,E321)</f>
        <v/>
      </c>
      <c r="I321" s="9">
        <f>IF(D321="USD",F321*$L$1,F321)</f>
        <v/>
      </c>
      <c r="J321" s="9">
        <f>IF(D321="USD",G321*$L$1,G321)</f>
        <v/>
      </c>
    </row>
    <row r="322">
      <c r="A322" s="8" t="n">
        <v>46050</v>
      </c>
      <c r="B322" t="inlineStr">
        <is>
          <t>2026-W05</t>
        </is>
      </c>
      <c r="C322" t="inlineStr">
        <is>
          <t>Nuvei</t>
        </is>
      </c>
      <c r="D322" t="inlineStr">
        <is>
          <t>EUR</t>
        </is>
      </c>
      <c r="E322" s="9" t="n">
        <v>761880.26</v>
      </c>
      <c r="F322" s="9" t="n">
        <v>752079.02</v>
      </c>
      <c r="G322" s="9" t="n">
        <v>-752075.52</v>
      </c>
      <c r="H322" s="9">
        <f>IF(D322="USD",E322*$L$1,E322)</f>
        <v/>
      </c>
      <c r="I322" s="9">
        <f>IF(D322="USD",F322*$L$1,F322)</f>
        <v/>
      </c>
      <c r="J322" s="9">
        <f>IF(D322="USD",G322*$L$1,G322)</f>
        <v/>
      </c>
    </row>
    <row r="323">
      <c r="A323" s="8" t="n">
        <v>46050</v>
      </c>
      <c r="B323" t="inlineStr">
        <is>
          <t>2026-W05</t>
        </is>
      </c>
      <c r="C323" t="inlineStr">
        <is>
          <t>Nuvei</t>
        </is>
      </c>
      <c r="D323" t="inlineStr">
        <is>
          <t>EUR</t>
        </is>
      </c>
      <c r="E323" s="9" t="n">
        <v>112961.48</v>
      </c>
      <c r="F323" s="9" t="n">
        <v>110057.16</v>
      </c>
      <c r="G323" s="9" t="n">
        <v>-110053.67</v>
      </c>
      <c r="H323" s="9">
        <f>IF(D323="USD",E323*$L$1,E323)</f>
        <v/>
      </c>
      <c r="I323" s="9">
        <f>IF(D323="USD",F323*$L$1,F323)</f>
        <v/>
      </c>
      <c r="J323" s="9">
        <f>IF(D323="USD",G323*$L$1,G323)</f>
        <v/>
      </c>
    </row>
    <row r="324">
      <c r="A324" s="8" t="n">
        <v>46051</v>
      </c>
      <c r="B324" t="inlineStr">
        <is>
          <t>2026-W05</t>
        </is>
      </c>
      <c r="C324" t="inlineStr">
        <is>
          <t>Adyen</t>
        </is>
      </c>
      <c r="D324" t="inlineStr">
        <is>
          <t>EUR</t>
        </is>
      </c>
      <c r="E324" s="9" t="n">
        <v>371782.36</v>
      </c>
      <c r="F324" s="9" t="n">
        <v>0</v>
      </c>
      <c r="G324" s="9" t="n">
        <v>421609.9999999999</v>
      </c>
      <c r="H324" s="9">
        <f>IF(D324="USD",E324*$L$1,E324)</f>
        <v/>
      </c>
      <c r="I324" s="9">
        <f>IF(D324="USD",F324*$L$1,F324)</f>
        <v/>
      </c>
      <c r="J324" s="9">
        <f>IF(D324="USD",G324*$L$1,G324)</f>
        <v/>
      </c>
    </row>
    <row r="325">
      <c r="A325" s="8" t="n">
        <v>46051</v>
      </c>
      <c r="B325" t="inlineStr">
        <is>
          <t>2026-W05</t>
        </is>
      </c>
      <c r="C325" t="inlineStr">
        <is>
          <t>Adyen</t>
        </is>
      </c>
      <c r="D325" t="inlineStr">
        <is>
          <t>EUR</t>
        </is>
      </c>
      <c r="E325" s="9" t="n">
        <v>53244.18</v>
      </c>
      <c r="F325" s="9" t="n">
        <v>0</v>
      </c>
      <c r="G325" s="9" t="n">
        <v>0</v>
      </c>
      <c r="H325" s="9">
        <f>IF(D325="USD",E325*$L$1,E325)</f>
        <v/>
      </c>
      <c r="I325" s="9">
        <f>IF(D325="USD",F325*$L$1,F325)</f>
        <v/>
      </c>
      <c r="J325" s="9">
        <f>IF(D325="USD",G325*$L$1,G325)</f>
        <v/>
      </c>
    </row>
    <row r="326">
      <c r="A326" s="8" t="n">
        <v>46051</v>
      </c>
      <c r="B326" t="inlineStr">
        <is>
          <t>2026-W05</t>
        </is>
      </c>
      <c r="C326" t="inlineStr">
        <is>
          <t>Nuvei</t>
        </is>
      </c>
      <c r="D326" t="inlineStr">
        <is>
          <t>EUR</t>
        </is>
      </c>
      <c r="E326" s="9" t="n">
        <v>846540.96</v>
      </c>
      <c r="F326" s="9" t="n">
        <v>835480.88</v>
      </c>
      <c r="G326" s="9" t="n">
        <v>-835477.38</v>
      </c>
      <c r="H326" s="9">
        <f>IF(D326="USD",E326*$L$1,E326)</f>
        <v/>
      </c>
      <c r="I326" s="9">
        <f>IF(D326="USD",F326*$L$1,F326)</f>
        <v/>
      </c>
      <c r="J326" s="9">
        <f>IF(D326="USD",G326*$L$1,G326)</f>
        <v/>
      </c>
    </row>
    <row r="327">
      <c r="A327" s="8" t="n">
        <v>46051</v>
      </c>
      <c r="B327" t="inlineStr">
        <is>
          <t>2026-W05</t>
        </is>
      </c>
      <c r="C327" t="inlineStr">
        <is>
          <t>Nuvei</t>
        </is>
      </c>
      <c r="D327" t="inlineStr">
        <is>
          <t>EUR</t>
        </is>
      </c>
      <c r="E327" s="9" t="n">
        <v>96181.11</v>
      </c>
      <c r="F327" s="9" t="n">
        <v>93679.68000000001</v>
      </c>
      <c r="G327" s="9" t="n">
        <v>-93676.17</v>
      </c>
      <c r="H327" s="9">
        <f>IF(D327="USD",E327*$L$1,E327)</f>
        <v/>
      </c>
      <c r="I327" s="9">
        <f>IF(D327="USD",F327*$L$1,F327)</f>
        <v/>
      </c>
      <c r="J327" s="9">
        <f>IF(D327="USD",G327*$L$1,G327)</f>
        <v/>
      </c>
    </row>
    <row r="328">
      <c r="A328" s="8" t="n">
        <v>46052</v>
      </c>
      <c r="B328" t="inlineStr">
        <is>
          <t>2026-W05</t>
        </is>
      </c>
      <c r="C328" t="inlineStr">
        <is>
          <t>Adyen</t>
        </is>
      </c>
      <c r="D328" t="inlineStr">
        <is>
          <t>EUR</t>
        </is>
      </c>
      <c r="E328" s="9" t="n">
        <v>334003.83</v>
      </c>
      <c r="F328" s="9" t="n">
        <v>0</v>
      </c>
      <c r="G328" s="9" t="n">
        <v>1008872.78</v>
      </c>
      <c r="H328" s="9">
        <f>IF(D328="USD",E328*$L$1,E328)</f>
        <v/>
      </c>
      <c r="I328" s="9">
        <f>IF(D328="USD",F328*$L$1,F328)</f>
        <v/>
      </c>
      <c r="J328" s="9">
        <f>IF(D328="USD",G328*$L$1,G328)</f>
        <v/>
      </c>
    </row>
    <row r="329">
      <c r="A329" s="8" t="n">
        <v>46052</v>
      </c>
      <c r="B329" t="inlineStr">
        <is>
          <t>2026-W05</t>
        </is>
      </c>
      <c r="C329" t="inlineStr">
        <is>
          <t>Adyen</t>
        </is>
      </c>
      <c r="D329" t="inlineStr">
        <is>
          <t>EUR</t>
        </is>
      </c>
      <c r="E329" s="9" t="n">
        <v>41836.68</v>
      </c>
      <c r="F329" s="9" t="n">
        <v>0</v>
      </c>
      <c r="G329" s="9" t="n">
        <v>0</v>
      </c>
      <c r="H329" s="9">
        <f>IF(D329="USD",E329*$L$1,E329)</f>
        <v/>
      </c>
      <c r="I329" s="9">
        <f>IF(D329="USD",F329*$L$1,F329)</f>
        <v/>
      </c>
      <c r="J329" s="9">
        <f>IF(D329="USD",G329*$L$1,G329)</f>
        <v/>
      </c>
    </row>
    <row r="330">
      <c r="A330" s="8" t="n">
        <v>46052</v>
      </c>
      <c r="B330" t="inlineStr">
        <is>
          <t>2026-W05</t>
        </is>
      </c>
      <c r="C330" t="inlineStr">
        <is>
          <t>Nuvei</t>
        </is>
      </c>
      <c r="D330" t="inlineStr">
        <is>
          <t>EUR</t>
        </is>
      </c>
      <c r="E330" s="9" t="n">
        <v>738267.14</v>
      </c>
      <c r="F330" s="9" t="n">
        <v>728610.8100000001</v>
      </c>
      <c r="G330" s="9" t="n">
        <v>-728607.3100000001</v>
      </c>
      <c r="H330" s="9">
        <f>IF(D330="USD",E330*$L$1,E330)</f>
        <v/>
      </c>
      <c r="I330" s="9">
        <f>IF(D330="USD",F330*$L$1,F330)</f>
        <v/>
      </c>
      <c r="J330" s="9">
        <f>IF(D330="USD",G330*$L$1,G330)</f>
        <v/>
      </c>
    </row>
    <row r="331">
      <c r="A331" s="8" t="n">
        <v>46052</v>
      </c>
      <c r="B331" t="inlineStr">
        <is>
          <t>2026-W05</t>
        </is>
      </c>
      <c r="C331" t="inlineStr">
        <is>
          <t>Nuvei</t>
        </is>
      </c>
      <c r="D331" t="inlineStr">
        <is>
          <t>EUR</t>
        </is>
      </c>
      <c r="E331" s="9" t="n">
        <v>99876.07000000001</v>
      </c>
      <c r="F331" s="9" t="n">
        <v>97326.23000000001</v>
      </c>
      <c r="G331" s="9" t="n">
        <v>-97322.73</v>
      </c>
      <c r="H331" s="9">
        <f>IF(D331="USD",E331*$L$1,E331)</f>
        <v/>
      </c>
      <c r="I331" s="9">
        <f>IF(D331="USD",F331*$L$1,F331)</f>
        <v/>
      </c>
      <c r="J331" s="9">
        <f>IF(D331="USD",G331*$L$1,G331)</f>
        <v/>
      </c>
    </row>
    <row r="332">
      <c r="A332" s="8" t="n">
        <v>46053</v>
      </c>
      <c r="B332" t="inlineStr">
        <is>
          <t>2026-W05</t>
        </is>
      </c>
      <c r="C332" t="inlineStr">
        <is>
          <t>Adyen</t>
        </is>
      </c>
      <c r="D332" t="inlineStr">
        <is>
          <t>EUR</t>
        </is>
      </c>
      <c r="E332" s="9" t="n">
        <v>260175.33</v>
      </c>
      <c r="F332" s="9" t="n">
        <v>0</v>
      </c>
      <c r="G332" s="9" t="n">
        <v>0</v>
      </c>
      <c r="H332" s="9">
        <f>IF(D332="USD",E332*$L$1,E332)</f>
        <v/>
      </c>
      <c r="I332" s="9">
        <f>IF(D332="USD",F332*$L$1,F332)</f>
        <v/>
      </c>
      <c r="J332" s="9">
        <f>IF(D332="USD",G332*$L$1,G332)</f>
        <v/>
      </c>
    </row>
    <row r="333">
      <c r="A333" s="8" t="n">
        <v>46053</v>
      </c>
      <c r="B333" t="inlineStr">
        <is>
          <t>2026-W05</t>
        </is>
      </c>
      <c r="C333" t="inlineStr">
        <is>
          <t>Adyen</t>
        </is>
      </c>
      <c r="D333" t="inlineStr">
        <is>
          <t>EUR</t>
        </is>
      </c>
      <c r="E333" s="9" t="n">
        <v>33891.71</v>
      </c>
      <c r="F333" s="9" t="n">
        <v>0</v>
      </c>
      <c r="G333" s="9" t="n">
        <v>0</v>
      </c>
      <c r="H333" s="9">
        <f>IF(D333="USD",E333*$L$1,E333)</f>
        <v/>
      </c>
      <c r="I333" s="9">
        <f>IF(D333="USD",F333*$L$1,F333)</f>
        <v/>
      </c>
      <c r="J333" s="9">
        <f>IF(D333="USD",G333*$L$1,G333)</f>
        <v/>
      </c>
    </row>
    <row r="334">
      <c r="A334" s="8" t="n">
        <v>46053</v>
      </c>
      <c r="B334" t="inlineStr">
        <is>
          <t>2026-W05</t>
        </is>
      </c>
      <c r="C334" t="inlineStr">
        <is>
          <t>Nuvei</t>
        </is>
      </c>
      <c r="D334" t="inlineStr">
        <is>
          <t>EUR</t>
        </is>
      </c>
      <c r="E334" s="9" t="n">
        <v>693571.05</v>
      </c>
      <c r="F334" s="9" t="n">
        <v>684832.2200000001</v>
      </c>
      <c r="G334" s="9" t="n">
        <v>0</v>
      </c>
      <c r="H334" s="9">
        <f>IF(D334="USD",E334*$L$1,E334)</f>
        <v/>
      </c>
      <c r="I334" s="9">
        <f>IF(D334="USD",F334*$L$1,F334)</f>
        <v/>
      </c>
      <c r="J334" s="9">
        <f>IF(D334="USD",G334*$L$1,G334)</f>
        <v/>
      </c>
    </row>
    <row r="335">
      <c r="A335" s="8" t="n">
        <v>46053</v>
      </c>
      <c r="B335" t="inlineStr">
        <is>
          <t>2026-W05</t>
        </is>
      </c>
      <c r="C335" t="inlineStr">
        <is>
          <t>Nuvei</t>
        </is>
      </c>
      <c r="D335" t="inlineStr">
        <is>
          <t>EUR</t>
        </is>
      </c>
      <c r="E335" s="9" t="n">
        <v>107393.43</v>
      </c>
      <c r="F335" s="9" t="n">
        <v>104665.84</v>
      </c>
      <c r="G335" s="9" t="n">
        <v>0</v>
      </c>
      <c r="H335" s="9">
        <f>IF(D335="USD",E335*$L$1,E335)</f>
        <v/>
      </c>
      <c r="I335" s="9">
        <f>IF(D335="USD",F335*$L$1,F335)</f>
        <v/>
      </c>
      <c r="J335" s="9">
        <f>IF(D335="USD",G335*$L$1,G335)</f>
        <v/>
      </c>
    </row>
    <row r="336">
      <c r="A336" s="8" t="n">
        <v>46054</v>
      </c>
      <c r="B336" t="inlineStr">
        <is>
          <t>2026-W05</t>
        </is>
      </c>
      <c r="C336" t="inlineStr">
        <is>
          <t>Adyen</t>
        </is>
      </c>
      <c r="D336" t="inlineStr">
        <is>
          <t>EUR</t>
        </is>
      </c>
      <c r="E336" s="9" t="n">
        <v>310440.47</v>
      </c>
      <c r="F336" s="9" t="n">
        <v>0</v>
      </c>
      <c r="G336" s="9" t="n">
        <v>0</v>
      </c>
      <c r="H336" s="9">
        <f>IF(D336="USD",E336*$L$1,E336)</f>
        <v/>
      </c>
      <c r="I336" s="9">
        <f>IF(D336="USD",F336*$L$1,F336)</f>
        <v/>
      </c>
      <c r="J336" s="9">
        <f>IF(D336="USD",G336*$L$1,G336)</f>
        <v/>
      </c>
    </row>
    <row r="337">
      <c r="A337" s="8" t="n">
        <v>46054</v>
      </c>
      <c r="B337" t="inlineStr">
        <is>
          <t>2026-W05</t>
        </is>
      </c>
      <c r="C337" t="inlineStr">
        <is>
          <t>Adyen</t>
        </is>
      </c>
      <c r="D337" t="inlineStr">
        <is>
          <t>EUR</t>
        </is>
      </c>
      <c r="E337" s="9" t="n">
        <v>33364.42</v>
      </c>
      <c r="F337" s="9" t="n">
        <v>0</v>
      </c>
      <c r="G337" s="9" t="n">
        <v>0</v>
      </c>
      <c r="H337" s="9">
        <f>IF(D337="USD",E337*$L$1,E337)</f>
        <v/>
      </c>
      <c r="I337" s="9">
        <f>IF(D337="USD",F337*$L$1,F337)</f>
        <v/>
      </c>
      <c r="J337" s="9">
        <f>IF(D337="USD",G337*$L$1,G337)</f>
        <v/>
      </c>
    </row>
    <row r="338">
      <c r="A338" s="8" t="n">
        <v>46054</v>
      </c>
      <c r="B338" t="inlineStr">
        <is>
          <t>2026-W05</t>
        </is>
      </c>
      <c r="C338" t="inlineStr">
        <is>
          <t>Nuvei</t>
        </is>
      </c>
      <c r="D338" t="inlineStr">
        <is>
          <t>EUR</t>
        </is>
      </c>
      <c r="E338" s="9" t="n">
        <v>736847.42</v>
      </c>
      <c r="F338" s="9" t="n">
        <v>728104.4600000001</v>
      </c>
      <c r="G338" s="9" t="n">
        <v>0</v>
      </c>
      <c r="H338" s="9">
        <f>IF(D338="USD",E338*$L$1,E338)</f>
        <v/>
      </c>
      <c r="I338" s="9">
        <f>IF(D338="USD",F338*$L$1,F338)</f>
        <v/>
      </c>
      <c r="J338" s="9">
        <f>IF(D338="USD",G338*$L$1,G338)</f>
        <v/>
      </c>
    </row>
    <row r="339">
      <c r="A339" s="8" t="n">
        <v>46054</v>
      </c>
      <c r="B339" t="inlineStr">
        <is>
          <t>2026-W05</t>
        </is>
      </c>
      <c r="C339" t="inlineStr">
        <is>
          <t>Nuvei</t>
        </is>
      </c>
      <c r="D339" t="inlineStr">
        <is>
          <t>EUR</t>
        </is>
      </c>
      <c r="E339" s="9" t="n">
        <v>111492.15</v>
      </c>
      <c r="F339" s="9" t="n">
        <v>108583.64</v>
      </c>
      <c r="G339" s="9" t="n">
        <v>0</v>
      </c>
      <c r="H339" s="9">
        <f>IF(D339="USD",E339*$L$1,E339)</f>
        <v/>
      </c>
      <c r="I339" s="9">
        <f>IF(D339="USD",F339*$L$1,F339)</f>
        <v/>
      </c>
      <c r="J339" s="9">
        <f>IF(D339="USD",G339*$L$1,G339)</f>
        <v/>
      </c>
    </row>
    <row r="340">
      <c r="A340" s="8" t="n">
        <v>46055</v>
      </c>
      <c r="B340" t="inlineStr">
        <is>
          <t>2026-W06</t>
        </is>
      </c>
      <c r="C340" t="inlineStr">
        <is>
          <t>Adyen</t>
        </is>
      </c>
      <c r="D340" t="inlineStr">
        <is>
          <t>EUR</t>
        </is>
      </c>
      <c r="E340" s="9" t="n">
        <v>475833.94</v>
      </c>
      <c r="F340" s="9" t="n">
        <v>0</v>
      </c>
      <c r="G340" s="9" t="n">
        <v>529974.95</v>
      </c>
      <c r="H340" s="9">
        <f>IF(D340="USD",E340*$L$1,E340)</f>
        <v/>
      </c>
      <c r="I340" s="9">
        <f>IF(D340="USD",F340*$L$1,F340)</f>
        <v/>
      </c>
      <c r="J340" s="9">
        <f>IF(D340="USD",G340*$L$1,G340)</f>
        <v/>
      </c>
    </row>
    <row r="341">
      <c r="A341" s="8" t="n">
        <v>46055</v>
      </c>
      <c r="B341" t="inlineStr">
        <is>
          <t>2026-W06</t>
        </is>
      </c>
      <c r="C341" t="inlineStr">
        <is>
          <t>Adyen</t>
        </is>
      </c>
      <c r="D341" t="inlineStr">
        <is>
          <t>EUR</t>
        </is>
      </c>
      <c r="E341" s="9" t="n">
        <v>59961.75</v>
      </c>
      <c r="F341" s="9" t="n">
        <v>0</v>
      </c>
      <c r="G341" s="9" t="n">
        <v>0</v>
      </c>
      <c r="H341" s="9">
        <f>IF(D341="USD",E341*$L$1,E341)</f>
        <v/>
      </c>
      <c r="I341" s="9">
        <f>IF(D341="USD",F341*$L$1,F341)</f>
        <v/>
      </c>
      <c r="J341" s="9">
        <f>IF(D341="USD",G341*$L$1,G341)</f>
        <v/>
      </c>
    </row>
    <row r="342">
      <c r="A342" s="8" t="n">
        <v>46055</v>
      </c>
      <c r="B342" t="inlineStr">
        <is>
          <t>2026-W06</t>
        </is>
      </c>
      <c r="C342" t="inlineStr">
        <is>
          <t>Nuvei</t>
        </is>
      </c>
      <c r="D342" t="inlineStr">
        <is>
          <t>EUR</t>
        </is>
      </c>
      <c r="E342" s="9" t="n">
        <v>889051.99</v>
      </c>
      <c r="F342" s="9" t="n">
        <v>877076</v>
      </c>
      <c r="G342" s="9" t="n">
        <v>-2290009.19</v>
      </c>
      <c r="H342" s="9">
        <f>IF(D342="USD",E342*$L$1,E342)</f>
        <v/>
      </c>
      <c r="I342" s="9">
        <f>IF(D342="USD",F342*$L$1,F342)</f>
        <v/>
      </c>
      <c r="J342" s="9">
        <f>IF(D342="USD",G342*$L$1,G342)</f>
        <v/>
      </c>
    </row>
    <row r="343">
      <c r="A343" s="8" t="n">
        <v>46055</v>
      </c>
      <c r="B343" t="inlineStr">
        <is>
          <t>2026-W06</t>
        </is>
      </c>
      <c r="C343" t="inlineStr">
        <is>
          <t>Nuvei</t>
        </is>
      </c>
      <c r="D343" t="inlineStr">
        <is>
          <t>EUR</t>
        </is>
      </c>
      <c r="E343" s="9" t="n">
        <v>137349.4</v>
      </c>
      <c r="F343" s="9" t="n">
        <v>133770.21</v>
      </c>
      <c r="G343" s="9" t="n">
        <v>-347016.2</v>
      </c>
      <c r="H343" s="9">
        <f>IF(D343="USD",E343*$L$1,E343)</f>
        <v/>
      </c>
      <c r="I343" s="9">
        <f>IF(D343="USD",F343*$L$1,F343)</f>
        <v/>
      </c>
      <c r="J343" s="9">
        <f>IF(D343="USD",G343*$L$1,G343)</f>
        <v/>
      </c>
    </row>
    <row r="344">
      <c r="A344" s="8" t="n">
        <v>46056</v>
      </c>
      <c r="B344" t="inlineStr">
        <is>
          <t>2026-W06</t>
        </is>
      </c>
      <c r="C344" t="inlineStr">
        <is>
          <t>Adyen</t>
        </is>
      </c>
      <c r="D344" t="inlineStr">
        <is>
          <t>EUR</t>
        </is>
      </c>
      <c r="E344" s="9" t="n">
        <v>522546.69</v>
      </c>
      <c r="F344" s="9" t="n">
        <v>0</v>
      </c>
      <c r="G344" s="9" t="n">
        <v>583480.88</v>
      </c>
      <c r="H344" s="9">
        <f>IF(D344="USD",E344*$L$1,E344)</f>
        <v/>
      </c>
      <c r="I344" s="9">
        <f>IF(D344="USD",F344*$L$1,F344)</f>
        <v/>
      </c>
      <c r="J344" s="9">
        <f>IF(D344="USD",G344*$L$1,G344)</f>
        <v/>
      </c>
    </row>
    <row r="345">
      <c r="A345" s="8" t="n">
        <v>46056</v>
      </c>
      <c r="B345" t="inlineStr">
        <is>
          <t>2026-W06</t>
        </is>
      </c>
      <c r="C345" t="inlineStr">
        <is>
          <t>Adyen</t>
        </is>
      </c>
      <c r="D345" t="inlineStr">
        <is>
          <t>EUR</t>
        </is>
      </c>
      <c r="E345" s="9" t="n">
        <v>64799.61</v>
      </c>
      <c r="F345" s="9" t="n">
        <v>0</v>
      </c>
      <c r="G345" s="9" t="n">
        <v>0</v>
      </c>
      <c r="H345" s="9">
        <f>IF(D345="USD",E345*$L$1,E345)</f>
        <v/>
      </c>
      <c r="I345" s="9">
        <f>IF(D345="USD",F345*$L$1,F345)</f>
        <v/>
      </c>
      <c r="J345" s="9">
        <f>IF(D345="USD",G345*$L$1,G345)</f>
        <v/>
      </c>
    </row>
    <row r="346">
      <c r="A346" s="8" t="n">
        <v>46056</v>
      </c>
      <c r="B346" t="inlineStr">
        <is>
          <t>2026-W06</t>
        </is>
      </c>
      <c r="C346" t="inlineStr">
        <is>
          <t>Nuvei</t>
        </is>
      </c>
      <c r="D346" t="inlineStr">
        <is>
          <t>EUR</t>
        </is>
      </c>
      <c r="E346" s="9" t="n">
        <v>867660.34</v>
      </c>
      <c r="F346" s="9" t="n">
        <v>856274.2899999999</v>
      </c>
      <c r="G346" s="9" t="n">
        <v>-856270.79</v>
      </c>
      <c r="H346" s="9">
        <f>IF(D346="USD",E346*$L$1,E346)</f>
        <v/>
      </c>
      <c r="I346" s="9">
        <f>IF(D346="USD",F346*$L$1,F346)</f>
        <v/>
      </c>
      <c r="J346" s="9">
        <f>IF(D346="USD",G346*$L$1,G346)</f>
        <v/>
      </c>
    </row>
    <row r="347">
      <c r="A347" s="8" t="n">
        <v>46056</v>
      </c>
      <c r="B347" t="inlineStr">
        <is>
          <t>2026-W06</t>
        </is>
      </c>
      <c r="C347" t="inlineStr">
        <is>
          <t>Nuvei</t>
        </is>
      </c>
      <c r="D347" t="inlineStr">
        <is>
          <t>EUR</t>
        </is>
      </c>
      <c r="E347" s="9" t="n">
        <v>80563.24000000001</v>
      </c>
      <c r="F347" s="9" t="n">
        <v>78511.49000000001</v>
      </c>
      <c r="G347" s="9" t="n">
        <v>-78507.99000000001</v>
      </c>
      <c r="H347" s="9">
        <f>IF(D347="USD",E347*$L$1,E347)</f>
        <v/>
      </c>
      <c r="I347" s="9">
        <f>IF(D347="USD",F347*$L$1,F347)</f>
        <v/>
      </c>
      <c r="J347" s="9">
        <f>IF(D347="USD",G347*$L$1,G347)</f>
        <v/>
      </c>
    </row>
    <row r="348">
      <c r="A348" s="8" t="n">
        <v>46057</v>
      </c>
      <c r="B348" t="inlineStr">
        <is>
          <t>2026-W06</t>
        </is>
      </c>
      <c r="C348" t="inlineStr">
        <is>
          <t>Adyen</t>
        </is>
      </c>
      <c r="D348" t="inlineStr">
        <is>
          <t>EUR</t>
        </is>
      </c>
      <c r="E348" s="9" t="n">
        <v>533240.1899999999</v>
      </c>
      <c r="F348" s="9" t="n">
        <v>0</v>
      </c>
      <c r="G348" s="9" t="n">
        <v>590874.14</v>
      </c>
      <c r="H348" s="9">
        <f>IF(D348="USD",E348*$L$1,E348)</f>
        <v/>
      </c>
      <c r="I348" s="9">
        <f>IF(D348="USD",F348*$L$1,F348)</f>
        <v/>
      </c>
      <c r="J348" s="9">
        <f>IF(D348="USD",G348*$L$1,G348)</f>
        <v/>
      </c>
    </row>
    <row r="349">
      <c r="A349" s="8" t="n">
        <v>46057</v>
      </c>
      <c r="B349" t="inlineStr">
        <is>
          <t>2026-W06</t>
        </is>
      </c>
      <c r="C349" t="inlineStr">
        <is>
          <t>Adyen</t>
        </is>
      </c>
      <c r="D349" t="inlineStr">
        <is>
          <t>EUR</t>
        </is>
      </c>
      <c r="E349" s="9" t="n">
        <v>73245.42</v>
      </c>
      <c r="F349" s="9" t="n">
        <v>0</v>
      </c>
      <c r="G349" s="9" t="n">
        <v>0</v>
      </c>
      <c r="H349" s="9">
        <f>IF(D349="USD",E349*$L$1,E349)</f>
        <v/>
      </c>
      <c r="I349" s="9">
        <f>IF(D349="USD",F349*$L$1,F349)</f>
        <v/>
      </c>
      <c r="J349" s="9">
        <f>IF(D349="USD",G349*$L$1,G349)</f>
        <v/>
      </c>
    </row>
    <row r="350">
      <c r="A350" s="8" t="n">
        <v>46057</v>
      </c>
      <c r="B350" t="inlineStr">
        <is>
          <t>2026-W06</t>
        </is>
      </c>
      <c r="C350" t="inlineStr">
        <is>
          <t>Nuvei</t>
        </is>
      </c>
      <c r="D350" t="inlineStr">
        <is>
          <t>EUR</t>
        </is>
      </c>
      <c r="E350" s="9" t="n">
        <v>877438.1800000001</v>
      </c>
      <c r="F350" s="9" t="n">
        <v>866025.88</v>
      </c>
      <c r="G350" s="9" t="n">
        <v>-866022.38</v>
      </c>
      <c r="H350" s="9">
        <f>IF(D350="USD",E350*$L$1,E350)</f>
        <v/>
      </c>
      <c r="I350" s="9">
        <f>IF(D350="USD",F350*$L$1,F350)</f>
        <v/>
      </c>
      <c r="J350" s="9">
        <f>IF(D350="USD",G350*$L$1,G350)</f>
        <v/>
      </c>
    </row>
    <row r="351">
      <c r="A351" s="8" t="n">
        <v>46057</v>
      </c>
      <c r="B351" t="inlineStr">
        <is>
          <t>2026-W06</t>
        </is>
      </c>
      <c r="C351" t="inlineStr">
        <is>
          <t>Nuvei</t>
        </is>
      </c>
      <c r="D351" t="inlineStr">
        <is>
          <t>EUR</t>
        </is>
      </c>
      <c r="E351" s="9" t="n">
        <v>115817.82</v>
      </c>
      <c r="F351" s="9" t="n">
        <v>112873.8</v>
      </c>
      <c r="G351" s="9" t="n">
        <v>-112870.3</v>
      </c>
      <c r="H351" s="9">
        <f>IF(D351="USD",E351*$L$1,E351)</f>
        <v/>
      </c>
      <c r="I351" s="9">
        <f>IF(D351="USD",F351*$L$1,F351)</f>
        <v/>
      </c>
      <c r="J351" s="9">
        <f>IF(D351="USD",G351*$L$1,G351)</f>
        <v/>
      </c>
    </row>
    <row r="352">
      <c r="A352" s="8" t="n">
        <v>46058</v>
      </c>
      <c r="B352" t="inlineStr">
        <is>
          <t>2026-W06</t>
        </is>
      </c>
      <c r="C352" t="inlineStr">
        <is>
          <t>Adyen</t>
        </is>
      </c>
      <c r="D352" t="inlineStr">
        <is>
          <t>EUR</t>
        </is>
      </c>
      <c r="E352" s="9" t="n">
        <v>419319.41</v>
      </c>
      <c r="F352" s="9" t="n">
        <v>0</v>
      </c>
      <c r="G352" s="9" t="n">
        <v>481851.37</v>
      </c>
      <c r="H352" s="9">
        <f>IF(D352="USD",E352*$L$1,E352)</f>
        <v/>
      </c>
      <c r="I352" s="9">
        <f>IF(D352="USD",F352*$L$1,F352)</f>
        <v/>
      </c>
      <c r="J352" s="9">
        <f>IF(D352="USD",G352*$L$1,G352)</f>
        <v/>
      </c>
    </row>
    <row r="353">
      <c r="A353" s="8" t="n">
        <v>46058</v>
      </c>
      <c r="B353" t="inlineStr">
        <is>
          <t>2026-W06</t>
        </is>
      </c>
      <c r="C353" t="inlineStr">
        <is>
          <t>Adyen</t>
        </is>
      </c>
      <c r="D353" t="inlineStr">
        <is>
          <t>EUR</t>
        </is>
      </c>
      <c r="E353" s="9" t="n">
        <v>67760.3</v>
      </c>
      <c r="F353" s="9" t="n">
        <v>0</v>
      </c>
      <c r="G353" s="9" t="n">
        <v>0</v>
      </c>
      <c r="H353" s="9">
        <f>IF(D353="USD",E353*$L$1,E353)</f>
        <v/>
      </c>
      <c r="I353" s="9">
        <f>IF(D353="USD",F353*$L$1,F353)</f>
        <v/>
      </c>
      <c r="J353" s="9">
        <f>IF(D353="USD",G353*$L$1,G353)</f>
        <v/>
      </c>
    </row>
    <row r="354">
      <c r="A354" s="8" t="n">
        <v>46058</v>
      </c>
      <c r="B354" t="inlineStr">
        <is>
          <t>2026-W06</t>
        </is>
      </c>
      <c r="C354" t="inlineStr">
        <is>
          <t>Nuvei</t>
        </is>
      </c>
      <c r="D354" t="inlineStr">
        <is>
          <t>EUR</t>
        </is>
      </c>
      <c r="E354" s="9" t="n">
        <v>912038.85</v>
      </c>
      <c r="F354" s="9" t="n">
        <v>899932.97</v>
      </c>
      <c r="G354" s="9" t="n">
        <v>-899929.48</v>
      </c>
      <c r="H354" s="9">
        <f>IF(D354="USD",E354*$L$1,E354)</f>
        <v/>
      </c>
      <c r="I354" s="9">
        <f>IF(D354="USD",F354*$L$1,F354)</f>
        <v/>
      </c>
      <c r="J354" s="9">
        <f>IF(D354="USD",G354*$L$1,G354)</f>
        <v/>
      </c>
    </row>
    <row r="355">
      <c r="A355" s="8" t="n">
        <v>46058</v>
      </c>
      <c r="B355" t="inlineStr">
        <is>
          <t>2026-W06</t>
        </is>
      </c>
      <c r="C355" t="inlineStr">
        <is>
          <t>Nuvei</t>
        </is>
      </c>
      <c r="D355" t="inlineStr">
        <is>
          <t>EUR</t>
        </is>
      </c>
      <c r="E355" s="9" t="n">
        <v>107183.53</v>
      </c>
      <c r="F355" s="9" t="n">
        <v>104472.66</v>
      </c>
      <c r="G355" s="9" t="n">
        <v>-104469.16</v>
      </c>
      <c r="H355" s="9">
        <f>IF(D355="USD",E355*$L$1,E355)</f>
        <v/>
      </c>
      <c r="I355" s="9">
        <f>IF(D355="USD",F355*$L$1,F355)</f>
        <v/>
      </c>
      <c r="J355" s="9">
        <f>IF(D355="USD",G355*$L$1,G355)</f>
        <v/>
      </c>
    </row>
    <row r="356">
      <c r="A356" s="8" t="n">
        <v>46059</v>
      </c>
      <c r="B356" t="inlineStr">
        <is>
          <t>2026-W06</t>
        </is>
      </c>
      <c r="C356" t="inlineStr">
        <is>
          <t>Adyen</t>
        </is>
      </c>
      <c r="D356" t="inlineStr">
        <is>
          <t>EUR</t>
        </is>
      </c>
      <c r="E356" s="9" t="n">
        <v>426562.36</v>
      </c>
      <c r="F356" s="9" t="n">
        <v>0</v>
      </c>
      <c r="G356" s="9" t="n">
        <v>1101315.19</v>
      </c>
      <c r="H356" s="9">
        <f>IF(D356="USD",E356*$L$1,E356)</f>
        <v/>
      </c>
      <c r="I356" s="9">
        <f>IF(D356="USD",F356*$L$1,F356)</f>
        <v/>
      </c>
      <c r="J356" s="9">
        <f>IF(D356="USD",G356*$L$1,G356)</f>
        <v/>
      </c>
    </row>
    <row r="357">
      <c r="A357" s="8" t="n">
        <v>46059</v>
      </c>
      <c r="B357" t="inlineStr">
        <is>
          <t>2026-W06</t>
        </is>
      </c>
      <c r="C357" t="inlineStr">
        <is>
          <t>Adyen</t>
        </is>
      </c>
      <c r="D357" t="inlineStr">
        <is>
          <t>EUR</t>
        </is>
      </c>
      <c r="E357" s="9" t="n">
        <v>63401.73</v>
      </c>
      <c r="F357" s="9" t="n">
        <v>0</v>
      </c>
      <c r="G357" s="9" t="n">
        <v>0</v>
      </c>
      <c r="H357" s="9">
        <f>IF(D357="USD",E357*$L$1,E357)</f>
        <v/>
      </c>
      <c r="I357" s="9">
        <f>IF(D357="USD",F357*$L$1,F357)</f>
        <v/>
      </c>
      <c r="J357" s="9">
        <f>IF(D357="USD",G357*$L$1,G357)</f>
        <v/>
      </c>
    </row>
    <row r="358">
      <c r="A358" s="8" t="n">
        <v>46059</v>
      </c>
      <c r="B358" t="inlineStr">
        <is>
          <t>2026-W06</t>
        </is>
      </c>
      <c r="C358" t="inlineStr">
        <is>
          <t>Nuvei</t>
        </is>
      </c>
      <c r="D358" t="inlineStr">
        <is>
          <t>EUR</t>
        </is>
      </c>
      <c r="E358" s="9" t="n">
        <v>709965.17</v>
      </c>
      <c r="F358" s="9" t="n">
        <v>700531.74</v>
      </c>
      <c r="G358" s="9" t="n">
        <v>-700528.24</v>
      </c>
      <c r="H358" s="9">
        <f>IF(D358="USD",E358*$L$1,E358)</f>
        <v/>
      </c>
      <c r="I358" s="9">
        <f>IF(D358="USD",F358*$L$1,F358)</f>
        <v/>
      </c>
      <c r="J358" s="9">
        <f>IF(D358="USD",G358*$L$1,G358)</f>
        <v/>
      </c>
    </row>
    <row r="359">
      <c r="A359" s="8" t="n">
        <v>46059</v>
      </c>
      <c r="B359" t="inlineStr">
        <is>
          <t>2026-W06</t>
        </is>
      </c>
      <c r="C359" t="inlineStr">
        <is>
          <t>Nuvei</t>
        </is>
      </c>
      <c r="D359" t="inlineStr">
        <is>
          <t>EUR</t>
        </is>
      </c>
      <c r="E359" s="9" t="n">
        <v>95383.14999999999</v>
      </c>
      <c r="F359" s="9" t="n">
        <v>93000.53</v>
      </c>
      <c r="G359" s="9" t="n">
        <v>-92997.03999999999</v>
      </c>
      <c r="H359" s="9">
        <f>IF(D359="USD",E359*$L$1,E359)</f>
        <v/>
      </c>
      <c r="I359" s="9">
        <f>IF(D359="USD",F359*$L$1,F359)</f>
        <v/>
      </c>
      <c r="J359" s="9">
        <f>IF(D359="USD",G359*$L$1,G359)</f>
        <v/>
      </c>
    </row>
    <row r="360">
      <c r="A360" s="8" t="n">
        <v>46060</v>
      </c>
      <c r="B360" t="inlineStr">
        <is>
          <t>2026-W06</t>
        </is>
      </c>
      <c r="C360" t="inlineStr">
        <is>
          <t>Adyen</t>
        </is>
      </c>
      <c r="D360" t="inlineStr">
        <is>
          <t>EUR</t>
        </is>
      </c>
      <c r="E360" s="9" t="n">
        <v>271863.05</v>
      </c>
      <c r="F360" s="9" t="n">
        <v>0</v>
      </c>
      <c r="G360" s="9" t="n">
        <v>0</v>
      </c>
      <c r="H360" s="9">
        <f>IF(D360="USD",E360*$L$1,E360)</f>
        <v/>
      </c>
      <c r="I360" s="9">
        <f>IF(D360="USD",F360*$L$1,F360)</f>
        <v/>
      </c>
      <c r="J360" s="9">
        <f>IF(D360="USD",G360*$L$1,G360)</f>
        <v/>
      </c>
    </row>
    <row r="361">
      <c r="A361" s="8" t="n">
        <v>46060</v>
      </c>
      <c r="B361" t="inlineStr">
        <is>
          <t>2026-W06</t>
        </is>
      </c>
      <c r="C361" t="inlineStr">
        <is>
          <t>Adyen</t>
        </is>
      </c>
      <c r="D361" t="inlineStr">
        <is>
          <t>EUR</t>
        </is>
      </c>
      <c r="E361" s="9" t="n">
        <v>41727.2</v>
      </c>
      <c r="F361" s="9" t="n">
        <v>0</v>
      </c>
      <c r="G361" s="9" t="n">
        <v>0</v>
      </c>
      <c r="H361" s="9">
        <f>IF(D361="USD",E361*$L$1,E361)</f>
        <v/>
      </c>
      <c r="I361" s="9">
        <f>IF(D361="USD",F361*$L$1,F361)</f>
        <v/>
      </c>
      <c r="J361" s="9">
        <f>IF(D361="USD",G361*$L$1,G361)</f>
        <v/>
      </c>
    </row>
    <row r="362">
      <c r="A362" s="8" t="n">
        <v>46060</v>
      </c>
      <c r="B362" t="inlineStr">
        <is>
          <t>2026-W06</t>
        </is>
      </c>
      <c r="C362" t="inlineStr">
        <is>
          <t>Nuvei</t>
        </is>
      </c>
      <c r="D362" t="inlineStr">
        <is>
          <t>EUR</t>
        </is>
      </c>
      <c r="E362" s="9" t="n">
        <v>725636.29</v>
      </c>
      <c r="F362" s="9" t="n">
        <v>716774.1000000001</v>
      </c>
      <c r="G362" s="9" t="n">
        <v>0</v>
      </c>
      <c r="H362" s="9">
        <f>IF(D362="USD",E362*$L$1,E362)</f>
        <v/>
      </c>
      <c r="I362" s="9">
        <f>IF(D362="USD",F362*$L$1,F362)</f>
        <v/>
      </c>
      <c r="J362" s="9">
        <f>IF(D362="USD",G362*$L$1,G362)</f>
        <v/>
      </c>
    </row>
    <row r="363">
      <c r="A363" s="8" t="n">
        <v>46060</v>
      </c>
      <c r="B363" t="inlineStr">
        <is>
          <t>2026-W06</t>
        </is>
      </c>
      <c r="C363" t="inlineStr">
        <is>
          <t>Nuvei</t>
        </is>
      </c>
      <c r="D363" t="inlineStr">
        <is>
          <t>EUR</t>
        </is>
      </c>
      <c r="E363" s="9" t="n">
        <v>96614.03999999999</v>
      </c>
      <c r="F363" s="9" t="n">
        <v>94236.37999999999</v>
      </c>
      <c r="G363" s="9" t="n">
        <v>0</v>
      </c>
      <c r="H363" s="9">
        <f>IF(D363="USD",E363*$L$1,E363)</f>
        <v/>
      </c>
      <c r="I363" s="9">
        <f>IF(D363="USD",F363*$L$1,F363)</f>
        <v/>
      </c>
      <c r="J363" s="9">
        <f>IF(D363="USD",G363*$L$1,G363)</f>
        <v/>
      </c>
    </row>
    <row r="364">
      <c r="A364" s="8" t="n">
        <v>46061</v>
      </c>
      <c r="B364" t="inlineStr">
        <is>
          <t>2026-W06</t>
        </is>
      </c>
      <c r="C364" t="inlineStr">
        <is>
          <t>Adyen</t>
        </is>
      </c>
      <c r="D364" t="inlineStr">
        <is>
          <t>EUR</t>
        </is>
      </c>
      <c r="E364" s="9" t="n">
        <v>279852.58</v>
      </c>
      <c r="F364" s="9" t="n">
        <v>0</v>
      </c>
      <c r="G364" s="9" t="n">
        <v>0</v>
      </c>
      <c r="H364" s="9">
        <f>IF(D364="USD",E364*$L$1,E364)</f>
        <v/>
      </c>
      <c r="I364" s="9">
        <f>IF(D364="USD",F364*$L$1,F364)</f>
        <v/>
      </c>
      <c r="J364" s="9">
        <f>IF(D364="USD",G364*$L$1,G364)</f>
        <v/>
      </c>
    </row>
    <row r="365">
      <c r="A365" s="8" t="n">
        <v>46061</v>
      </c>
      <c r="B365" t="inlineStr">
        <is>
          <t>2026-W06</t>
        </is>
      </c>
      <c r="C365" t="inlineStr">
        <is>
          <t>Adyen</t>
        </is>
      </c>
      <c r="D365" t="inlineStr">
        <is>
          <t>EUR</t>
        </is>
      </c>
      <c r="E365" s="9" t="n">
        <v>28071.77</v>
      </c>
      <c r="F365" s="9" t="n">
        <v>0</v>
      </c>
      <c r="G365" s="9" t="n">
        <v>0</v>
      </c>
      <c r="H365" s="9">
        <f>IF(D365="USD",E365*$L$1,E365)</f>
        <v/>
      </c>
      <c r="I365" s="9">
        <f>IF(D365="USD",F365*$L$1,F365)</f>
        <v/>
      </c>
      <c r="J365" s="9">
        <f>IF(D365="USD",G365*$L$1,G365)</f>
        <v/>
      </c>
    </row>
    <row r="366">
      <c r="A366" s="8" t="n">
        <v>46061</v>
      </c>
      <c r="B366" t="inlineStr">
        <is>
          <t>2026-W06</t>
        </is>
      </c>
      <c r="C366" t="inlineStr">
        <is>
          <t>Nuvei</t>
        </is>
      </c>
      <c r="D366" t="inlineStr">
        <is>
          <t>EUR</t>
        </is>
      </c>
      <c r="E366" s="9" t="n">
        <v>791066.8100000001</v>
      </c>
      <c r="F366" s="9" t="n">
        <v>781863.55</v>
      </c>
      <c r="G366" s="9" t="n">
        <v>0</v>
      </c>
      <c r="H366" s="9">
        <f>IF(D366="USD",E366*$L$1,E366)</f>
        <v/>
      </c>
      <c r="I366" s="9">
        <f>IF(D366="USD",F366*$L$1,F366)</f>
        <v/>
      </c>
      <c r="J366" s="9">
        <f>IF(D366="USD",G366*$L$1,G366)</f>
        <v/>
      </c>
    </row>
    <row r="367">
      <c r="A367" s="8" t="n">
        <v>46061</v>
      </c>
      <c r="B367" t="inlineStr">
        <is>
          <t>2026-W06</t>
        </is>
      </c>
      <c r="C367" t="inlineStr">
        <is>
          <t>Nuvei</t>
        </is>
      </c>
      <c r="D367" t="inlineStr">
        <is>
          <t>EUR</t>
        </is>
      </c>
      <c r="E367" s="9" t="n">
        <v>91039.17999999999</v>
      </c>
      <c r="F367" s="9" t="n">
        <v>88677.39</v>
      </c>
      <c r="G367" s="9" t="n">
        <v>0</v>
      </c>
      <c r="H367" s="9">
        <f>IF(D367="USD",E367*$L$1,E367)</f>
        <v/>
      </c>
      <c r="I367" s="9">
        <f>IF(D367="USD",F367*$L$1,F367)</f>
        <v/>
      </c>
      <c r="J367" s="9">
        <f>IF(D367="USD",G367*$L$1,G367)</f>
        <v/>
      </c>
    </row>
    <row r="368">
      <c r="A368" s="8" t="n">
        <v>46062</v>
      </c>
      <c r="B368" t="inlineStr">
        <is>
          <t>2026-W07</t>
        </is>
      </c>
      <c r="C368" t="inlineStr">
        <is>
          <t>Adyen</t>
        </is>
      </c>
      <c r="D368" t="inlineStr">
        <is>
          <t>EUR</t>
        </is>
      </c>
      <c r="E368" s="9" t="n">
        <v>445499.13</v>
      </c>
      <c r="F368" s="9" t="n">
        <v>0</v>
      </c>
      <c r="G368" s="9" t="n">
        <v>514306.69</v>
      </c>
      <c r="H368" s="9">
        <f>IF(D368="USD",E368*$L$1,E368)</f>
        <v/>
      </c>
      <c r="I368" s="9">
        <f>IF(D368="USD",F368*$L$1,F368)</f>
        <v/>
      </c>
      <c r="J368" s="9">
        <f>IF(D368="USD",G368*$L$1,G368)</f>
        <v/>
      </c>
    </row>
    <row r="369">
      <c r="A369" s="8" t="n">
        <v>46062</v>
      </c>
      <c r="B369" t="inlineStr">
        <is>
          <t>2026-W07</t>
        </is>
      </c>
      <c r="C369" t="inlineStr">
        <is>
          <t>Adyen</t>
        </is>
      </c>
      <c r="D369" t="inlineStr">
        <is>
          <t>EUR</t>
        </is>
      </c>
      <c r="E369" s="9" t="n">
        <v>72319.34</v>
      </c>
      <c r="F369" s="9" t="n">
        <v>0</v>
      </c>
      <c r="G369" s="9" t="n">
        <v>0</v>
      </c>
      <c r="H369" s="9">
        <f>IF(D369="USD",E369*$L$1,E369)</f>
        <v/>
      </c>
      <c r="I369" s="9">
        <f>IF(D369="USD",F369*$L$1,F369)</f>
        <v/>
      </c>
      <c r="J369" s="9">
        <f>IF(D369="USD",G369*$L$1,G369)</f>
        <v/>
      </c>
    </row>
    <row r="370">
      <c r="A370" s="8" t="n">
        <v>46062</v>
      </c>
      <c r="B370" t="inlineStr">
        <is>
          <t>2026-W07</t>
        </is>
      </c>
      <c r="C370" t="inlineStr">
        <is>
          <t>Nuvei</t>
        </is>
      </c>
      <c r="D370" t="inlineStr">
        <is>
          <t>EUR</t>
        </is>
      </c>
      <c r="E370" s="9" t="n">
        <v>797975.17</v>
      </c>
      <c r="F370" s="9" t="n">
        <v>787819.9800000001</v>
      </c>
      <c r="G370" s="9" t="n">
        <v>-2286454.12</v>
      </c>
      <c r="H370" s="9">
        <f>IF(D370="USD",E370*$L$1,E370)</f>
        <v/>
      </c>
      <c r="I370" s="9">
        <f>IF(D370="USD",F370*$L$1,F370)</f>
        <v/>
      </c>
      <c r="J370" s="9">
        <f>IF(D370="USD",G370*$L$1,G370)</f>
        <v/>
      </c>
    </row>
    <row r="371">
      <c r="A371" s="8" t="n">
        <v>46062</v>
      </c>
      <c r="B371" t="inlineStr">
        <is>
          <t>2026-W07</t>
        </is>
      </c>
      <c r="C371" t="inlineStr">
        <is>
          <t>Nuvei</t>
        </is>
      </c>
      <c r="D371" t="inlineStr">
        <is>
          <t>EUR</t>
        </is>
      </c>
      <c r="E371" s="9" t="n">
        <v>109661.47</v>
      </c>
      <c r="F371" s="9" t="n">
        <v>106893.16</v>
      </c>
      <c r="G371" s="9" t="n">
        <v>-289803.44</v>
      </c>
      <c r="H371" s="9">
        <f>IF(D371="USD",E371*$L$1,E371)</f>
        <v/>
      </c>
      <c r="I371" s="9">
        <f>IF(D371="USD",F371*$L$1,F371)</f>
        <v/>
      </c>
      <c r="J371" s="9">
        <f>IF(D371="USD",G371*$L$1,G371)</f>
        <v/>
      </c>
    </row>
    <row r="372">
      <c r="A372" s="8" t="n">
        <v>46063</v>
      </c>
      <c r="B372" t="inlineStr">
        <is>
          <t>2026-W07</t>
        </is>
      </c>
      <c r="C372" t="inlineStr">
        <is>
          <t>Adyen</t>
        </is>
      </c>
      <c r="D372" t="inlineStr">
        <is>
          <t>EUR</t>
        </is>
      </c>
      <c r="E372" s="9" t="n">
        <v>502520.27</v>
      </c>
      <c r="F372" s="9" t="n">
        <v>0</v>
      </c>
      <c r="G372" s="9" t="n">
        <v>565724.11</v>
      </c>
      <c r="H372" s="9">
        <f>IF(D372="USD",E372*$L$1,E372)</f>
        <v/>
      </c>
      <c r="I372" s="9">
        <f>IF(D372="USD",F372*$L$1,F372)</f>
        <v/>
      </c>
      <c r="J372" s="9">
        <f>IF(D372="USD",G372*$L$1,G372)</f>
        <v/>
      </c>
    </row>
    <row r="373">
      <c r="A373" s="8" t="n">
        <v>46063</v>
      </c>
      <c r="B373" t="inlineStr">
        <is>
          <t>2026-W07</t>
        </is>
      </c>
      <c r="C373" t="inlineStr">
        <is>
          <t>Adyen</t>
        </is>
      </c>
      <c r="D373" t="inlineStr">
        <is>
          <t>EUR</t>
        </is>
      </c>
      <c r="E373" s="9" t="n">
        <v>68360.14999999999</v>
      </c>
      <c r="F373" s="9" t="n">
        <v>0</v>
      </c>
      <c r="G373" s="9" t="n">
        <v>0</v>
      </c>
      <c r="H373" s="9">
        <f>IF(D373="USD",E373*$L$1,E373)</f>
        <v/>
      </c>
      <c r="I373" s="9">
        <f>IF(D373="USD",F373*$L$1,F373)</f>
        <v/>
      </c>
      <c r="J373" s="9">
        <f>IF(D373="USD",G373*$L$1,G373)</f>
        <v/>
      </c>
    </row>
    <row r="374">
      <c r="A374" s="8" t="n">
        <v>46063</v>
      </c>
      <c r="B374" t="inlineStr">
        <is>
          <t>2026-W07</t>
        </is>
      </c>
      <c r="C374" t="inlineStr">
        <is>
          <t>Nuvei</t>
        </is>
      </c>
      <c r="D374" t="inlineStr">
        <is>
          <t>EUR</t>
        </is>
      </c>
      <c r="E374" s="9" t="n">
        <v>759373.17</v>
      </c>
      <c r="F374" s="9" t="n">
        <v>749368.39</v>
      </c>
      <c r="G374" s="9" t="n">
        <v>-749364.89</v>
      </c>
      <c r="H374" s="9">
        <f>IF(D374="USD",E374*$L$1,E374)</f>
        <v/>
      </c>
      <c r="I374" s="9">
        <f>IF(D374="USD",F374*$L$1,F374)</f>
        <v/>
      </c>
      <c r="J374" s="9">
        <f>IF(D374="USD",G374*$L$1,G374)</f>
        <v/>
      </c>
    </row>
    <row r="375">
      <c r="A375" s="8" t="n">
        <v>46063</v>
      </c>
      <c r="B375" t="inlineStr">
        <is>
          <t>2026-W07</t>
        </is>
      </c>
      <c r="C375" t="inlineStr">
        <is>
          <t>Nuvei</t>
        </is>
      </c>
      <c r="D375" t="inlineStr">
        <is>
          <t>EUR</t>
        </is>
      </c>
      <c r="E375" s="9" t="n">
        <v>99369.14</v>
      </c>
      <c r="F375" s="9" t="n">
        <v>96827.64999999999</v>
      </c>
      <c r="G375" s="9" t="n">
        <v>-96824.16</v>
      </c>
      <c r="H375" s="9">
        <f>IF(D375="USD",E375*$L$1,E375)</f>
        <v/>
      </c>
      <c r="I375" s="9">
        <f>IF(D375="USD",F375*$L$1,F375)</f>
        <v/>
      </c>
      <c r="J375" s="9">
        <f>IF(D375="USD",G375*$L$1,G375)</f>
        <v/>
      </c>
    </row>
    <row r="376">
      <c r="A376" s="8" t="n">
        <v>46064</v>
      </c>
      <c r="B376" t="inlineStr">
        <is>
          <t>2026-W07</t>
        </is>
      </c>
      <c r="C376" t="inlineStr">
        <is>
          <t>Adyen</t>
        </is>
      </c>
      <c r="D376" t="inlineStr">
        <is>
          <t>EUR</t>
        </is>
      </c>
      <c r="E376" s="9" t="n">
        <v>465995.46</v>
      </c>
      <c r="F376" s="9" t="n">
        <v>0</v>
      </c>
      <c r="G376" s="9" t="n">
        <v>523732.09</v>
      </c>
      <c r="H376" s="9">
        <f>IF(D376="USD",E376*$L$1,E376)</f>
        <v/>
      </c>
      <c r="I376" s="9">
        <f>IF(D376="USD",F376*$L$1,F376)</f>
        <v/>
      </c>
      <c r="J376" s="9">
        <f>IF(D376="USD",G376*$L$1,G376)</f>
        <v/>
      </c>
    </row>
    <row r="377">
      <c r="A377" s="8" t="n">
        <v>46064</v>
      </c>
      <c r="B377" t="inlineStr">
        <is>
          <t>2026-W07</t>
        </is>
      </c>
      <c r="C377" t="inlineStr">
        <is>
          <t>Adyen</t>
        </is>
      </c>
      <c r="D377" t="inlineStr">
        <is>
          <t>EUR</t>
        </is>
      </c>
      <c r="E377" s="9" t="n">
        <v>62985.52</v>
      </c>
      <c r="F377" s="9" t="n">
        <v>0</v>
      </c>
      <c r="G377" s="9" t="n">
        <v>0</v>
      </c>
      <c r="H377" s="9">
        <f>IF(D377="USD",E377*$L$1,E377)</f>
        <v/>
      </c>
      <c r="I377" s="9">
        <f>IF(D377="USD",F377*$L$1,F377)</f>
        <v/>
      </c>
      <c r="J377" s="9">
        <f>IF(D377="USD",G377*$L$1,G377)</f>
        <v/>
      </c>
    </row>
    <row r="378">
      <c r="A378" s="8" t="n">
        <v>46064</v>
      </c>
      <c r="B378" t="inlineStr">
        <is>
          <t>2026-W07</t>
        </is>
      </c>
      <c r="C378" t="inlineStr">
        <is>
          <t>Nuvei</t>
        </is>
      </c>
      <c r="D378" t="inlineStr">
        <is>
          <t>EUR</t>
        </is>
      </c>
      <c r="E378" s="9" t="n">
        <v>931624.71</v>
      </c>
      <c r="F378" s="9" t="n">
        <v>919685.14</v>
      </c>
      <c r="G378" s="9" t="n">
        <v>-919681.64</v>
      </c>
      <c r="H378" s="9">
        <f>IF(D378="USD",E378*$L$1,E378)</f>
        <v/>
      </c>
      <c r="I378" s="9">
        <f>IF(D378="USD",F378*$L$1,F378)</f>
        <v/>
      </c>
      <c r="J378" s="9">
        <f>IF(D378="USD",G378*$L$1,G378)</f>
        <v/>
      </c>
    </row>
    <row r="379">
      <c r="A379" s="8" t="n">
        <v>46064</v>
      </c>
      <c r="B379" t="inlineStr">
        <is>
          <t>2026-W07</t>
        </is>
      </c>
      <c r="C379" t="inlineStr">
        <is>
          <t>Nuvei</t>
        </is>
      </c>
      <c r="D379" t="inlineStr">
        <is>
          <t>EUR</t>
        </is>
      </c>
      <c r="E379" s="9" t="n">
        <v>121866.01</v>
      </c>
      <c r="F379" s="9" t="n">
        <v>118821</v>
      </c>
      <c r="G379" s="9" t="n">
        <v>-118817.5</v>
      </c>
      <c r="H379" s="9">
        <f>IF(D379="USD",E379*$L$1,E379)</f>
        <v/>
      </c>
      <c r="I379" s="9">
        <f>IF(D379="USD",F379*$L$1,F379)</f>
        <v/>
      </c>
      <c r="J379" s="9">
        <f>IF(D379="USD",G379*$L$1,G379)</f>
        <v/>
      </c>
    </row>
    <row r="380">
      <c r="A380" s="8" t="n">
        <v>46065</v>
      </c>
      <c r="B380" t="inlineStr">
        <is>
          <t>2026-W07</t>
        </is>
      </c>
      <c r="C380" t="inlineStr">
        <is>
          <t>Adyen</t>
        </is>
      </c>
      <c r="D380" t="inlineStr">
        <is>
          <t>EUR</t>
        </is>
      </c>
      <c r="E380" s="9" t="n">
        <v>423903.54</v>
      </c>
      <c r="F380" s="9" t="n">
        <v>0</v>
      </c>
      <c r="G380" s="9" t="n">
        <v>469993.67</v>
      </c>
      <c r="H380" s="9">
        <f>IF(D380="USD",E380*$L$1,E380)</f>
        <v/>
      </c>
      <c r="I380" s="9">
        <f>IF(D380="USD",F380*$L$1,F380)</f>
        <v/>
      </c>
      <c r="J380" s="9">
        <f>IF(D380="USD",G380*$L$1,G380)</f>
        <v/>
      </c>
    </row>
    <row r="381">
      <c r="A381" s="8" t="n">
        <v>46065</v>
      </c>
      <c r="B381" t="inlineStr">
        <is>
          <t>2026-W07</t>
        </is>
      </c>
      <c r="C381" t="inlineStr">
        <is>
          <t>Adyen</t>
        </is>
      </c>
      <c r="D381" t="inlineStr">
        <is>
          <t>EUR</t>
        </is>
      </c>
      <c r="E381" s="9" t="n">
        <v>49282.25</v>
      </c>
      <c r="F381" s="9" t="n">
        <v>0</v>
      </c>
      <c r="G381" s="9" t="n">
        <v>0</v>
      </c>
      <c r="H381" s="9">
        <f>IF(D381="USD",E381*$L$1,E381)</f>
        <v/>
      </c>
      <c r="I381" s="9">
        <f>IF(D381="USD",F381*$L$1,F381)</f>
        <v/>
      </c>
      <c r="J381" s="9">
        <f>IF(D381="USD",G381*$L$1,G381)</f>
        <v/>
      </c>
    </row>
    <row r="382">
      <c r="A382" s="8" t="n">
        <v>46065</v>
      </c>
      <c r="B382" t="inlineStr">
        <is>
          <t>2026-W07</t>
        </is>
      </c>
      <c r="C382" t="inlineStr">
        <is>
          <t>Nuvei</t>
        </is>
      </c>
      <c r="D382" t="inlineStr">
        <is>
          <t>EUR</t>
        </is>
      </c>
      <c r="E382" s="9" t="n">
        <v>833061.9</v>
      </c>
      <c r="F382" s="9" t="n">
        <v>821627.8100000001</v>
      </c>
      <c r="G382" s="9" t="n">
        <v>-821614.3100000001</v>
      </c>
      <c r="H382" s="9">
        <f>IF(D382="USD",E382*$L$1,E382)</f>
        <v/>
      </c>
      <c r="I382" s="9">
        <f>IF(D382="USD",F382*$L$1,F382)</f>
        <v/>
      </c>
      <c r="J382" s="9">
        <f>IF(D382="USD",G382*$L$1,G382)</f>
        <v/>
      </c>
    </row>
    <row r="383">
      <c r="A383" s="8" t="n">
        <v>46065</v>
      </c>
      <c r="B383" t="inlineStr">
        <is>
          <t>2026-W07</t>
        </is>
      </c>
      <c r="C383" t="inlineStr">
        <is>
          <t>Nuvei</t>
        </is>
      </c>
      <c r="D383" t="inlineStr">
        <is>
          <t>EUR</t>
        </is>
      </c>
      <c r="E383" s="9" t="n">
        <v>62478.34</v>
      </c>
      <c r="F383" s="9" t="n">
        <v>60828.95</v>
      </c>
      <c r="G383" s="9" t="n">
        <v>-60825.44</v>
      </c>
      <c r="H383" s="9">
        <f>IF(D383="USD",E383*$L$1,E383)</f>
        <v/>
      </c>
      <c r="I383" s="9">
        <f>IF(D383="USD",F383*$L$1,F383)</f>
        <v/>
      </c>
      <c r="J383" s="9">
        <f>IF(D383="USD",G383*$L$1,G383)</f>
        <v/>
      </c>
    </row>
    <row r="384">
      <c r="A384" s="8" t="n">
        <v>46066</v>
      </c>
      <c r="B384" t="inlineStr">
        <is>
          <t>2026-W07</t>
        </is>
      </c>
      <c r="C384" t="inlineStr">
        <is>
          <t>Adyen</t>
        </is>
      </c>
      <c r="D384" t="inlineStr">
        <is>
          <t>EUR</t>
        </is>
      </c>
      <c r="E384" s="9" t="n">
        <v>441780.91</v>
      </c>
      <c r="F384" s="9" t="n">
        <v>0</v>
      </c>
      <c r="G384" s="9" t="n">
        <v>1038092.58</v>
      </c>
      <c r="H384" s="9">
        <f>IF(D384="USD",E384*$L$1,E384)</f>
        <v/>
      </c>
      <c r="I384" s="9">
        <f>IF(D384="USD",F384*$L$1,F384)</f>
        <v/>
      </c>
      <c r="J384" s="9">
        <f>IF(D384="USD",G384*$L$1,G384)</f>
        <v/>
      </c>
    </row>
    <row r="385">
      <c r="A385" s="8" t="n">
        <v>46066</v>
      </c>
      <c r="B385" t="inlineStr">
        <is>
          <t>2026-W07</t>
        </is>
      </c>
      <c r="C385" t="inlineStr">
        <is>
          <t>Adyen</t>
        </is>
      </c>
      <c r="D385" t="inlineStr">
        <is>
          <t>EUR</t>
        </is>
      </c>
      <c r="E385" s="9" t="n">
        <v>43662.66</v>
      </c>
      <c r="F385" s="9" t="n">
        <v>0</v>
      </c>
      <c r="G385" s="9" t="n">
        <v>0</v>
      </c>
      <c r="H385" s="9">
        <f>IF(D385="USD",E385*$L$1,E385)</f>
        <v/>
      </c>
      <c r="I385" s="9">
        <f>IF(D385="USD",F385*$L$1,F385)</f>
        <v/>
      </c>
      <c r="J385" s="9">
        <f>IF(D385="USD",G385*$L$1,G385)</f>
        <v/>
      </c>
    </row>
    <row r="386">
      <c r="A386" s="8" t="n">
        <v>46066</v>
      </c>
      <c r="B386" t="inlineStr">
        <is>
          <t>2026-W07</t>
        </is>
      </c>
      <c r="C386" t="inlineStr">
        <is>
          <t>Nuvei</t>
        </is>
      </c>
      <c r="D386" t="inlineStr">
        <is>
          <t>EUR</t>
        </is>
      </c>
      <c r="E386" s="9" t="n">
        <v>599882.54</v>
      </c>
      <c r="F386" s="9" t="n">
        <v>591431.78</v>
      </c>
      <c r="G386" s="9" t="n">
        <v>-591428.28</v>
      </c>
      <c r="H386" s="9">
        <f>IF(D386="USD",E386*$L$1,E386)</f>
        <v/>
      </c>
      <c r="I386" s="9">
        <f>IF(D386="USD",F386*$L$1,F386)</f>
        <v/>
      </c>
      <c r="J386" s="9">
        <f>IF(D386="USD",G386*$L$1,G386)</f>
        <v/>
      </c>
    </row>
    <row r="387">
      <c r="A387" s="8" t="n">
        <v>46066</v>
      </c>
      <c r="B387" t="inlineStr">
        <is>
          <t>2026-W07</t>
        </is>
      </c>
      <c r="C387" t="inlineStr">
        <is>
          <t>Nuvei</t>
        </is>
      </c>
      <c r="D387" t="inlineStr">
        <is>
          <t>EUR</t>
        </is>
      </c>
      <c r="E387" s="9" t="n">
        <v>63947.28</v>
      </c>
      <c r="F387" s="9" t="n">
        <v>62361.35</v>
      </c>
      <c r="G387" s="9" t="n">
        <v>-62357.86</v>
      </c>
      <c r="H387" s="9">
        <f>IF(D387="USD",E387*$L$1,E387)</f>
        <v/>
      </c>
      <c r="I387" s="9">
        <f>IF(D387="USD",F387*$L$1,F387)</f>
        <v/>
      </c>
      <c r="J387" s="9">
        <f>IF(D387="USD",G387*$L$1,G387)</f>
        <v/>
      </c>
    </row>
    <row r="388">
      <c r="A388" s="8" t="n">
        <v>46067</v>
      </c>
      <c r="B388" t="inlineStr">
        <is>
          <t>2026-W07</t>
        </is>
      </c>
      <c r="C388" t="inlineStr">
        <is>
          <t>Adyen</t>
        </is>
      </c>
      <c r="D388" t="inlineStr">
        <is>
          <t>EUR</t>
        </is>
      </c>
      <c r="E388" s="9" t="n">
        <v>246808.92</v>
      </c>
      <c r="F388" s="9" t="n">
        <v>0</v>
      </c>
      <c r="G388" s="9" t="n">
        <v>0</v>
      </c>
      <c r="H388" s="9">
        <f>IF(D388="USD",E388*$L$1,E388)</f>
        <v/>
      </c>
      <c r="I388" s="9">
        <f>IF(D388="USD",F388*$L$1,F388)</f>
        <v/>
      </c>
      <c r="J388" s="9">
        <f>IF(D388="USD",G388*$L$1,G388)</f>
        <v/>
      </c>
    </row>
    <row r="389">
      <c r="A389" s="8" t="n">
        <v>46067</v>
      </c>
      <c r="B389" t="inlineStr">
        <is>
          <t>2026-W07</t>
        </is>
      </c>
      <c r="C389" t="inlineStr">
        <is>
          <t>Adyen</t>
        </is>
      </c>
      <c r="D389" t="inlineStr">
        <is>
          <t>EUR</t>
        </is>
      </c>
      <c r="E389" s="9" t="n">
        <v>40261.51</v>
      </c>
      <c r="F389" s="9" t="n">
        <v>0</v>
      </c>
      <c r="G389" s="9" t="n">
        <v>0</v>
      </c>
      <c r="H389" s="9">
        <f>IF(D389="USD",E389*$L$1,E389)</f>
        <v/>
      </c>
      <c r="I389" s="9">
        <f>IF(D389="USD",F389*$L$1,F389)</f>
        <v/>
      </c>
      <c r="J389" s="9">
        <f>IF(D389="USD",G389*$L$1,G389)</f>
        <v/>
      </c>
    </row>
    <row r="390">
      <c r="A390" s="8" t="n">
        <v>46067</v>
      </c>
      <c r="B390" t="inlineStr">
        <is>
          <t>2026-W07</t>
        </is>
      </c>
      <c r="C390" t="inlineStr">
        <is>
          <t>Nuvei</t>
        </is>
      </c>
      <c r="D390" t="inlineStr">
        <is>
          <t>EUR</t>
        </is>
      </c>
      <c r="E390" s="9" t="n">
        <v>552132.9300000001</v>
      </c>
      <c r="F390" s="9" t="n">
        <v>544243.62</v>
      </c>
      <c r="G390" s="9" t="n">
        <v>0</v>
      </c>
      <c r="H390" s="9">
        <f>IF(D390="USD",E390*$L$1,E390)</f>
        <v/>
      </c>
      <c r="I390" s="9">
        <f>IF(D390="USD",F390*$L$1,F390)</f>
        <v/>
      </c>
      <c r="J390" s="9">
        <f>IF(D390="USD",G390*$L$1,G390)</f>
        <v/>
      </c>
    </row>
    <row r="391">
      <c r="A391" s="8" t="n">
        <v>46067</v>
      </c>
      <c r="B391" t="inlineStr">
        <is>
          <t>2026-W07</t>
        </is>
      </c>
      <c r="C391" t="inlineStr">
        <is>
          <t>Nuvei</t>
        </is>
      </c>
      <c r="D391" t="inlineStr">
        <is>
          <t>EUR</t>
        </is>
      </c>
      <c r="E391" s="9" t="n">
        <v>67924.02</v>
      </c>
      <c r="F391" s="9" t="n">
        <v>66171.57000000001</v>
      </c>
      <c r="G391" s="9" t="n">
        <v>0</v>
      </c>
      <c r="H391" s="9">
        <f>IF(D391="USD",E391*$L$1,E391)</f>
        <v/>
      </c>
      <c r="I391" s="9">
        <f>IF(D391="USD",F391*$L$1,F391)</f>
        <v/>
      </c>
      <c r="J391" s="9">
        <f>IF(D391="USD",G391*$L$1,G391)</f>
        <v/>
      </c>
    </row>
    <row r="392">
      <c r="A392" s="8" t="n">
        <v>46068</v>
      </c>
      <c r="B392" t="inlineStr">
        <is>
          <t>2026-W07</t>
        </is>
      </c>
      <c r="C392" t="inlineStr">
        <is>
          <t>Adyen</t>
        </is>
      </c>
      <c r="D392" t="inlineStr">
        <is>
          <t>EUR</t>
        </is>
      </c>
      <c r="E392" s="9" t="n">
        <v>260092.4</v>
      </c>
      <c r="F392" s="9" t="n">
        <v>0</v>
      </c>
      <c r="G392" s="9" t="n">
        <v>0</v>
      </c>
      <c r="H392" s="9">
        <f>IF(D392="USD",E392*$L$1,E392)</f>
        <v/>
      </c>
      <c r="I392" s="9">
        <f>IF(D392="USD",F392*$L$1,F392)</f>
        <v/>
      </c>
      <c r="J392" s="9">
        <f>IF(D392="USD",G392*$L$1,G392)</f>
        <v/>
      </c>
    </row>
    <row r="393">
      <c r="A393" s="8" t="n">
        <v>46068</v>
      </c>
      <c r="B393" t="inlineStr">
        <is>
          <t>2026-W07</t>
        </is>
      </c>
      <c r="C393" t="inlineStr">
        <is>
          <t>Adyen</t>
        </is>
      </c>
      <c r="D393" t="inlineStr">
        <is>
          <t>EUR</t>
        </is>
      </c>
      <c r="E393" s="9" t="n">
        <v>19099.64</v>
      </c>
      <c r="F393" s="9" t="n">
        <v>0</v>
      </c>
      <c r="G393" s="9" t="n">
        <v>0</v>
      </c>
      <c r="H393" s="9">
        <f>IF(D393="USD",E393*$L$1,E393)</f>
        <v/>
      </c>
      <c r="I393" s="9">
        <f>IF(D393="USD",F393*$L$1,F393)</f>
        <v/>
      </c>
      <c r="J393" s="9">
        <f>IF(D393="USD",G393*$L$1,G393)</f>
        <v/>
      </c>
    </row>
    <row r="394">
      <c r="A394" s="8" t="n">
        <v>46068</v>
      </c>
      <c r="B394" t="inlineStr">
        <is>
          <t>2026-W07</t>
        </is>
      </c>
      <c r="C394" t="inlineStr">
        <is>
          <t>Nuvei</t>
        </is>
      </c>
      <c r="D394" t="inlineStr">
        <is>
          <t>EUR</t>
        </is>
      </c>
      <c r="E394" s="9" t="n">
        <v>799940.63</v>
      </c>
      <c r="F394" s="9" t="n">
        <v>789797.05</v>
      </c>
      <c r="G394" s="9" t="n">
        <v>0</v>
      </c>
      <c r="H394" s="9">
        <f>IF(D394="USD",E394*$L$1,E394)</f>
        <v/>
      </c>
      <c r="I394" s="9">
        <f>IF(D394="USD",F394*$L$1,F394)</f>
        <v/>
      </c>
      <c r="J394" s="9">
        <f>IF(D394="USD",G394*$L$1,G394)</f>
        <v/>
      </c>
    </row>
    <row r="395">
      <c r="A395" s="8" t="n">
        <v>46068</v>
      </c>
      <c r="B395" t="inlineStr">
        <is>
          <t>2026-W07</t>
        </is>
      </c>
      <c r="C395" t="inlineStr">
        <is>
          <t>Nuvei</t>
        </is>
      </c>
      <c r="D395" t="inlineStr">
        <is>
          <t>EUR</t>
        </is>
      </c>
      <c r="E395" s="9" t="n">
        <v>65621.3</v>
      </c>
      <c r="F395" s="9" t="n">
        <v>64023.48</v>
      </c>
      <c r="G395" s="9" t="n">
        <v>0</v>
      </c>
      <c r="H395" s="9">
        <f>IF(D395="USD",E395*$L$1,E395)</f>
        <v/>
      </c>
      <c r="I395" s="9">
        <f>IF(D395="USD",F395*$L$1,F395)</f>
        <v/>
      </c>
      <c r="J395" s="9">
        <f>IF(D395="USD",G395*$L$1,G395)</f>
        <v/>
      </c>
    </row>
    <row r="396">
      <c r="A396" s="8" t="n">
        <v>46069</v>
      </c>
      <c r="B396" t="inlineStr">
        <is>
          <t>2026-W08</t>
        </is>
      </c>
      <c r="C396" t="inlineStr">
        <is>
          <t>Adyen</t>
        </is>
      </c>
      <c r="D396" t="inlineStr">
        <is>
          <t>EUR</t>
        </is>
      </c>
      <c r="E396" s="9" t="n">
        <v>437061.97</v>
      </c>
      <c r="F396" s="9" t="n">
        <v>0</v>
      </c>
      <c r="G396" s="9" t="n">
        <v>490918.63</v>
      </c>
      <c r="H396" s="9">
        <f>IF(D396="USD",E396*$L$1,E396)</f>
        <v/>
      </c>
      <c r="I396" s="9">
        <f>IF(D396="USD",F396*$L$1,F396)</f>
        <v/>
      </c>
      <c r="J396" s="9">
        <f>IF(D396="USD",G396*$L$1,G396)</f>
        <v/>
      </c>
    </row>
    <row r="397">
      <c r="A397" s="8" t="n">
        <v>46069</v>
      </c>
      <c r="B397" t="inlineStr">
        <is>
          <t>2026-W08</t>
        </is>
      </c>
      <c r="C397" t="inlineStr">
        <is>
          <t>Adyen</t>
        </is>
      </c>
      <c r="D397" t="inlineStr">
        <is>
          <t>EUR</t>
        </is>
      </c>
      <c r="E397" s="9" t="n">
        <v>59171.56</v>
      </c>
      <c r="F397" s="9" t="n">
        <v>0</v>
      </c>
      <c r="G397" s="9" t="n">
        <v>0</v>
      </c>
      <c r="H397" s="9">
        <f>IF(D397="USD",E397*$L$1,E397)</f>
        <v/>
      </c>
      <c r="I397" s="9">
        <f>IF(D397="USD",F397*$L$1,F397)</f>
        <v/>
      </c>
      <c r="J397" s="9">
        <f>IF(D397="USD",G397*$L$1,G397)</f>
        <v/>
      </c>
    </row>
    <row r="398">
      <c r="A398" s="8" t="n">
        <v>46069</v>
      </c>
      <c r="B398" t="inlineStr">
        <is>
          <t>2026-W08</t>
        </is>
      </c>
      <c r="C398" t="inlineStr">
        <is>
          <t>Nuvei</t>
        </is>
      </c>
      <c r="D398" t="inlineStr">
        <is>
          <t>EUR</t>
        </is>
      </c>
      <c r="E398" s="9" t="n">
        <v>718527.6899999999</v>
      </c>
      <c r="F398" s="9" t="n">
        <v>709138.24</v>
      </c>
      <c r="G398" s="9" t="n">
        <v>-2043175.42</v>
      </c>
      <c r="H398" s="9">
        <f>IF(D398="USD",E398*$L$1,E398)</f>
        <v/>
      </c>
      <c r="I398" s="9">
        <f>IF(D398="USD",F398*$L$1,F398)</f>
        <v/>
      </c>
      <c r="J398" s="9">
        <f>IF(D398="USD",G398*$L$1,G398)</f>
        <v/>
      </c>
    </row>
    <row r="399">
      <c r="A399" s="8" t="n">
        <v>46069</v>
      </c>
      <c r="B399" t="inlineStr">
        <is>
          <t>2026-W08</t>
        </is>
      </c>
      <c r="C399" t="inlineStr">
        <is>
          <t>Nuvei</t>
        </is>
      </c>
      <c r="D399" t="inlineStr">
        <is>
          <t>EUR</t>
        </is>
      </c>
      <c r="E399" s="9" t="n">
        <v>73091.92</v>
      </c>
      <c r="F399" s="9" t="n">
        <v>71189.89</v>
      </c>
      <c r="G399" s="9" t="n">
        <v>-201381.44</v>
      </c>
      <c r="H399" s="9">
        <f>IF(D399="USD",E399*$L$1,E399)</f>
        <v/>
      </c>
      <c r="I399" s="9">
        <f>IF(D399="USD",F399*$L$1,F399)</f>
        <v/>
      </c>
      <c r="J399" s="9">
        <f>IF(D399="USD",G399*$L$1,G399)</f>
        <v/>
      </c>
    </row>
    <row r="400">
      <c r="A400" s="8" t="n">
        <v>46070</v>
      </c>
      <c r="B400" t="inlineStr">
        <is>
          <t>2026-W08</t>
        </is>
      </c>
      <c r="C400" t="inlineStr">
        <is>
          <t>Adyen</t>
        </is>
      </c>
      <c r="D400" t="inlineStr">
        <is>
          <t>EUR</t>
        </is>
      </c>
      <c r="E400" s="9" t="n">
        <v>459847.62</v>
      </c>
      <c r="F400" s="9" t="n">
        <v>0</v>
      </c>
      <c r="G400" s="9" t="n">
        <v>518157.54</v>
      </c>
      <c r="H400" s="9">
        <f>IF(D400="USD",E400*$L$1,E400)</f>
        <v/>
      </c>
      <c r="I400" s="9">
        <f>IF(D400="USD",F400*$L$1,F400)</f>
        <v/>
      </c>
      <c r="J400" s="9">
        <f>IF(D400="USD",G400*$L$1,G400)</f>
        <v/>
      </c>
    </row>
    <row r="401">
      <c r="A401" s="8" t="n">
        <v>46070</v>
      </c>
      <c r="B401" t="inlineStr">
        <is>
          <t>2026-W08</t>
        </is>
      </c>
      <c r="C401" t="inlineStr">
        <is>
          <t>Adyen</t>
        </is>
      </c>
      <c r="D401" t="inlineStr">
        <is>
          <t>EUR</t>
        </is>
      </c>
      <c r="E401" s="9" t="n">
        <v>62704.22</v>
      </c>
      <c r="F401" s="9" t="n">
        <v>0</v>
      </c>
      <c r="G401" s="9" t="n">
        <v>0</v>
      </c>
      <c r="H401" s="9">
        <f>IF(D401="USD",E401*$L$1,E401)</f>
        <v/>
      </c>
      <c r="I401" s="9">
        <f>IF(D401="USD",F401*$L$1,F401)</f>
        <v/>
      </c>
      <c r="J401" s="9">
        <f>IF(D401="USD",G401*$L$1,G401)</f>
        <v/>
      </c>
    </row>
    <row r="402">
      <c r="A402" s="8" t="n">
        <v>46070</v>
      </c>
      <c r="B402" t="inlineStr">
        <is>
          <t>2026-W08</t>
        </is>
      </c>
      <c r="C402" t="inlineStr">
        <is>
          <t>Nuvei</t>
        </is>
      </c>
      <c r="D402" t="inlineStr">
        <is>
          <t>EUR</t>
        </is>
      </c>
      <c r="E402" s="9" t="n">
        <v>750387.26</v>
      </c>
      <c r="F402" s="9" t="n">
        <v>740260.85</v>
      </c>
      <c r="G402" s="9" t="n">
        <v>0</v>
      </c>
      <c r="H402" s="9">
        <f>IF(D402="USD",E402*$L$1,E402)</f>
        <v/>
      </c>
      <c r="I402" s="9">
        <f>IF(D402="USD",F402*$L$1,F402)</f>
        <v/>
      </c>
      <c r="J402" s="9">
        <f>IF(D402="USD",G402*$L$1,G402)</f>
        <v/>
      </c>
    </row>
    <row r="403">
      <c r="A403" s="8" t="n">
        <v>46070</v>
      </c>
      <c r="B403" t="inlineStr">
        <is>
          <t>2026-W08</t>
        </is>
      </c>
      <c r="C403" t="inlineStr">
        <is>
          <t>Nuvei</t>
        </is>
      </c>
      <c r="D403" t="inlineStr">
        <is>
          <t>EUR</t>
        </is>
      </c>
      <c r="E403" s="9" t="n">
        <v>76928.08</v>
      </c>
      <c r="F403" s="9" t="n">
        <v>74902.17</v>
      </c>
      <c r="G403" s="9" t="n">
        <v>0</v>
      </c>
      <c r="H403" s="9">
        <f>IF(D403="USD",E403*$L$1,E403)</f>
        <v/>
      </c>
      <c r="I403" s="9">
        <f>IF(D403="USD",F403*$L$1,F403)</f>
        <v/>
      </c>
      <c r="J403" s="9">
        <f>IF(D403="USD",G403*$L$1,G403)</f>
        <v/>
      </c>
    </row>
    <row r="404">
      <c r="A404" s="8" t="n">
        <v>46071</v>
      </c>
      <c r="B404" t="inlineStr">
        <is>
          <t>2026-W08</t>
        </is>
      </c>
      <c r="C404" t="inlineStr">
        <is>
          <t>Adyen</t>
        </is>
      </c>
      <c r="D404" t="inlineStr">
        <is>
          <t>EUR</t>
        </is>
      </c>
      <c r="E404" s="9" t="n">
        <v>424350.99</v>
      </c>
      <c r="F404" s="9" t="n">
        <v>0</v>
      </c>
      <c r="G404" s="9" t="n">
        <v>474661.75</v>
      </c>
      <c r="H404" s="9">
        <f>IF(D404="USD",E404*$L$1,E404)</f>
        <v/>
      </c>
      <c r="I404" s="9">
        <f>IF(D404="USD",F404*$L$1,F404)</f>
        <v/>
      </c>
      <c r="J404" s="9">
        <f>IF(D404="USD",G404*$L$1,G404)</f>
        <v/>
      </c>
    </row>
    <row r="405">
      <c r="A405" s="8" t="n">
        <v>46071</v>
      </c>
      <c r="B405" t="inlineStr">
        <is>
          <t>2026-W08</t>
        </is>
      </c>
      <c r="C405" t="inlineStr">
        <is>
          <t>Adyen</t>
        </is>
      </c>
      <c r="D405" t="inlineStr">
        <is>
          <t>EUR</t>
        </is>
      </c>
      <c r="E405" s="9" t="n">
        <v>55311.97</v>
      </c>
      <c r="F405" s="9" t="n">
        <v>0</v>
      </c>
      <c r="G405" s="9" t="n">
        <v>0</v>
      </c>
      <c r="H405" s="9">
        <f>IF(D405="USD",E405*$L$1,E405)</f>
        <v/>
      </c>
      <c r="I405" s="9">
        <f>IF(D405="USD",F405*$L$1,F405)</f>
        <v/>
      </c>
      <c r="J405" s="9">
        <f>IF(D405="USD",G405*$L$1,G405)</f>
        <v/>
      </c>
    </row>
    <row r="406">
      <c r="A406" s="8" t="n">
        <v>46071</v>
      </c>
      <c r="B406" t="inlineStr">
        <is>
          <t>2026-W08</t>
        </is>
      </c>
      <c r="C406" t="inlineStr">
        <is>
          <t>Nuvei</t>
        </is>
      </c>
      <c r="D406" t="inlineStr">
        <is>
          <t>EUR</t>
        </is>
      </c>
      <c r="E406" s="9" t="n">
        <v>824377.83</v>
      </c>
      <c r="F406" s="9" t="n">
        <v>813211.2699999999</v>
      </c>
      <c r="G406" s="9" t="n">
        <v>-1553445.13</v>
      </c>
      <c r="H406" s="9">
        <f>IF(D406="USD",E406*$L$1,E406)</f>
        <v/>
      </c>
      <c r="I406" s="9">
        <f>IF(D406="USD",F406*$L$1,F406)</f>
        <v/>
      </c>
      <c r="J406" s="9">
        <f>IF(D406="USD",G406*$L$1,G406)</f>
        <v/>
      </c>
    </row>
    <row r="407">
      <c r="A407" s="8" t="n">
        <v>46071</v>
      </c>
      <c r="B407" t="inlineStr">
        <is>
          <t>2026-W08</t>
        </is>
      </c>
      <c r="C407" t="inlineStr">
        <is>
          <t>Nuvei</t>
        </is>
      </c>
      <c r="D407" t="inlineStr">
        <is>
          <t>EUR</t>
        </is>
      </c>
      <c r="E407" s="9" t="n">
        <v>80483.77</v>
      </c>
      <c r="F407" s="9" t="n">
        <v>78467.91</v>
      </c>
      <c r="G407" s="9" t="n">
        <v>-153363.08</v>
      </c>
      <c r="H407" s="9">
        <f>IF(D407="USD",E407*$L$1,E407)</f>
        <v/>
      </c>
      <c r="I407" s="9">
        <f>IF(D407="USD",F407*$L$1,F407)</f>
        <v/>
      </c>
      <c r="J407" s="9">
        <f>IF(D407="USD",G407*$L$1,G407)</f>
        <v/>
      </c>
    </row>
    <row r="408">
      <c r="A408" s="8" t="n">
        <v>46072</v>
      </c>
      <c r="B408" t="inlineStr">
        <is>
          <t>2026-W08</t>
        </is>
      </c>
      <c r="C408" t="inlineStr">
        <is>
          <t>Adyen</t>
        </is>
      </c>
      <c r="D408" t="inlineStr">
        <is>
          <t>EUR</t>
        </is>
      </c>
      <c r="E408" s="9" t="n">
        <v>436598.82</v>
      </c>
      <c r="F408" s="9" t="n">
        <v>0</v>
      </c>
      <c r="G408" s="9" t="n">
        <v>484987.67</v>
      </c>
      <c r="H408" s="9">
        <f>IF(D408="USD",E408*$L$1,E408)</f>
        <v/>
      </c>
      <c r="I408" s="9">
        <f>IF(D408="USD",F408*$L$1,F408)</f>
        <v/>
      </c>
      <c r="J408" s="9">
        <f>IF(D408="USD",G408*$L$1,G408)</f>
        <v/>
      </c>
    </row>
    <row r="409">
      <c r="A409" s="8" t="n">
        <v>46072</v>
      </c>
      <c r="B409" t="inlineStr">
        <is>
          <t>2026-W08</t>
        </is>
      </c>
      <c r="C409" t="inlineStr">
        <is>
          <t>Adyen</t>
        </is>
      </c>
      <c r="D409" t="inlineStr">
        <is>
          <t>EUR</t>
        </is>
      </c>
      <c r="E409" s="9" t="n">
        <v>53833.93</v>
      </c>
      <c r="F409" s="9" t="n">
        <v>0</v>
      </c>
      <c r="G409" s="9" t="n">
        <v>0</v>
      </c>
      <c r="H409" s="9">
        <f>IF(D409="USD",E409*$L$1,E409)</f>
        <v/>
      </c>
      <c r="I409" s="9">
        <f>IF(D409="USD",F409*$L$1,F409)</f>
        <v/>
      </c>
      <c r="J409" s="9">
        <f>IF(D409="USD",G409*$L$1,G409)</f>
        <v/>
      </c>
    </row>
    <row r="410">
      <c r="A410" s="8" t="n">
        <v>46072</v>
      </c>
      <c r="B410" t="inlineStr">
        <is>
          <t>2026-W08</t>
        </is>
      </c>
      <c r="C410" t="inlineStr">
        <is>
          <t>Nuvei</t>
        </is>
      </c>
      <c r="D410" t="inlineStr">
        <is>
          <t>EUR</t>
        </is>
      </c>
      <c r="E410" s="9" t="n">
        <v>789172.97</v>
      </c>
      <c r="F410" s="9" t="n">
        <v>779200.39</v>
      </c>
      <c r="G410" s="9" t="n">
        <v>-779196.89</v>
      </c>
      <c r="H410" s="9">
        <f>IF(D410="USD",E410*$L$1,E410)</f>
        <v/>
      </c>
      <c r="I410" s="9">
        <f>IF(D410="USD",F410*$L$1,F410)</f>
        <v/>
      </c>
      <c r="J410" s="9">
        <f>IF(D410="USD",G410*$L$1,G410)</f>
        <v/>
      </c>
    </row>
    <row r="411">
      <c r="A411" s="8" t="n">
        <v>46072</v>
      </c>
      <c r="B411" t="inlineStr">
        <is>
          <t>2026-W08</t>
        </is>
      </c>
      <c r="C411" t="inlineStr">
        <is>
          <t>Nuvei</t>
        </is>
      </c>
      <c r="D411" t="inlineStr">
        <is>
          <t>EUR</t>
        </is>
      </c>
      <c r="E411" s="9" t="n">
        <v>80969.44</v>
      </c>
      <c r="F411" s="9" t="n">
        <v>78893.73</v>
      </c>
      <c r="G411" s="9" t="n">
        <v>-78890.23</v>
      </c>
      <c r="H411" s="9">
        <f>IF(D411="USD",E411*$L$1,E411)</f>
        <v/>
      </c>
      <c r="I411" s="9">
        <f>IF(D411="USD",F411*$L$1,F411)</f>
        <v/>
      </c>
      <c r="J411" s="9">
        <f>IF(D411="USD",G411*$L$1,G411)</f>
        <v/>
      </c>
    </row>
    <row r="412">
      <c r="A412" s="8" t="n">
        <v>46073</v>
      </c>
      <c r="B412" t="inlineStr">
        <is>
          <t>2026-W08</t>
        </is>
      </c>
      <c r="C412" t="inlineStr">
        <is>
          <t>Adyen</t>
        </is>
      </c>
      <c r="D412" t="inlineStr">
        <is>
          <t>EUR</t>
        </is>
      </c>
      <c r="E412" s="9" t="n">
        <v>414022.29</v>
      </c>
      <c r="F412" s="9" t="n">
        <v>0</v>
      </c>
      <c r="G412" s="9" t="n">
        <v>1022095.42</v>
      </c>
      <c r="H412" s="9">
        <f>IF(D412="USD",E412*$L$1,E412)</f>
        <v/>
      </c>
      <c r="I412" s="9">
        <f>IF(D412="USD",F412*$L$1,F412)</f>
        <v/>
      </c>
      <c r="J412" s="9">
        <f>IF(D412="USD",G412*$L$1,G412)</f>
        <v/>
      </c>
    </row>
    <row r="413">
      <c r="A413" s="8" t="n">
        <v>46073</v>
      </c>
      <c r="B413" t="inlineStr">
        <is>
          <t>2026-W08</t>
        </is>
      </c>
      <c r="C413" t="inlineStr">
        <is>
          <t>Adyen</t>
        </is>
      </c>
      <c r="D413" t="inlineStr">
        <is>
          <t>EUR</t>
        </is>
      </c>
      <c r="E413" s="9" t="n">
        <v>50576.03</v>
      </c>
      <c r="F413" s="9" t="n">
        <v>0</v>
      </c>
      <c r="G413" s="9" t="n">
        <v>0</v>
      </c>
      <c r="H413" s="9">
        <f>IF(D413="USD",E413*$L$1,E413)</f>
        <v/>
      </c>
      <c r="I413" s="9">
        <f>IF(D413="USD",F413*$L$1,F413)</f>
        <v/>
      </c>
      <c r="J413" s="9">
        <f>IF(D413="USD",G413*$L$1,G413)</f>
        <v/>
      </c>
    </row>
    <row r="414">
      <c r="A414" s="8" t="n">
        <v>46073</v>
      </c>
      <c r="B414" t="inlineStr">
        <is>
          <t>2026-W08</t>
        </is>
      </c>
      <c r="C414" t="inlineStr">
        <is>
          <t>Nuvei</t>
        </is>
      </c>
      <c r="D414" t="inlineStr">
        <is>
          <t>EUR</t>
        </is>
      </c>
      <c r="E414" s="9" t="n">
        <v>723249.95</v>
      </c>
      <c r="F414" s="9" t="n">
        <v>713650.01</v>
      </c>
      <c r="G414" s="9" t="n">
        <v>-713646.51</v>
      </c>
      <c r="H414" s="9">
        <f>IF(D414="USD",E414*$L$1,E414)</f>
        <v/>
      </c>
      <c r="I414" s="9">
        <f>IF(D414="USD",F414*$L$1,F414)</f>
        <v/>
      </c>
      <c r="J414" s="9">
        <f>IF(D414="USD",G414*$L$1,G414)</f>
        <v/>
      </c>
    </row>
    <row r="415">
      <c r="A415" s="8" t="n">
        <v>46073</v>
      </c>
      <c r="B415" t="inlineStr">
        <is>
          <t>2026-W08</t>
        </is>
      </c>
      <c r="C415" t="inlineStr">
        <is>
          <t>Nuvei</t>
        </is>
      </c>
      <c r="D415" t="inlineStr">
        <is>
          <t>EUR</t>
        </is>
      </c>
      <c r="E415" s="9" t="n">
        <v>65513.79</v>
      </c>
      <c r="F415" s="9" t="n">
        <v>63794.5</v>
      </c>
      <c r="G415" s="9" t="n">
        <v>-63790.99</v>
      </c>
      <c r="H415" s="9">
        <f>IF(D415="USD",E415*$L$1,E415)</f>
        <v/>
      </c>
      <c r="I415" s="9">
        <f>IF(D415="USD",F415*$L$1,F415)</f>
        <v/>
      </c>
      <c r="J415" s="9">
        <f>IF(D415="USD",G415*$L$1,G415)</f>
        <v/>
      </c>
    </row>
    <row r="416">
      <c r="A416" s="8" t="n">
        <v>46074</v>
      </c>
      <c r="B416" t="inlineStr">
        <is>
          <t>2026-W08</t>
        </is>
      </c>
      <c r="C416" t="inlineStr">
        <is>
          <t>Adyen</t>
        </is>
      </c>
      <c r="D416" t="inlineStr">
        <is>
          <t>EUR</t>
        </is>
      </c>
      <c r="E416" s="9" t="n">
        <v>255326.58</v>
      </c>
      <c r="F416" s="9" t="n">
        <v>0</v>
      </c>
      <c r="G416" s="9" t="n">
        <v>0</v>
      </c>
      <c r="H416" s="9">
        <f>IF(D416="USD",E416*$L$1,E416)</f>
        <v/>
      </c>
      <c r="I416" s="9">
        <f>IF(D416="USD",F416*$L$1,F416)</f>
        <v/>
      </c>
      <c r="J416" s="9">
        <f>IF(D416="USD",G416*$L$1,G416)</f>
        <v/>
      </c>
    </row>
    <row r="417">
      <c r="A417" s="8" t="n">
        <v>46074</v>
      </c>
      <c r="B417" t="inlineStr">
        <is>
          <t>2026-W08</t>
        </is>
      </c>
      <c r="C417" t="inlineStr">
        <is>
          <t>Adyen</t>
        </is>
      </c>
      <c r="D417" t="inlineStr">
        <is>
          <t>EUR</t>
        </is>
      </c>
      <c r="E417" s="9" t="n">
        <v>30986.88</v>
      </c>
      <c r="F417" s="9" t="n">
        <v>0</v>
      </c>
      <c r="G417" s="9" t="n">
        <v>0</v>
      </c>
      <c r="H417" s="9">
        <f>IF(D417="USD",E417*$L$1,E417)</f>
        <v/>
      </c>
      <c r="I417" s="9">
        <f>IF(D417="USD",F417*$L$1,F417)</f>
        <v/>
      </c>
      <c r="J417" s="9">
        <f>IF(D417="USD",G417*$L$1,G417)</f>
        <v/>
      </c>
    </row>
    <row r="418">
      <c r="A418" s="8" t="n">
        <v>46074</v>
      </c>
      <c r="B418" t="inlineStr">
        <is>
          <t>2026-W08</t>
        </is>
      </c>
      <c r="C418" t="inlineStr">
        <is>
          <t>Nuvei</t>
        </is>
      </c>
      <c r="D418" t="inlineStr">
        <is>
          <t>EUR</t>
        </is>
      </c>
      <c r="E418" s="9" t="n">
        <v>714792.28</v>
      </c>
      <c r="F418" s="9" t="n">
        <v>706326.97</v>
      </c>
      <c r="G418" s="9" t="n">
        <v>0</v>
      </c>
      <c r="H418" s="9">
        <f>IF(D418="USD",E418*$L$1,E418)</f>
        <v/>
      </c>
      <c r="I418" s="9">
        <f>IF(D418="USD",F418*$L$1,F418)</f>
        <v/>
      </c>
      <c r="J418" s="9">
        <f>IF(D418="USD",G418*$L$1,G418)</f>
        <v/>
      </c>
    </row>
    <row r="419">
      <c r="A419" s="8" t="n">
        <v>46074</v>
      </c>
      <c r="B419" t="inlineStr">
        <is>
          <t>2026-W08</t>
        </is>
      </c>
      <c r="C419" t="inlineStr">
        <is>
          <t>Nuvei</t>
        </is>
      </c>
      <c r="D419" t="inlineStr">
        <is>
          <t>EUR</t>
        </is>
      </c>
      <c r="E419" s="9" t="n">
        <v>66133.64999999999</v>
      </c>
      <c r="F419" s="9" t="n">
        <v>64424.53999999999</v>
      </c>
      <c r="G419" s="9" t="n">
        <v>0</v>
      </c>
      <c r="H419" s="9">
        <f>IF(D419="USD",E419*$L$1,E419)</f>
        <v/>
      </c>
      <c r="I419" s="9">
        <f>IF(D419="USD",F419*$L$1,F419)</f>
        <v/>
      </c>
      <c r="J419" s="9">
        <f>IF(D419="USD",G419*$L$1,G419)</f>
        <v/>
      </c>
    </row>
    <row r="420">
      <c r="A420" s="8" t="n">
        <v>46075</v>
      </c>
      <c r="B420" t="inlineStr">
        <is>
          <t>2026-W08</t>
        </is>
      </c>
      <c r="C420" t="inlineStr">
        <is>
          <t>Adyen</t>
        </is>
      </c>
      <c r="D420" t="inlineStr">
        <is>
          <t>EUR</t>
        </is>
      </c>
      <c r="E420" s="9" t="n">
        <v>258789.24</v>
      </c>
      <c r="F420" s="9" t="n">
        <v>0</v>
      </c>
      <c r="G420" s="9" t="n">
        <v>0</v>
      </c>
      <c r="H420" s="9">
        <f>IF(D420="USD",E420*$L$1,E420)</f>
        <v/>
      </c>
      <c r="I420" s="9">
        <f>IF(D420="USD",F420*$L$1,F420)</f>
        <v/>
      </c>
      <c r="J420" s="9">
        <f>IF(D420="USD",G420*$L$1,G420)</f>
        <v/>
      </c>
    </row>
    <row r="421">
      <c r="A421" s="8" t="n">
        <v>46075</v>
      </c>
      <c r="B421" t="inlineStr">
        <is>
          <t>2026-W08</t>
        </is>
      </c>
      <c r="C421" t="inlineStr">
        <is>
          <t>Adyen</t>
        </is>
      </c>
      <c r="D421" t="inlineStr">
        <is>
          <t>EUR</t>
        </is>
      </c>
      <c r="E421" s="9" t="n">
        <v>24333.23</v>
      </c>
      <c r="F421" s="9" t="n">
        <v>0</v>
      </c>
      <c r="G421" s="9" t="n">
        <v>0</v>
      </c>
      <c r="H421" s="9">
        <f>IF(D421="USD",E421*$L$1,E421)</f>
        <v/>
      </c>
      <c r="I421" s="9">
        <f>IF(D421="USD",F421*$L$1,F421)</f>
        <v/>
      </c>
      <c r="J421" s="9">
        <f>IF(D421="USD",G421*$L$1,G421)</f>
        <v/>
      </c>
    </row>
    <row r="422">
      <c r="A422" s="8" t="n">
        <v>46075</v>
      </c>
      <c r="B422" t="inlineStr">
        <is>
          <t>2026-W08</t>
        </is>
      </c>
      <c r="C422" t="inlineStr">
        <is>
          <t>Nuvei</t>
        </is>
      </c>
      <c r="D422" t="inlineStr">
        <is>
          <t>EUR</t>
        </is>
      </c>
      <c r="E422" s="9" t="n">
        <v>813287.28</v>
      </c>
      <c r="F422" s="9" t="n">
        <v>803978.13</v>
      </c>
      <c r="G422" s="9" t="n">
        <v>0</v>
      </c>
      <c r="H422" s="9">
        <f>IF(D422="USD",E422*$L$1,E422)</f>
        <v/>
      </c>
      <c r="I422" s="9">
        <f>IF(D422="USD",F422*$L$1,F422)</f>
        <v/>
      </c>
      <c r="J422" s="9">
        <f>IF(D422="USD",G422*$L$1,G422)</f>
        <v/>
      </c>
    </row>
    <row r="423">
      <c r="A423" s="8" t="n">
        <v>46075</v>
      </c>
      <c r="B423" t="inlineStr">
        <is>
          <t>2026-W08</t>
        </is>
      </c>
      <c r="C423" t="inlineStr">
        <is>
          <t>Nuvei</t>
        </is>
      </c>
      <c r="D423" t="inlineStr">
        <is>
          <t>EUR</t>
        </is>
      </c>
      <c r="E423" s="9" t="n">
        <v>58329.53</v>
      </c>
      <c r="F423" s="9" t="n">
        <v>56809.69</v>
      </c>
      <c r="G423" s="9" t="n">
        <v>0</v>
      </c>
      <c r="H423" s="9">
        <f>IF(D423="USD",E423*$L$1,E423)</f>
        <v/>
      </c>
      <c r="I423" s="9">
        <f>IF(D423="USD",F423*$L$1,F423)</f>
        <v/>
      </c>
      <c r="J423" s="9">
        <f>IF(D423="USD",G423*$L$1,G423)</f>
        <v/>
      </c>
    </row>
    <row r="424">
      <c r="A424" s="8" t="n">
        <v>46076</v>
      </c>
      <c r="B424" t="inlineStr">
        <is>
          <t>2026-W09</t>
        </is>
      </c>
      <c r="C424" t="inlineStr">
        <is>
          <t>Adyen</t>
        </is>
      </c>
      <c r="D424" t="inlineStr">
        <is>
          <t>EUR</t>
        </is>
      </c>
      <c r="E424" s="9" t="n">
        <v>458201.83</v>
      </c>
      <c r="F424" s="9" t="n">
        <v>0</v>
      </c>
      <c r="G424" s="9" t="n">
        <v>511779</v>
      </c>
      <c r="H424" s="9">
        <f>IF(D424="USD",E424*$L$1,E424)</f>
        <v/>
      </c>
      <c r="I424" s="9">
        <f>IF(D424="USD",F424*$L$1,F424)</f>
        <v/>
      </c>
      <c r="J424" s="9">
        <f>IF(D424="USD",G424*$L$1,G424)</f>
        <v/>
      </c>
    </row>
    <row r="425">
      <c r="A425" s="8" t="n">
        <v>46076</v>
      </c>
      <c r="B425" t="inlineStr">
        <is>
          <t>2026-W09</t>
        </is>
      </c>
      <c r="C425" t="inlineStr">
        <is>
          <t>Adyen</t>
        </is>
      </c>
      <c r="D425" t="inlineStr">
        <is>
          <t>EUR</t>
        </is>
      </c>
      <c r="E425" s="9" t="n">
        <v>60320.6</v>
      </c>
      <c r="F425" s="9" t="n">
        <v>0</v>
      </c>
      <c r="G425" s="9" t="n">
        <v>0</v>
      </c>
      <c r="H425" s="9">
        <f>IF(D425="USD",E425*$L$1,E425)</f>
        <v/>
      </c>
      <c r="I425" s="9">
        <f>IF(D425="USD",F425*$L$1,F425)</f>
        <v/>
      </c>
      <c r="J425" s="9">
        <f>IF(D425="USD",G425*$L$1,G425)</f>
        <v/>
      </c>
    </row>
    <row r="426">
      <c r="A426" s="8" t="n">
        <v>46076</v>
      </c>
      <c r="B426" t="inlineStr">
        <is>
          <t>2026-W09</t>
        </is>
      </c>
      <c r="C426" t="inlineStr">
        <is>
          <t>Nuvei</t>
        </is>
      </c>
      <c r="D426" t="inlineStr">
        <is>
          <t>EUR</t>
        </is>
      </c>
      <c r="E426" s="9" t="n">
        <v>761163.0699999999</v>
      </c>
      <c r="F426" s="9" t="n">
        <v>751461.6399999999</v>
      </c>
      <c r="G426" s="9" t="n">
        <v>-2261766.75</v>
      </c>
      <c r="H426" s="9">
        <f>IF(D426="USD",E426*$L$1,E426)</f>
        <v/>
      </c>
      <c r="I426" s="9">
        <f>IF(D426="USD",F426*$L$1,F426)</f>
        <v/>
      </c>
      <c r="J426" s="9">
        <f>IF(D426="USD",G426*$L$1,G426)</f>
        <v/>
      </c>
    </row>
    <row r="427">
      <c r="A427" s="8" t="n">
        <v>46076</v>
      </c>
      <c r="B427" t="inlineStr">
        <is>
          <t>2026-W09</t>
        </is>
      </c>
      <c r="C427" t="inlineStr">
        <is>
          <t>Nuvei</t>
        </is>
      </c>
      <c r="D427" t="inlineStr">
        <is>
          <t>EUR</t>
        </is>
      </c>
      <c r="E427" s="9" t="n">
        <v>73193.34</v>
      </c>
      <c r="F427" s="9" t="n">
        <v>71322.78</v>
      </c>
      <c r="G427" s="9" t="n">
        <v>-192557.01</v>
      </c>
      <c r="H427" s="9">
        <f>IF(D427="USD",E427*$L$1,E427)</f>
        <v/>
      </c>
      <c r="I427" s="9">
        <f>IF(D427="USD",F427*$L$1,F427)</f>
        <v/>
      </c>
      <c r="J427" s="9">
        <f>IF(D427="USD",G427*$L$1,G427)</f>
        <v/>
      </c>
    </row>
    <row r="428">
      <c r="A428" s="8" t="n">
        <v>46077</v>
      </c>
      <c r="B428" t="inlineStr">
        <is>
          <t>2026-W09</t>
        </is>
      </c>
      <c r="C428" t="inlineStr">
        <is>
          <t>Adyen</t>
        </is>
      </c>
      <c r="D428" t="inlineStr">
        <is>
          <t>EUR</t>
        </is>
      </c>
      <c r="E428" s="9" t="n">
        <v>457622.8</v>
      </c>
      <c r="F428" s="9" t="n">
        <v>0</v>
      </c>
      <c r="G428" s="9" t="n">
        <v>500167.85</v>
      </c>
      <c r="H428" s="9">
        <f>IF(D428="USD",E428*$L$1,E428)</f>
        <v/>
      </c>
      <c r="I428" s="9">
        <f>IF(D428="USD",F428*$L$1,F428)</f>
        <v/>
      </c>
      <c r="J428" s="9">
        <f>IF(D428="USD",G428*$L$1,G428)</f>
        <v/>
      </c>
    </row>
    <row r="429">
      <c r="A429" s="8" t="n">
        <v>46077</v>
      </c>
      <c r="B429" t="inlineStr">
        <is>
          <t>2026-W09</t>
        </is>
      </c>
      <c r="C429" t="inlineStr">
        <is>
          <t>Adyen</t>
        </is>
      </c>
      <c r="D429" t="inlineStr">
        <is>
          <t>EUR</t>
        </is>
      </c>
      <c r="E429" s="9" t="n">
        <v>51303.74</v>
      </c>
      <c r="F429" s="9" t="n">
        <v>0</v>
      </c>
      <c r="G429" s="9" t="n">
        <v>0</v>
      </c>
      <c r="H429" s="9">
        <f>IF(D429="USD",E429*$L$1,E429)</f>
        <v/>
      </c>
      <c r="I429" s="9">
        <f>IF(D429="USD",F429*$L$1,F429)</f>
        <v/>
      </c>
      <c r="J429" s="9">
        <f>IF(D429="USD",G429*$L$1,G429)</f>
        <v/>
      </c>
    </row>
    <row r="430">
      <c r="A430" s="8" t="n">
        <v>46077</v>
      </c>
      <c r="B430" t="inlineStr">
        <is>
          <t>2026-W09</t>
        </is>
      </c>
      <c r="C430" t="inlineStr">
        <is>
          <t>Nuvei</t>
        </is>
      </c>
      <c r="D430" t="inlineStr">
        <is>
          <t>EUR</t>
        </is>
      </c>
      <c r="E430" s="9" t="n">
        <v>845592.63</v>
      </c>
      <c r="F430" s="9" t="n">
        <v>834872.55</v>
      </c>
      <c r="G430" s="9" t="n">
        <v>-834869.0600000001</v>
      </c>
      <c r="H430" s="9">
        <f>IF(D430="USD",E430*$L$1,E430)</f>
        <v/>
      </c>
      <c r="I430" s="9">
        <f>IF(D430="USD",F430*$L$1,F430)</f>
        <v/>
      </c>
      <c r="J430" s="9">
        <f>IF(D430="USD",G430*$L$1,G430)</f>
        <v/>
      </c>
    </row>
    <row r="431">
      <c r="A431" s="8" t="n">
        <v>46077</v>
      </c>
      <c r="B431" t="inlineStr">
        <is>
          <t>2026-W09</t>
        </is>
      </c>
      <c r="C431" t="inlineStr">
        <is>
          <t>Nuvei</t>
        </is>
      </c>
      <c r="D431" t="inlineStr">
        <is>
          <t>EUR</t>
        </is>
      </c>
      <c r="E431" s="9" t="n">
        <v>90883.35000000001</v>
      </c>
      <c r="F431" s="9" t="n">
        <v>88460.3</v>
      </c>
      <c r="G431" s="9" t="n">
        <v>-88456.8</v>
      </c>
      <c r="H431" s="9">
        <f>IF(D431="USD",E431*$L$1,E431)</f>
        <v/>
      </c>
      <c r="I431" s="9">
        <f>IF(D431="USD",F431*$L$1,F431)</f>
        <v/>
      </c>
      <c r="J431" s="9">
        <f>IF(D431="USD",G431*$L$1,G431)</f>
        <v/>
      </c>
    </row>
    <row r="432">
      <c r="A432" s="8" t="n">
        <v>46078</v>
      </c>
      <c r="B432" t="inlineStr">
        <is>
          <t>2026-W09</t>
        </is>
      </c>
      <c r="C432" t="inlineStr">
        <is>
          <t>Adyen</t>
        </is>
      </c>
      <c r="D432" t="inlineStr">
        <is>
          <t>EUR</t>
        </is>
      </c>
      <c r="E432" s="9" t="n">
        <v>458930.91</v>
      </c>
      <c r="F432" s="9" t="n">
        <v>0</v>
      </c>
      <c r="G432" s="9" t="n">
        <v>511832.92</v>
      </c>
      <c r="H432" s="9">
        <f>IF(D432="USD",E432*$L$1,E432)</f>
        <v/>
      </c>
      <c r="I432" s="9">
        <f>IF(D432="USD",F432*$L$1,F432)</f>
        <v/>
      </c>
      <c r="J432" s="9">
        <f>IF(D432="USD",G432*$L$1,G432)</f>
        <v/>
      </c>
    </row>
    <row r="433">
      <c r="A433" s="8" t="n">
        <v>46078</v>
      </c>
      <c r="B433" t="inlineStr">
        <is>
          <t>2026-W09</t>
        </is>
      </c>
      <c r="C433" t="inlineStr">
        <is>
          <t>Adyen</t>
        </is>
      </c>
      <c r="D433" t="inlineStr">
        <is>
          <t>EUR</t>
        </is>
      </c>
      <c r="E433" s="9" t="n">
        <v>56589.57</v>
      </c>
      <c r="F433" s="9" t="n">
        <v>0</v>
      </c>
      <c r="G433" s="9" t="n">
        <v>0</v>
      </c>
      <c r="H433" s="9">
        <f>IF(D433="USD",E433*$L$1,E433)</f>
        <v/>
      </c>
      <c r="I433" s="9">
        <f>IF(D433="USD",F433*$L$1,F433)</f>
        <v/>
      </c>
      <c r="J433" s="9">
        <f>IF(D433="USD",G433*$L$1,G433)</f>
        <v/>
      </c>
    </row>
    <row r="434">
      <c r="A434" s="8" t="n">
        <v>46078</v>
      </c>
      <c r="B434" t="inlineStr">
        <is>
          <t>2026-W09</t>
        </is>
      </c>
      <c r="C434" t="inlineStr">
        <is>
          <t>Nuvei</t>
        </is>
      </c>
      <c r="D434" t="inlineStr">
        <is>
          <t>EUR</t>
        </is>
      </c>
      <c r="E434" s="9" t="n">
        <v>834339.83</v>
      </c>
      <c r="F434" s="9" t="n">
        <v>824307.62</v>
      </c>
      <c r="G434" s="9" t="n">
        <v>-833334.6899999999</v>
      </c>
      <c r="H434" s="9">
        <f>IF(D434="USD",E434*$L$1,E434)</f>
        <v/>
      </c>
      <c r="I434" s="9">
        <f>IF(D434="USD",F434*$L$1,F434)</f>
        <v/>
      </c>
      <c r="J434" s="9">
        <f>IF(D434="USD",G434*$L$1,G434)</f>
        <v/>
      </c>
    </row>
    <row r="435">
      <c r="A435" s="8" t="n">
        <v>46078</v>
      </c>
      <c r="B435" t="inlineStr">
        <is>
          <t>2026-W09</t>
        </is>
      </c>
      <c r="C435" t="inlineStr">
        <is>
          <t>Nuvei</t>
        </is>
      </c>
      <c r="D435" t="inlineStr">
        <is>
          <t>EUR</t>
        </is>
      </c>
      <c r="E435" s="9" t="n">
        <v>95656.89999999999</v>
      </c>
      <c r="F435" s="9" t="n">
        <v>93169.75999999999</v>
      </c>
      <c r="G435" s="9" t="n">
        <v>-94216.67999999999</v>
      </c>
      <c r="H435" s="9">
        <f>IF(D435="USD",E435*$L$1,E435)</f>
        <v/>
      </c>
      <c r="I435" s="9">
        <f>IF(D435="USD",F435*$L$1,F435)</f>
        <v/>
      </c>
      <c r="J435" s="9">
        <f>IF(D435="USD",G435*$L$1,G435)</f>
        <v/>
      </c>
    </row>
    <row r="436">
      <c r="A436" s="8" t="n">
        <v>46079</v>
      </c>
      <c r="B436" t="inlineStr">
        <is>
          <t>2026-W09</t>
        </is>
      </c>
      <c r="C436" t="inlineStr">
        <is>
          <t>Adyen</t>
        </is>
      </c>
      <c r="D436" t="inlineStr">
        <is>
          <t>EUR</t>
        </is>
      </c>
      <c r="E436" s="9" t="n">
        <v>445708.4</v>
      </c>
      <c r="F436" s="9" t="n">
        <v>0</v>
      </c>
      <c r="G436" s="9" t="n">
        <v>479453.14</v>
      </c>
      <c r="H436" s="9">
        <f>IF(D436="USD",E436*$L$1,E436)</f>
        <v/>
      </c>
      <c r="I436" s="9">
        <f>IF(D436="USD",F436*$L$1,F436)</f>
        <v/>
      </c>
      <c r="J436" s="9">
        <f>IF(D436="USD",G436*$L$1,G436)</f>
        <v/>
      </c>
    </row>
    <row r="437">
      <c r="A437" s="8" t="n">
        <v>46079</v>
      </c>
      <c r="B437" t="inlineStr">
        <is>
          <t>2026-W09</t>
        </is>
      </c>
      <c r="C437" t="inlineStr">
        <is>
          <t>Adyen</t>
        </is>
      </c>
      <c r="D437" t="inlineStr">
        <is>
          <t>EUR</t>
        </is>
      </c>
      <c r="E437" s="9" t="n">
        <v>38307.45</v>
      </c>
      <c r="F437" s="9" t="n">
        <v>0</v>
      </c>
      <c r="G437" s="9" t="n">
        <v>0</v>
      </c>
      <c r="H437" s="9">
        <f>IF(D437="USD",E437*$L$1,E437)</f>
        <v/>
      </c>
      <c r="I437" s="9">
        <f>IF(D437="USD",F437*$L$1,F437)</f>
        <v/>
      </c>
      <c r="J437" s="9">
        <f>IF(D437="USD",G437*$L$1,G437)</f>
        <v/>
      </c>
    </row>
    <row r="438">
      <c r="A438" s="8" t="n">
        <v>46079</v>
      </c>
      <c r="B438" t="inlineStr">
        <is>
          <t>2026-W09</t>
        </is>
      </c>
      <c r="C438" t="inlineStr">
        <is>
          <t>Nuvei</t>
        </is>
      </c>
      <c r="D438" t="inlineStr">
        <is>
          <t>EUR</t>
        </is>
      </c>
      <c r="E438" s="9" t="n">
        <v>918831.15</v>
      </c>
      <c r="F438" s="9" t="n">
        <v>907280.05</v>
      </c>
      <c r="G438" s="9" t="n">
        <v>-907276.55</v>
      </c>
      <c r="H438" s="9">
        <f>IF(D438="USD",E438*$L$1,E438)</f>
        <v/>
      </c>
      <c r="I438" s="9">
        <f>IF(D438="USD",F438*$L$1,F438)</f>
        <v/>
      </c>
      <c r="J438" s="9">
        <f>IF(D438="USD",G438*$L$1,G438)</f>
        <v/>
      </c>
    </row>
    <row r="439">
      <c r="A439" s="8" t="n">
        <v>46079</v>
      </c>
      <c r="B439" t="inlineStr">
        <is>
          <t>2026-W09</t>
        </is>
      </c>
      <c r="C439" t="inlineStr">
        <is>
          <t>Nuvei</t>
        </is>
      </c>
      <c r="D439" t="inlineStr">
        <is>
          <t>EUR</t>
        </is>
      </c>
      <c r="E439" s="9" t="n">
        <v>74674.07000000001</v>
      </c>
      <c r="F439" s="9" t="n">
        <v>72704.61</v>
      </c>
      <c r="G439" s="9" t="n">
        <v>-72701.12</v>
      </c>
      <c r="H439" s="9">
        <f>IF(D439="USD",E439*$L$1,E439)</f>
        <v/>
      </c>
      <c r="I439" s="9">
        <f>IF(D439="USD",F439*$L$1,F439)</f>
        <v/>
      </c>
      <c r="J439" s="9">
        <f>IF(D439="USD",G439*$L$1,G439)</f>
        <v/>
      </c>
    </row>
    <row r="440">
      <c r="A440" s="8" t="n">
        <v>46080</v>
      </c>
      <c r="B440" t="inlineStr">
        <is>
          <t>2026-W09</t>
        </is>
      </c>
      <c r="C440" t="inlineStr">
        <is>
          <t>Adyen</t>
        </is>
      </c>
      <c r="D440" t="inlineStr">
        <is>
          <t>EUR</t>
        </is>
      </c>
      <c r="E440" s="9" t="n">
        <v>454688.9</v>
      </c>
      <c r="F440" s="9" t="n">
        <v>0</v>
      </c>
      <c r="G440" s="9" t="n">
        <v>1229400.46</v>
      </c>
      <c r="H440" s="9">
        <f>IF(D440="USD",E440*$L$1,E440)</f>
        <v/>
      </c>
      <c r="I440" s="9">
        <f>IF(D440="USD",F440*$L$1,F440)</f>
        <v/>
      </c>
      <c r="J440" s="9">
        <f>IF(D440="USD",G440*$L$1,G440)</f>
        <v/>
      </c>
    </row>
    <row r="441">
      <c r="A441" s="8" t="n">
        <v>46080</v>
      </c>
      <c r="B441" t="inlineStr">
        <is>
          <t>2026-W09</t>
        </is>
      </c>
      <c r="C441" t="inlineStr">
        <is>
          <t>Adyen</t>
        </is>
      </c>
      <c r="D441" t="inlineStr">
        <is>
          <t>EUR</t>
        </is>
      </c>
      <c r="E441" s="9" t="n">
        <v>58555.58</v>
      </c>
      <c r="F441" s="9" t="n">
        <v>0</v>
      </c>
      <c r="G441" s="9" t="n">
        <v>0</v>
      </c>
      <c r="H441" s="9">
        <f>IF(D441="USD",E441*$L$1,E441)</f>
        <v/>
      </c>
      <c r="I441" s="9">
        <f>IF(D441="USD",F441*$L$1,F441)</f>
        <v/>
      </c>
      <c r="J441" s="9">
        <f>IF(D441="USD",G441*$L$1,G441)</f>
        <v/>
      </c>
    </row>
    <row r="442">
      <c r="A442" s="8" t="n">
        <v>46080</v>
      </c>
      <c r="B442" t="inlineStr">
        <is>
          <t>2026-W09</t>
        </is>
      </c>
      <c r="C442" t="inlineStr">
        <is>
          <t>Nuvei</t>
        </is>
      </c>
      <c r="D442" t="inlineStr">
        <is>
          <t>EUR</t>
        </is>
      </c>
      <c r="E442" s="9" t="n">
        <v>757539.36</v>
      </c>
      <c r="F442" s="9" t="n">
        <v>747658.86</v>
      </c>
      <c r="G442" s="9" t="n">
        <v>-747655.36</v>
      </c>
      <c r="H442" s="9">
        <f>IF(D442="USD",E442*$L$1,E442)</f>
        <v/>
      </c>
      <c r="I442" s="9">
        <f>IF(D442="USD",F442*$L$1,F442)</f>
        <v/>
      </c>
      <c r="J442" s="9">
        <f>IF(D442="USD",G442*$L$1,G442)</f>
        <v/>
      </c>
    </row>
    <row r="443">
      <c r="A443" s="8" t="n">
        <v>46080</v>
      </c>
      <c r="B443" t="inlineStr">
        <is>
          <t>2026-W09</t>
        </is>
      </c>
      <c r="C443" t="inlineStr">
        <is>
          <t>Nuvei</t>
        </is>
      </c>
      <c r="D443" t="inlineStr">
        <is>
          <t>EUR</t>
        </is>
      </c>
      <c r="E443" s="9" t="n">
        <v>114724.06</v>
      </c>
      <c r="F443" s="9" t="n">
        <v>111648.41</v>
      </c>
      <c r="G443" s="9" t="n">
        <v>-111644.92</v>
      </c>
      <c r="H443" s="9">
        <f>IF(D443="USD",E443*$L$1,E443)</f>
        <v/>
      </c>
      <c r="I443" s="9">
        <f>IF(D443="USD",F443*$L$1,F443)</f>
        <v/>
      </c>
      <c r="J443" s="9">
        <f>IF(D443="USD",G443*$L$1,G443)</f>
        <v/>
      </c>
    </row>
    <row r="444">
      <c r="A444" s="8" t="n">
        <v>46081</v>
      </c>
      <c r="B444" t="inlineStr">
        <is>
          <t>2026-W09</t>
        </is>
      </c>
      <c r="C444" t="inlineStr">
        <is>
          <t>Adyen</t>
        </is>
      </c>
      <c r="D444" t="inlineStr">
        <is>
          <t>EUR</t>
        </is>
      </c>
      <c r="E444" s="9" t="n">
        <v>299358.09</v>
      </c>
      <c r="F444" s="9" t="n">
        <v>0</v>
      </c>
      <c r="G444" s="9" t="n">
        <v>0</v>
      </c>
      <c r="H444" s="9">
        <f>IF(D444="USD",E444*$L$1,E444)</f>
        <v/>
      </c>
      <c r="I444" s="9">
        <f>IF(D444="USD",F444*$L$1,F444)</f>
        <v/>
      </c>
      <c r="J444" s="9">
        <f>IF(D444="USD",G444*$L$1,G444)</f>
        <v/>
      </c>
    </row>
    <row r="445">
      <c r="A445" s="8" t="n">
        <v>46081</v>
      </c>
      <c r="B445" t="inlineStr">
        <is>
          <t>2026-W09</t>
        </is>
      </c>
      <c r="C445" t="inlineStr">
        <is>
          <t>Adyen</t>
        </is>
      </c>
      <c r="D445" t="inlineStr">
        <is>
          <t>EUR</t>
        </is>
      </c>
      <c r="E445" s="9" t="n">
        <v>33525.96</v>
      </c>
      <c r="F445" s="9" t="n">
        <v>0</v>
      </c>
      <c r="G445" s="9" t="n">
        <v>0</v>
      </c>
      <c r="H445" s="9">
        <f>IF(D445="USD",E445*$L$1,E445)</f>
        <v/>
      </c>
      <c r="I445" s="9">
        <f>IF(D445="USD",F445*$L$1,F445)</f>
        <v/>
      </c>
      <c r="J445" s="9">
        <f>IF(D445="USD",G445*$L$1,G445)</f>
        <v/>
      </c>
    </row>
    <row r="446">
      <c r="A446" s="8" t="n">
        <v>46081</v>
      </c>
      <c r="B446" t="inlineStr">
        <is>
          <t>2026-W09</t>
        </is>
      </c>
      <c r="C446" t="inlineStr">
        <is>
          <t>Nuvei</t>
        </is>
      </c>
      <c r="D446" t="inlineStr">
        <is>
          <t>EUR</t>
        </is>
      </c>
      <c r="E446" s="9" t="n">
        <v>824321.2</v>
      </c>
      <c r="F446" s="9" t="n">
        <v>814007.9099999999</v>
      </c>
      <c r="G446" s="9" t="n">
        <v>0</v>
      </c>
      <c r="H446" s="9">
        <f>IF(D446="USD",E446*$L$1,E446)</f>
        <v/>
      </c>
      <c r="I446" s="9">
        <f>IF(D446="USD",F446*$L$1,F446)</f>
        <v/>
      </c>
      <c r="J446" s="9">
        <f>IF(D446="USD",G446*$L$1,G446)</f>
        <v/>
      </c>
    </row>
    <row r="447">
      <c r="A447" s="8" t="n">
        <v>46081</v>
      </c>
      <c r="B447" t="inlineStr">
        <is>
          <t>2026-W09</t>
        </is>
      </c>
      <c r="C447" t="inlineStr">
        <is>
          <t>Nuvei</t>
        </is>
      </c>
      <c r="D447" t="inlineStr">
        <is>
          <t>EUR</t>
        </is>
      </c>
      <c r="E447" s="9" t="n">
        <v>108838.26</v>
      </c>
      <c r="F447" s="9" t="n">
        <v>105982.92</v>
      </c>
      <c r="G447" s="9" t="n">
        <v>0</v>
      </c>
      <c r="H447" s="9">
        <f>IF(D447="USD",E447*$L$1,E447)</f>
        <v/>
      </c>
      <c r="I447" s="9">
        <f>IF(D447="USD",F447*$L$1,F447)</f>
        <v/>
      </c>
      <c r="J447" s="9">
        <f>IF(D447="USD",G447*$L$1,G447)</f>
        <v/>
      </c>
    </row>
    <row r="448">
      <c r="A448" s="8" t="n">
        <v>46082</v>
      </c>
      <c r="B448" t="inlineStr">
        <is>
          <t>2026-W09</t>
        </is>
      </c>
      <c r="C448" t="inlineStr">
        <is>
          <t>Adyen</t>
        </is>
      </c>
      <c r="D448" t="inlineStr">
        <is>
          <t>EUR</t>
        </is>
      </c>
      <c r="E448" s="9" t="n">
        <v>358589.7</v>
      </c>
      <c r="F448" s="9" t="n">
        <v>0</v>
      </c>
      <c r="G448" s="9" t="n">
        <v>0</v>
      </c>
      <c r="H448" s="9">
        <f>IF(D448="USD",E448*$L$1,E448)</f>
        <v/>
      </c>
      <c r="I448" s="9">
        <f>IF(D448="USD",F448*$L$1,F448)</f>
        <v/>
      </c>
      <c r="J448" s="9">
        <f>IF(D448="USD",G448*$L$1,G448)</f>
        <v/>
      </c>
    </row>
    <row r="449">
      <c r="A449" s="8" t="n">
        <v>46082</v>
      </c>
      <c r="B449" t="inlineStr">
        <is>
          <t>2026-W09</t>
        </is>
      </c>
      <c r="C449" t="inlineStr">
        <is>
          <t>Adyen</t>
        </is>
      </c>
      <c r="D449" t="inlineStr">
        <is>
          <t>EUR</t>
        </is>
      </c>
      <c r="E449" s="9" t="n">
        <v>31396.11</v>
      </c>
      <c r="F449" s="9" t="n">
        <v>0</v>
      </c>
      <c r="G449" s="9" t="n">
        <v>0</v>
      </c>
      <c r="H449" s="9">
        <f>IF(D449="USD",E449*$L$1,E449)</f>
        <v/>
      </c>
      <c r="I449" s="9">
        <f>IF(D449="USD",F449*$L$1,F449)</f>
        <v/>
      </c>
      <c r="J449" s="9">
        <f>IF(D449="USD",G449*$L$1,G449)</f>
        <v/>
      </c>
    </row>
    <row r="450">
      <c r="A450" s="8" t="n">
        <v>46082</v>
      </c>
      <c r="B450" t="inlineStr">
        <is>
          <t>2026-W09</t>
        </is>
      </c>
      <c r="C450" t="inlineStr">
        <is>
          <t>Nuvei</t>
        </is>
      </c>
      <c r="D450" t="inlineStr">
        <is>
          <t>EUR</t>
        </is>
      </c>
      <c r="E450" s="9" t="n">
        <v>783593.8100000001</v>
      </c>
      <c r="F450" s="9" t="n">
        <v>773702.4600000001</v>
      </c>
      <c r="G450" s="9" t="n">
        <v>0</v>
      </c>
      <c r="H450" s="9">
        <f>IF(D450="USD",E450*$L$1,E450)</f>
        <v/>
      </c>
      <c r="I450" s="9">
        <f>IF(D450="USD",F450*$L$1,F450)</f>
        <v/>
      </c>
      <c r="J450" s="9">
        <f>IF(D450="USD",G450*$L$1,G450)</f>
        <v/>
      </c>
    </row>
    <row r="451">
      <c r="A451" s="8" t="n">
        <v>46082</v>
      </c>
      <c r="B451" t="inlineStr">
        <is>
          <t>2026-W09</t>
        </is>
      </c>
      <c r="C451" t="inlineStr">
        <is>
          <t>Nuvei</t>
        </is>
      </c>
      <c r="D451" t="inlineStr">
        <is>
          <t>EUR</t>
        </is>
      </c>
      <c r="E451" s="9" t="n">
        <v>79484.2</v>
      </c>
      <c r="F451" s="9" t="n">
        <v>77380.06</v>
      </c>
      <c r="G451" s="9" t="n">
        <v>0</v>
      </c>
      <c r="H451" s="9">
        <f>IF(D451="USD",E451*$L$1,E451)</f>
        <v/>
      </c>
      <c r="I451" s="9">
        <f>IF(D451="USD",F451*$L$1,F451)</f>
        <v/>
      </c>
      <c r="J451" s="9">
        <f>IF(D451="USD",G451*$L$1,G451)</f>
        <v/>
      </c>
    </row>
    <row r="452">
      <c r="A452" s="8" t="n">
        <v>46083</v>
      </c>
      <c r="B452" t="inlineStr">
        <is>
          <t>2026-W10</t>
        </is>
      </c>
      <c r="C452" t="inlineStr">
        <is>
          <t>Adyen</t>
        </is>
      </c>
      <c r="D452" t="inlineStr">
        <is>
          <t>EUR</t>
        </is>
      </c>
      <c r="E452" s="9" t="n">
        <v>567748.66</v>
      </c>
      <c r="F452" s="9" t="n">
        <v>0</v>
      </c>
      <c r="G452" s="9" t="n">
        <v>638995.76</v>
      </c>
      <c r="H452" s="9">
        <f>IF(D452="USD",E452*$L$1,E452)</f>
        <v/>
      </c>
      <c r="I452" s="9">
        <f>IF(D452="USD",F452*$L$1,F452)</f>
        <v/>
      </c>
      <c r="J452" s="9">
        <f>IF(D452="USD",G452*$L$1,G452)</f>
        <v/>
      </c>
    </row>
    <row r="453">
      <c r="A453" s="8" t="n">
        <v>46083</v>
      </c>
      <c r="B453" t="inlineStr">
        <is>
          <t>2026-W10</t>
        </is>
      </c>
      <c r="C453" t="inlineStr">
        <is>
          <t>Adyen</t>
        </is>
      </c>
      <c r="D453" t="inlineStr">
        <is>
          <t>EUR</t>
        </is>
      </c>
      <c r="E453" s="9" t="n">
        <v>76586.91</v>
      </c>
      <c r="F453" s="9" t="n">
        <v>0</v>
      </c>
      <c r="G453" s="9" t="n">
        <v>0</v>
      </c>
      <c r="H453" s="9">
        <f>IF(D453="USD",E453*$L$1,E453)</f>
        <v/>
      </c>
      <c r="I453" s="9">
        <f>IF(D453="USD",F453*$L$1,F453)</f>
        <v/>
      </c>
      <c r="J453" s="9">
        <f>IF(D453="USD",G453*$L$1,G453)</f>
        <v/>
      </c>
    </row>
    <row r="454">
      <c r="A454" s="8" t="n">
        <v>46083</v>
      </c>
      <c r="B454" t="inlineStr">
        <is>
          <t>2026-W10</t>
        </is>
      </c>
      <c r="C454" t="inlineStr">
        <is>
          <t>Nuvei</t>
        </is>
      </c>
      <c r="D454" t="inlineStr">
        <is>
          <t>EUR</t>
        </is>
      </c>
      <c r="E454" s="9" t="n">
        <v>988976.3199999999</v>
      </c>
      <c r="F454" s="9" t="n">
        <v>976327.0299999999</v>
      </c>
      <c r="G454" s="9" t="n">
        <v>-2564033.91</v>
      </c>
      <c r="H454" s="9">
        <f>IF(D454="USD",E454*$L$1,E454)</f>
        <v/>
      </c>
      <c r="I454" s="9">
        <f>IF(D454="USD",F454*$L$1,F454)</f>
        <v/>
      </c>
      <c r="J454" s="9">
        <f>IF(D454="USD",G454*$L$1,G454)</f>
        <v/>
      </c>
    </row>
    <row r="455">
      <c r="A455" s="8" t="n">
        <v>46083</v>
      </c>
      <c r="B455" t="inlineStr">
        <is>
          <t>2026-W10</t>
        </is>
      </c>
      <c r="C455" t="inlineStr">
        <is>
          <t>Nuvei</t>
        </is>
      </c>
      <c r="D455" t="inlineStr">
        <is>
          <t>EUR</t>
        </is>
      </c>
      <c r="E455" s="9" t="n">
        <v>99385.89</v>
      </c>
      <c r="F455" s="9" t="n">
        <v>96738.97</v>
      </c>
      <c r="G455" s="9" t="n">
        <v>-280098.45</v>
      </c>
      <c r="H455" s="9">
        <f>IF(D455="USD",E455*$L$1,E455)</f>
        <v/>
      </c>
      <c r="I455" s="9">
        <f>IF(D455="USD",F455*$L$1,F455)</f>
        <v/>
      </c>
      <c r="J455" s="9">
        <f>IF(D455="USD",G455*$L$1,G455)</f>
        <v/>
      </c>
    </row>
    <row r="456">
      <c r="A456" s="8" t="n">
        <v>46084</v>
      </c>
      <c r="B456" t="inlineStr">
        <is>
          <t>2026-W10</t>
        </is>
      </c>
      <c r="C456" t="inlineStr">
        <is>
          <t>Adyen</t>
        </is>
      </c>
      <c r="D456" t="inlineStr">
        <is>
          <t>EUR</t>
        </is>
      </c>
      <c r="E456" s="9" t="n">
        <v>582717.87</v>
      </c>
      <c r="F456" s="9" t="n">
        <v>0</v>
      </c>
      <c r="G456" s="9" t="n">
        <v>644301.9299999999</v>
      </c>
      <c r="H456" s="9">
        <f>IF(D456="USD",E456*$L$1,E456)</f>
        <v/>
      </c>
      <c r="I456" s="9">
        <f>IF(D456="USD",F456*$L$1,F456)</f>
        <v/>
      </c>
      <c r="J456" s="9">
        <f>IF(D456="USD",G456*$L$1,G456)</f>
        <v/>
      </c>
    </row>
    <row r="457">
      <c r="A457" s="8" t="n">
        <v>46084</v>
      </c>
      <c r="B457" t="inlineStr">
        <is>
          <t>2026-W10</t>
        </is>
      </c>
      <c r="C457" t="inlineStr">
        <is>
          <t>Adyen</t>
        </is>
      </c>
      <c r="D457" t="inlineStr">
        <is>
          <t>EUR</t>
        </is>
      </c>
      <c r="E457" s="9" t="n">
        <v>66730.94</v>
      </c>
      <c r="F457" s="9" t="n">
        <v>0</v>
      </c>
      <c r="G457" s="9" t="n">
        <v>0</v>
      </c>
      <c r="H457" s="9">
        <f>IF(D457="USD",E457*$L$1,E457)</f>
        <v/>
      </c>
      <c r="I457" s="9">
        <f>IF(D457="USD",F457*$L$1,F457)</f>
        <v/>
      </c>
      <c r="J457" s="9">
        <f>IF(D457="USD",G457*$L$1,G457)</f>
        <v/>
      </c>
    </row>
    <row r="458">
      <c r="A458" s="8" t="n">
        <v>46084</v>
      </c>
      <c r="B458" t="inlineStr">
        <is>
          <t>2026-W10</t>
        </is>
      </c>
      <c r="C458" t="inlineStr">
        <is>
          <t>Nuvei</t>
        </is>
      </c>
      <c r="D458" t="inlineStr">
        <is>
          <t>EUR</t>
        </is>
      </c>
      <c r="E458" s="9" t="n">
        <v>906807.92</v>
      </c>
      <c r="F458" s="9" t="n">
        <v>893790</v>
      </c>
      <c r="G458" s="9" t="n">
        <v>-893786.5</v>
      </c>
      <c r="H458" s="9">
        <f>IF(D458="USD",E458*$L$1,E458)</f>
        <v/>
      </c>
      <c r="I458" s="9">
        <f>IF(D458="USD",F458*$L$1,F458)</f>
        <v/>
      </c>
      <c r="J458" s="9">
        <f>IF(D458="USD",G458*$L$1,G458)</f>
        <v/>
      </c>
    </row>
    <row r="459">
      <c r="A459" s="8" t="n">
        <v>46084</v>
      </c>
      <c r="B459" t="inlineStr">
        <is>
          <t>2026-W10</t>
        </is>
      </c>
      <c r="C459" t="inlineStr">
        <is>
          <t>Nuvei</t>
        </is>
      </c>
      <c r="D459" t="inlineStr">
        <is>
          <t>EUR</t>
        </is>
      </c>
      <c r="E459" s="9" t="n">
        <v>68842.69</v>
      </c>
      <c r="F459" s="9" t="n">
        <v>66975.74000000001</v>
      </c>
      <c r="G459" s="9" t="n">
        <v>-66972.24000000001</v>
      </c>
      <c r="H459" s="9">
        <f>IF(D459="USD",E459*$L$1,E459)</f>
        <v/>
      </c>
      <c r="I459" s="9">
        <f>IF(D459="USD",F459*$L$1,F459)</f>
        <v/>
      </c>
      <c r="J459" s="9">
        <f>IF(D459="USD",G459*$L$1,G459)</f>
        <v/>
      </c>
    </row>
    <row r="460">
      <c r="A460" s="8" t="n">
        <v>46085</v>
      </c>
      <c r="B460" t="inlineStr">
        <is>
          <t>2026-W10</t>
        </is>
      </c>
      <c r="C460" t="inlineStr">
        <is>
          <t>Adyen</t>
        </is>
      </c>
      <c r="D460" t="inlineStr">
        <is>
          <t>EUR</t>
        </is>
      </c>
      <c r="E460" s="9" t="n">
        <v>574439.9399999999</v>
      </c>
      <c r="F460" s="9" t="n">
        <v>0</v>
      </c>
      <c r="G460" s="9" t="n">
        <v>642934.61</v>
      </c>
      <c r="H460" s="9">
        <f>IF(D460="USD",E460*$L$1,E460)</f>
        <v/>
      </c>
      <c r="I460" s="9">
        <f>IF(D460="USD",F460*$L$1,F460)</f>
        <v/>
      </c>
      <c r="J460" s="9">
        <f>IF(D460="USD",G460*$L$1,G460)</f>
        <v/>
      </c>
    </row>
    <row r="461">
      <c r="A461" s="8" t="n">
        <v>46085</v>
      </c>
      <c r="B461" t="inlineStr">
        <is>
          <t>2026-W10</t>
        </is>
      </c>
      <c r="C461" t="inlineStr">
        <is>
          <t>Adyen</t>
        </is>
      </c>
      <c r="D461" t="inlineStr">
        <is>
          <t>EUR</t>
        </is>
      </c>
      <c r="E461" s="9" t="n">
        <v>74631.82000000001</v>
      </c>
      <c r="F461" s="9" t="n">
        <v>0</v>
      </c>
      <c r="G461" s="9" t="n">
        <v>0</v>
      </c>
      <c r="H461" s="9">
        <f>IF(D461="USD",E461*$L$1,E461)</f>
        <v/>
      </c>
      <c r="I461" s="9">
        <f>IF(D461="USD",F461*$L$1,F461)</f>
        <v/>
      </c>
      <c r="J461" s="9">
        <f>IF(D461="USD",G461*$L$1,G461)</f>
        <v/>
      </c>
    </row>
    <row r="462">
      <c r="A462" s="8" t="n">
        <v>46085</v>
      </c>
      <c r="B462" t="inlineStr">
        <is>
          <t>2026-W10</t>
        </is>
      </c>
      <c r="C462" t="inlineStr">
        <is>
          <t>Nuvei</t>
        </is>
      </c>
      <c r="D462" t="inlineStr">
        <is>
          <t>EUR</t>
        </is>
      </c>
      <c r="E462" s="9" t="n">
        <v>1026313.14</v>
      </c>
      <c r="F462" s="9" t="n">
        <v>1012433.83</v>
      </c>
      <c r="G462" s="9" t="n">
        <v>-1012430.33</v>
      </c>
      <c r="H462" s="9">
        <f>IF(D462="USD",E462*$L$1,E462)</f>
        <v/>
      </c>
      <c r="I462" s="9">
        <f>IF(D462="USD",F462*$L$1,F462)</f>
        <v/>
      </c>
      <c r="J462" s="9">
        <f>IF(D462="USD",G462*$L$1,G462)</f>
        <v/>
      </c>
    </row>
    <row r="463">
      <c r="A463" s="8" t="n">
        <v>46085</v>
      </c>
      <c r="B463" t="inlineStr">
        <is>
          <t>2026-W10</t>
        </is>
      </c>
      <c r="C463" t="inlineStr">
        <is>
          <t>Nuvei</t>
        </is>
      </c>
      <c r="D463" t="inlineStr">
        <is>
          <t>EUR</t>
        </is>
      </c>
      <c r="E463" s="9" t="n">
        <v>64116.93</v>
      </c>
      <c r="F463" s="9" t="n">
        <v>62388.48</v>
      </c>
      <c r="G463" s="9" t="n">
        <v>-62384.98</v>
      </c>
      <c r="H463" s="9">
        <f>IF(D463="USD",E463*$L$1,E463)</f>
        <v/>
      </c>
      <c r="I463" s="9">
        <f>IF(D463="USD",F463*$L$1,F463)</f>
        <v/>
      </c>
      <c r="J463" s="9">
        <f>IF(D463="USD",G463*$L$1,G463)</f>
        <v/>
      </c>
    </row>
    <row r="464">
      <c r="A464" s="8" t="n">
        <v>46086</v>
      </c>
      <c r="B464" t="inlineStr">
        <is>
          <t>2026-W10</t>
        </is>
      </c>
      <c r="C464" t="inlineStr">
        <is>
          <t>Adyen</t>
        </is>
      </c>
      <c r="D464" t="inlineStr">
        <is>
          <t>EUR</t>
        </is>
      </c>
      <c r="E464" s="9" t="n">
        <v>544428.76</v>
      </c>
      <c r="F464" s="9" t="n">
        <v>0</v>
      </c>
      <c r="G464" s="9" t="n">
        <v>606856.74</v>
      </c>
      <c r="H464" s="9">
        <f>IF(D464="USD",E464*$L$1,E464)</f>
        <v/>
      </c>
      <c r="I464" s="9">
        <f>IF(D464="USD",F464*$L$1,F464)</f>
        <v/>
      </c>
      <c r="J464" s="9">
        <f>IF(D464="USD",G464*$L$1,G464)</f>
        <v/>
      </c>
    </row>
    <row r="465">
      <c r="A465" s="8" t="n">
        <v>46086</v>
      </c>
      <c r="B465" t="inlineStr">
        <is>
          <t>2026-W10</t>
        </is>
      </c>
      <c r="C465" t="inlineStr">
        <is>
          <t>Adyen</t>
        </is>
      </c>
      <c r="D465" t="inlineStr">
        <is>
          <t>EUR</t>
        </is>
      </c>
      <c r="E465" s="9" t="n">
        <v>71892.14</v>
      </c>
      <c r="F465" s="9" t="n">
        <v>0</v>
      </c>
      <c r="G465" s="9" t="n">
        <v>0</v>
      </c>
      <c r="H465" s="9">
        <f>IF(D465="USD",E465*$L$1,E465)</f>
        <v/>
      </c>
      <c r="I465" s="9">
        <f>IF(D465="USD",F465*$L$1,F465)</f>
        <v/>
      </c>
      <c r="J465" s="9">
        <f>IF(D465="USD",G465*$L$1,G465)</f>
        <v/>
      </c>
    </row>
    <row r="466">
      <c r="A466" s="8" t="n">
        <v>46086</v>
      </c>
      <c r="B466" t="inlineStr">
        <is>
          <t>2026-W10</t>
        </is>
      </c>
      <c r="C466" t="inlineStr">
        <is>
          <t>Nuvei</t>
        </is>
      </c>
      <c r="D466" t="inlineStr">
        <is>
          <t>EUR</t>
        </is>
      </c>
      <c r="E466" s="9" t="n">
        <v>1086054.67</v>
      </c>
      <c r="F466" s="9" t="n">
        <v>1072453.78</v>
      </c>
      <c r="G466" s="9" t="n">
        <v>-1072450.29</v>
      </c>
      <c r="H466" s="9">
        <f>IF(D466="USD",E466*$L$1,E466)</f>
        <v/>
      </c>
      <c r="I466" s="9">
        <f>IF(D466="USD",F466*$L$1,F466)</f>
        <v/>
      </c>
      <c r="J466" s="9">
        <f>IF(D466="USD",G466*$L$1,G466)</f>
        <v/>
      </c>
    </row>
    <row r="467">
      <c r="A467" s="8" t="n">
        <v>46086</v>
      </c>
      <c r="B467" t="inlineStr">
        <is>
          <t>2026-W10</t>
        </is>
      </c>
      <c r="C467" t="inlineStr">
        <is>
          <t>Nuvei</t>
        </is>
      </c>
      <c r="D467" t="inlineStr">
        <is>
          <t>EUR</t>
        </is>
      </c>
      <c r="E467" s="9" t="n">
        <v>62911.44</v>
      </c>
      <c r="F467" s="9" t="n">
        <v>61214.33</v>
      </c>
      <c r="G467" s="9" t="n">
        <v>-61210.83</v>
      </c>
      <c r="H467" s="9">
        <f>IF(D467="USD",E467*$L$1,E467)</f>
        <v/>
      </c>
      <c r="I467" s="9">
        <f>IF(D467="USD",F467*$L$1,F467)</f>
        <v/>
      </c>
      <c r="J467" s="9">
        <f>IF(D467="USD",G467*$L$1,G467)</f>
        <v/>
      </c>
    </row>
    <row r="468">
      <c r="A468" s="8" t="n">
        <v>46087</v>
      </c>
      <c r="B468" t="inlineStr">
        <is>
          <t>2026-W10</t>
        </is>
      </c>
      <c r="C468" t="inlineStr">
        <is>
          <t>Adyen</t>
        </is>
      </c>
      <c r="D468" t="inlineStr">
        <is>
          <t>EUR</t>
        </is>
      </c>
      <c r="E468" s="9" t="n">
        <v>511778.74</v>
      </c>
      <c r="F468" s="9" t="n">
        <v>0</v>
      </c>
      <c r="G468" s="9" t="n">
        <v>1361767.45</v>
      </c>
      <c r="H468" s="9">
        <f>IF(D468="USD",E468*$L$1,E468)</f>
        <v/>
      </c>
      <c r="I468" s="9">
        <f>IF(D468="USD",F468*$L$1,F468)</f>
        <v/>
      </c>
      <c r="J468" s="9">
        <f>IF(D468="USD",G468*$L$1,G468)</f>
        <v/>
      </c>
    </row>
    <row r="469">
      <c r="A469" s="8" t="n">
        <v>46087</v>
      </c>
      <c r="B469" t="inlineStr">
        <is>
          <t>2026-W10</t>
        </is>
      </c>
      <c r="C469" t="inlineStr">
        <is>
          <t>Adyen</t>
        </is>
      </c>
      <c r="D469" t="inlineStr">
        <is>
          <t>EUR</t>
        </is>
      </c>
      <c r="E469" s="9" t="n">
        <v>68584.53999999999</v>
      </c>
      <c r="F469" s="9" t="n">
        <v>0</v>
      </c>
      <c r="G469" s="9" t="n">
        <v>0</v>
      </c>
      <c r="H469" s="9">
        <f>IF(D469="USD",E469*$L$1,E469)</f>
        <v/>
      </c>
      <c r="I469" s="9">
        <f>IF(D469="USD",F469*$L$1,F469)</f>
        <v/>
      </c>
      <c r="J469" s="9">
        <f>IF(D469="USD",G469*$L$1,G469)</f>
        <v/>
      </c>
    </row>
    <row r="470">
      <c r="A470" s="8" t="n">
        <v>46087</v>
      </c>
      <c r="B470" t="inlineStr">
        <is>
          <t>2026-W10</t>
        </is>
      </c>
      <c r="C470" t="inlineStr">
        <is>
          <t>Nuvei</t>
        </is>
      </c>
      <c r="D470" t="inlineStr">
        <is>
          <t>EUR</t>
        </is>
      </c>
      <c r="E470" s="9" t="n">
        <v>928953.97</v>
      </c>
      <c r="F470" s="9" t="n">
        <v>916544.48</v>
      </c>
      <c r="G470" s="9" t="n">
        <v>-916540.99</v>
      </c>
      <c r="H470" s="9">
        <f>IF(D470="USD",E470*$L$1,E470)</f>
        <v/>
      </c>
      <c r="I470" s="9">
        <f>IF(D470="USD",F470*$L$1,F470)</f>
        <v/>
      </c>
      <c r="J470" s="9">
        <f>IF(D470="USD",G470*$L$1,G470)</f>
        <v/>
      </c>
    </row>
    <row r="471">
      <c r="A471" s="8" t="n">
        <v>46087</v>
      </c>
      <c r="B471" t="inlineStr">
        <is>
          <t>2026-W10</t>
        </is>
      </c>
      <c r="C471" t="inlineStr">
        <is>
          <t>Nuvei</t>
        </is>
      </c>
      <c r="D471" t="inlineStr">
        <is>
          <t>EUR</t>
        </is>
      </c>
      <c r="E471" s="9" t="n">
        <v>65380.88</v>
      </c>
      <c r="F471" s="9" t="n">
        <v>63706.11</v>
      </c>
      <c r="G471" s="9" t="n">
        <v>-63702.61</v>
      </c>
      <c r="H471" s="9">
        <f>IF(D471="USD",E471*$L$1,E471)</f>
        <v/>
      </c>
      <c r="I471" s="9">
        <f>IF(D471="USD",F471*$L$1,F471)</f>
        <v/>
      </c>
      <c r="J471" s="9">
        <f>IF(D471="USD",G471*$L$1,G471)</f>
        <v/>
      </c>
    </row>
    <row r="472">
      <c r="A472" s="8" t="n">
        <v>46088</v>
      </c>
      <c r="B472" t="inlineStr">
        <is>
          <t>2026-W10</t>
        </is>
      </c>
      <c r="C472" t="inlineStr">
        <is>
          <t>Adyen</t>
        </is>
      </c>
      <c r="D472" t="inlineStr">
        <is>
          <t>EUR</t>
        </is>
      </c>
      <c r="E472" s="9" t="n">
        <v>335935.09</v>
      </c>
      <c r="F472" s="9" t="n">
        <v>0</v>
      </c>
      <c r="G472" s="9" t="n">
        <v>0</v>
      </c>
      <c r="H472" s="9">
        <f>IF(D472="USD",E472*$L$1,E472)</f>
        <v/>
      </c>
      <c r="I472" s="9">
        <f>IF(D472="USD",F472*$L$1,F472)</f>
        <v/>
      </c>
      <c r="J472" s="9">
        <f>IF(D472="USD",G472*$L$1,G472)</f>
        <v/>
      </c>
    </row>
    <row r="473">
      <c r="A473" s="8" t="n">
        <v>46088</v>
      </c>
      <c r="B473" t="inlineStr">
        <is>
          <t>2026-W10</t>
        </is>
      </c>
      <c r="C473" t="inlineStr">
        <is>
          <t>Adyen</t>
        </is>
      </c>
      <c r="D473" t="inlineStr">
        <is>
          <t>EUR</t>
        </is>
      </c>
      <c r="E473" s="9" t="n">
        <v>58833.78</v>
      </c>
      <c r="F473" s="9" t="n">
        <v>0</v>
      </c>
      <c r="G473" s="9" t="n">
        <v>0</v>
      </c>
      <c r="H473" s="9">
        <f>IF(D473="USD",E473*$L$1,E473)</f>
        <v/>
      </c>
      <c r="I473" s="9">
        <f>IF(D473="USD",F473*$L$1,F473)</f>
        <v/>
      </c>
      <c r="J473" s="9">
        <f>IF(D473="USD",G473*$L$1,G473)</f>
        <v/>
      </c>
    </row>
    <row r="474">
      <c r="A474" s="8" t="n">
        <v>46088</v>
      </c>
      <c r="B474" t="inlineStr">
        <is>
          <t>2026-W10</t>
        </is>
      </c>
      <c r="C474" t="inlineStr">
        <is>
          <t>Nuvei</t>
        </is>
      </c>
      <c r="D474" t="inlineStr">
        <is>
          <t>EUR</t>
        </is>
      </c>
      <c r="E474" s="9" t="n">
        <v>878132.0600000001</v>
      </c>
      <c r="F474" s="9" t="n">
        <v>866954.3500000001</v>
      </c>
      <c r="G474" s="9" t="n">
        <v>0</v>
      </c>
      <c r="H474" s="9">
        <f>IF(D474="USD",E474*$L$1,E474)</f>
        <v/>
      </c>
      <c r="I474" s="9">
        <f>IF(D474="USD",F474*$L$1,F474)</f>
        <v/>
      </c>
      <c r="J474" s="9">
        <f>IF(D474="USD",G474*$L$1,G474)</f>
        <v/>
      </c>
    </row>
    <row r="475">
      <c r="A475" s="8" t="n">
        <v>46088</v>
      </c>
      <c r="B475" t="inlineStr">
        <is>
          <t>2026-W10</t>
        </is>
      </c>
      <c r="C475" t="inlineStr">
        <is>
          <t>Nuvei</t>
        </is>
      </c>
      <c r="D475" t="inlineStr">
        <is>
          <t>EUR</t>
        </is>
      </c>
      <c r="E475" s="9" t="n">
        <v>50330.94</v>
      </c>
      <c r="F475" s="9" t="n">
        <v>49059.68</v>
      </c>
      <c r="G475" s="9" t="n">
        <v>0</v>
      </c>
      <c r="H475" s="9">
        <f>IF(D475="USD",E475*$L$1,E475)</f>
        <v/>
      </c>
      <c r="I475" s="9">
        <f>IF(D475="USD",F475*$L$1,F475)</f>
        <v/>
      </c>
      <c r="J475" s="9">
        <f>IF(D475="USD",G475*$L$1,G475)</f>
        <v/>
      </c>
    </row>
    <row r="476">
      <c r="A476" s="8" t="n">
        <v>46089</v>
      </c>
      <c r="B476" t="inlineStr">
        <is>
          <t>2026-W10</t>
        </is>
      </c>
      <c r="C476" t="inlineStr">
        <is>
          <t>Adyen</t>
        </is>
      </c>
      <c r="D476" t="inlineStr">
        <is>
          <t>EUR</t>
        </is>
      </c>
      <c r="E476" s="9" t="n">
        <v>356966.86</v>
      </c>
      <c r="F476" s="9" t="n">
        <v>0</v>
      </c>
      <c r="G476" s="9" t="n">
        <v>0</v>
      </c>
      <c r="H476" s="9">
        <f>IF(D476="USD",E476*$L$1,E476)</f>
        <v/>
      </c>
      <c r="I476" s="9">
        <f>IF(D476="USD",F476*$L$1,F476)</f>
        <v/>
      </c>
      <c r="J476" s="9">
        <f>IF(D476="USD",G476*$L$1,G476)</f>
        <v/>
      </c>
    </row>
    <row r="477">
      <c r="A477" s="8" t="n">
        <v>46089</v>
      </c>
      <c r="B477" t="inlineStr">
        <is>
          <t>2026-W10</t>
        </is>
      </c>
      <c r="C477" t="inlineStr">
        <is>
          <t>Adyen</t>
        </is>
      </c>
      <c r="D477" t="inlineStr">
        <is>
          <t>EUR</t>
        </is>
      </c>
      <c r="E477" s="9" t="n">
        <v>40691.29</v>
      </c>
      <c r="F477" s="9" t="n">
        <v>0</v>
      </c>
      <c r="G477" s="9" t="n">
        <v>0</v>
      </c>
      <c r="H477" s="9">
        <f>IF(D477="USD",E477*$L$1,E477)</f>
        <v/>
      </c>
      <c r="I477" s="9">
        <f>IF(D477="USD",F477*$L$1,F477)</f>
        <v/>
      </c>
      <c r="J477" s="9">
        <f>IF(D477="USD",G477*$L$1,G477)</f>
        <v/>
      </c>
    </row>
    <row r="478">
      <c r="A478" s="8" t="n">
        <v>46089</v>
      </c>
      <c r="B478" t="inlineStr">
        <is>
          <t>2026-W10</t>
        </is>
      </c>
      <c r="C478" t="inlineStr">
        <is>
          <t>Nuvei</t>
        </is>
      </c>
      <c r="D478" t="inlineStr">
        <is>
          <t>EUR</t>
        </is>
      </c>
      <c r="E478" s="9" t="n">
        <v>831969.2</v>
      </c>
      <c r="F478" s="9" t="n">
        <v>822218.5699999999</v>
      </c>
      <c r="G478" s="9" t="n">
        <v>0</v>
      </c>
      <c r="H478" s="9">
        <f>IF(D478="USD",E478*$L$1,E478)</f>
        <v/>
      </c>
      <c r="I478" s="9">
        <f>IF(D478="USD",F478*$L$1,F478)</f>
        <v/>
      </c>
      <c r="J478" s="9">
        <f>IF(D478="USD",G478*$L$1,G478)</f>
        <v/>
      </c>
    </row>
    <row r="479">
      <c r="A479" s="8" t="n">
        <v>46089</v>
      </c>
      <c r="B479" t="inlineStr">
        <is>
          <t>2026-W10</t>
        </is>
      </c>
      <c r="C479" t="inlineStr">
        <is>
          <t>Nuvei</t>
        </is>
      </c>
      <c r="D479" t="inlineStr">
        <is>
          <t>EUR</t>
        </is>
      </c>
      <c r="E479" s="9" t="n">
        <v>24321.09</v>
      </c>
      <c r="F479" s="9" t="n">
        <v>23681.95</v>
      </c>
      <c r="G479" s="9" t="n">
        <v>0</v>
      </c>
      <c r="H479" s="9">
        <f>IF(D479="USD",E479*$L$1,E479)</f>
        <v/>
      </c>
      <c r="I479" s="9">
        <f>IF(D479="USD",F479*$L$1,F479)</f>
        <v/>
      </c>
      <c r="J479" s="9">
        <f>IF(D479="USD",G479*$L$1,G479)</f>
        <v/>
      </c>
    </row>
    <row r="480">
      <c r="A480" s="8" t="n">
        <v>46090</v>
      </c>
      <c r="B480" t="inlineStr">
        <is>
          <t>2026-W11</t>
        </is>
      </c>
      <c r="C480" t="inlineStr">
        <is>
          <t>Adyen</t>
        </is>
      </c>
      <c r="D480" t="inlineStr">
        <is>
          <t>EUR</t>
        </is>
      </c>
      <c r="E480" s="9" t="n">
        <v>583494.61</v>
      </c>
      <c r="F480" s="9" t="n">
        <v>0</v>
      </c>
      <c r="G480" s="9" t="n">
        <v>666767.83</v>
      </c>
      <c r="H480" s="9">
        <f>IF(D480="USD",E480*$L$1,E480)</f>
        <v/>
      </c>
      <c r="I480" s="9">
        <f>IF(D480="USD",F480*$L$1,F480)</f>
        <v/>
      </c>
      <c r="J480" s="9">
        <f>IF(D480="USD",G480*$L$1,G480)</f>
        <v/>
      </c>
    </row>
    <row r="481">
      <c r="A481" s="8" t="n">
        <v>46090</v>
      </c>
      <c r="B481" t="inlineStr">
        <is>
          <t>2026-W11</t>
        </is>
      </c>
      <c r="C481" t="inlineStr">
        <is>
          <t>Adyen</t>
        </is>
      </c>
      <c r="D481" t="inlineStr">
        <is>
          <t>EUR</t>
        </is>
      </c>
      <c r="E481" s="9" t="n">
        <v>90734.41</v>
      </c>
      <c r="F481" s="9" t="n">
        <v>0</v>
      </c>
      <c r="G481" s="9" t="n">
        <v>0</v>
      </c>
      <c r="H481" s="9">
        <f>IF(D481="USD",E481*$L$1,E481)</f>
        <v/>
      </c>
      <c r="I481" s="9">
        <f>IF(D481="USD",F481*$L$1,F481)</f>
        <v/>
      </c>
      <c r="J481" s="9">
        <f>IF(D481="USD",G481*$L$1,G481)</f>
        <v/>
      </c>
    </row>
    <row r="482">
      <c r="A482" s="8" t="n">
        <v>46090</v>
      </c>
      <c r="B482" t="inlineStr">
        <is>
          <t>2026-W11</t>
        </is>
      </c>
      <c r="C482" t="inlineStr">
        <is>
          <t>Nuvei</t>
        </is>
      </c>
      <c r="D482" t="inlineStr">
        <is>
          <t>EUR</t>
        </is>
      </c>
      <c r="E482" s="9" t="n">
        <v>939543.46</v>
      </c>
      <c r="F482" s="9" t="n">
        <v>927257.9099999999</v>
      </c>
      <c r="G482" s="9" t="n">
        <v>-2616427.33</v>
      </c>
      <c r="H482" s="9">
        <f>IF(D482="USD",E482*$L$1,E482)</f>
        <v/>
      </c>
      <c r="I482" s="9">
        <f>IF(D482="USD",F482*$L$1,F482)</f>
        <v/>
      </c>
      <c r="J482" s="9">
        <f>IF(D482="USD",G482*$L$1,G482)</f>
        <v/>
      </c>
    </row>
    <row r="483">
      <c r="A483" s="8" t="n">
        <v>46090</v>
      </c>
      <c r="B483" t="inlineStr">
        <is>
          <t>2026-W11</t>
        </is>
      </c>
      <c r="C483" t="inlineStr">
        <is>
          <t>Nuvei</t>
        </is>
      </c>
      <c r="D483" t="inlineStr">
        <is>
          <t>EUR</t>
        </is>
      </c>
      <c r="E483" s="9" t="n">
        <v>59229.15</v>
      </c>
      <c r="F483" s="9" t="n">
        <v>57719.49</v>
      </c>
      <c r="G483" s="9" t="n">
        <v>-130457.63</v>
      </c>
      <c r="H483" s="9">
        <f>IF(D483="USD",E483*$L$1,E483)</f>
        <v/>
      </c>
      <c r="I483" s="9">
        <f>IF(D483="USD",F483*$L$1,F483)</f>
        <v/>
      </c>
      <c r="J483" s="9">
        <f>IF(D483="USD",G483*$L$1,G483)</f>
        <v/>
      </c>
    </row>
    <row r="484">
      <c r="A484" s="8" t="n">
        <v>46091</v>
      </c>
      <c r="B484" t="inlineStr">
        <is>
          <t>2026-W11</t>
        </is>
      </c>
      <c r="C484" t="inlineStr">
        <is>
          <t>Adyen</t>
        </is>
      </c>
      <c r="D484" t="inlineStr">
        <is>
          <t>EUR</t>
        </is>
      </c>
      <c r="E484" s="9" t="n">
        <v>646317.3100000001</v>
      </c>
      <c r="F484" s="9" t="n">
        <v>0</v>
      </c>
      <c r="G484" s="9" t="n">
        <v>721169.5600000001</v>
      </c>
      <c r="H484" s="9">
        <f>IF(D484="USD",E484*$L$1,E484)</f>
        <v/>
      </c>
      <c r="I484" s="9">
        <f>IF(D484="USD",F484*$L$1,F484)</f>
        <v/>
      </c>
      <c r="J484" s="9">
        <f>IF(D484="USD",G484*$L$1,G484)</f>
        <v/>
      </c>
    </row>
    <row r="485">
      <c r="A485" s="8" t="n">
        <v>46091</v>
      </c>
      <c r="B485" t="inlineStr">
        <is>
          <t>2026-W11</t>
        </is>
      </c>
      <c r="C485" t="inlineStr">
        <is>
          <t>Adyen</t>
        </is>
      </c>
      <c r="D485" t="inlineStr">
        <is>
          <t>EUR</t>
        </is>
      </c>
      <c r="E485" s="9" t="n">
        <v>81643.48</v>
      </c>
      <c r="F485" s="9" t="n">
        <v>0</v>
      </c>
      <c r="G485" s="9" t="n">
        <v>0</v>
      </c>
      <c r="H485" s="9">
        <f>IF(D485="USD",E485*$L$1,E485)</f>
        <v/>
      </c>
      <c r="I485" s="9">
        <f>IF(D485="USD",F485*$L$1,F485)</f>
        <v/>
      </c>
      <c r="J485" s="9">
        <f>IF(D485="USD",G485*$L$1,G485)</f>
        <v/>
      </c>
    </row>
    <row r="486">
      <c r="A486" s="8" t="n">
        <v>46091</v>
      </c>
      <c r="B486" t="inlineStr">
        <is>
          <t>2026-W11</t>
        </is>
      </c>
      <c r="C486" t="inlineStr">
        <is>
          <t>Nuvei</t>
        </is>
      </c>
      <c r="D486" t="inlineStr">
        <is>
          <t>EUR</t>
        </is>
      </c>
      <c r="E486" s="9" t="n">
        <v>951361.4</v>
      </c>
      <c r="F486" s="9" t="n">
        <v>939128.37</v>
      </c>
      <c r="G486" s="9" t="n">
        <v>-939124.87</v>
      </c>
      <c r="H486" s="9">
        <f>IF(D486="USD",E486*$L$1,E486)</f>
        <v/>
      </c>
      <c r="I486" s="9">
        <f>IF(D486="USD",F486*$L$1,F486)</f>
        <v/>
      </c>
      <c r="J486" s="9">
        <f>IF(D486="USD",G486*$L$1,G486)</f>
        <v/>
      </c>
    </row>
    <row r="487">
      <c r="A487" s="8" t="n">
        <v>46091</v>
      </c>
      <c r="B487" t="inlineStr">
        <is>
          <t>2026-W11</t>
        </is>
      </c>
      <c r="C487" t="inlineStr">
        <is>
          <t>Nuvei</t>
        </is>
      </c>
      <c r="D487" t="inlineStr">
        <is>
          <t>EUR</t>
        </is>
      </c>
      <c r="E487" s="9" t="n">
        <v>75058.12</v>
      </c>
      <c r="F487" s="9" t="n">
        <v>73180.42</v>
      </c>
      <c r="G487" s="9" t="n">
        <v>-73176.86</v>
      </c>
      <c r="H487" s="9">
        <f>IF(D487="USD",E487*$L$1,E487)</f>
        <v/>
      </c>
      <c r="I487" s="9">
        <f>IF(D487="USD",F487*$L$1,F487)</f>
        <v/>
      </c>
      <c r="J487" s="9">
        <f>IF(D487="USD",G487*$L$1,G487)</f>
        <v/>
      </c>
    </row>
    <row r="488">
      <c r="A488" s="8" t="n">
        <v>46092</v>
      </c>
      <c r="B488" t="inlineStr">
        <is>
          <t>2026-W11</t>
        </is>
      </c>
      <c r="C488" t="inlineStr">
        <is>
          <t>Adyen</t>
        </is>
      </c>
      <c r="D488" t="inlineStr">
        <is>
          <t>EUR</t>
        </is>
      </c>
      <c r="E488" s="9" t="n">
        <v>617543.72</v>
      </c>
      <c r="F488" s="9" t="n">
        <v>0</v>
      </c>
      <c r="G488" s="9" t="n">
        <v>707504.52</v>
      </c>
      <c r="H488" s="9">
        <f>IF(D488="USD",E488*$L$1,E488)</f>
        <v/>
      </c>
      <c r="I488" s="9">
        <f>IF(D488="USD",F488*$L$1,F488)</f>
        <v/>
      </c>
      <c r="J488" s="9">
        <f>IF(D488="USD",G488*$L$1,G488)</f>
        <v/>
      </c>
    </row>
    <row r="489">
      <c r="A489" s="8" t="n">
        <v>46092</v>
      </c>
      <c r="B489" t="inlineStr">
        <is>
          <t>2026-W11</t>
        </is>
      </c>
      <c r="C489" t="inlineStr">
        <is>
          <t>Adyen</t>
        </is>
      </c>
      <c r="D489" t="inlineStr">
        <is>
          <t>EUR</t>
        </is>
      </c>
      <c r="E489" s="9" t="n">
        <v>97173.94</v>
      </c>
      <c r="F489" s="9" t="n">
        <v>0</v>
      </c>
      <c r="G489" s="9" t="n">
        <v>0</v>
      </c>
      <c r="H489" s="9">
        <f>IF(D489="USD",E489*$L$1,E489)</f>
        <v/>
      </c>
      <c r="I489" s="9">
        <f>IF(D489="USD",F489*$L$1,F489)</f>
        <v/>
      </c>
      <c r="J489" s="9">
        <f>IF(D489="USD",G489*$L$1,G489)</f>
        <v/>
      </c>
    </row>
    <row r="490">
      <c r="A490" s="8" t="n">
        <v>46092</v>
      </c>
      <c r="B490" t="inlineStr">
        <is>
          <t>2026-W11</t>
        </is>
      </c>
      <c r="C490" t="inlineStr">
        <is>
          <t>Nuvei</t>
        </is>
      </c>
      <c r="D490" t="inlineStr">
        <is>
          <t>EUR</t>
        </is>
      </c>
      <c r="E490" s="9" t="n">
        <v>1010959.85</v>
      </c>
      <c r="F490" s="9" t="n">
        <v>998433.75</v>
      </c>
      <c r="G490" s="9" t="n">
        <v>-998430.25</v>
      </c>
      <c r="H490" s="9">
        <f>IF(D490="USD",E490*$L$1,E490)</f>
        <v/>
      </c>
      <c r="I490" s="9">
        <f>IF(D490="USD",F490*$L$1,F490)</f>
        <v/>
      </c>
      <c r="J490" s="9">
        <f>IF(D490="USD",G490*$L$1,G490)</f>
        <v/>
      </c>
    </row>
    <row r="491">
      <c r="A491" s="8" t="n">
        <v>46092</v>
      </c>
      <c r="B491" t="inlineStr">
        <is>
          <t>2026-W11</t>
        </is>
      </c>
      <c r="C491" t="inlineStr">
        <is>
          <t>Nuvei</t>
        </is>
      </c>
      <c r="D491" t="inlineStr">
        <is>
          <t>EUR</t>
        </is>
      </c>
      <c r="E491" s="9" t="n">
        <v>82190.25</v>
      </c>
      <c r="F491" s="9" t="n">
        <v>80018.64</v>
      </c>
      <c r="G491" s="9" t="n">
        <v>-80015.2</v>
      </c>
      <c r="H491" s="9">
        <f>IF(D491="USD",E491*$L$1,E491)</f>
        <v/>
      </c>
      <c r="I491" s="9">
        <f>IF(D491="USD",F491*$L$1,F491)</f>
        <v/>
      </c>
      <c r="J491" s="9">
        <f>IF(D491="USD",G491*$L$1,G491)</f>
        <v/>
      </c>
    </row>
    <row r="492">
      <c r="A492" s="8" t="n">
        <v>46093</v>
      </c>
      <c r="B492" t="inlineStr">
        <is>
          <t>2026-W11</t>
        </is>
      </c>
      <c r="C492" t="inlineStr">
        <is>
          <t>Adyen</t>
        </is>
      </c>
      <c r="D492" t="inlineStr">
        <is>
          <t>EUR</t>
        </is>
      </c>
      <c r="E492" s="9" t="n">
        <v>561401.46</v>
      </c>
      <c r="F492" s="9" t="n">
        <v>0</v>
      </c>
      <c r="G492" s="9" t="n">
        <v>621637.6699999999</v>
      </c>
      <c r="H492" s="9">
        <f>IF(D492="USD",E492*$L$1,E492)</f>
        <v/>
      </c>
      <c r="I492" s="9">
        <f>IF(D492="USD",F492*$L$1,F492)</f>
        <v/>
      </c>
      <c r="J492" s="9">
        <f>IF(D492="USD",G492*$L$1,G492)</f>
        <v/>
      </c>
    </row>
    <row r="493">
      <c r="A493" s="8" t="n">
        <v>46093</v>
      </c>
      <c r="B493" t="inlineStr">
        <is>
          <t>2026-W11</t>
        </is>
      </c>
      <c r="C493" t="inlineStr">
        <is>
          <t>Adyen</t>
        </is>
      </c>
      <c r="D493" t="inlineStr">
        <is>
          <t>EUR</t>
        </is>
      </c>
      <c r="E493" s="9" t="n">
        <v>70254.00999999999</v>
      </c>
      <c r="F493" s="9" t="n">
        <v>0</v>
      </c>
      <c r="G493" s="9" t="n">
        <v>0</v>
      </c>
      <c r="H493" s="9">
        <f>IF(D493="USD",E493*$L$1,E493)</f>
        <v/>
      </c>
      <c r="I493" s="9">
        <f>IF(D493="USD",F493*$L$1,F493)</f>
        <v/>
      </c>
      <c r="J493" s="9">
        <f>IF(D493="USD",G493*$L$1,G493)</f>
        <v/>
      </c>
    </row>
    <row r="494">
      <c r="A494" s="8" t="n">
        <v>46093</v>
      </c>
      <c r="B494" t="inlineStr">
        <is>
          <t>2026-W11</t>
        </is>
      </c>
      <c r="C494" t="inlineStr">
        <is>
          <t>Nuvei</t>
        </is>
      </c>
      <c r="D494" t="inlineStr">
        <is>
          <t>EUR</t>
        </is>
      </c>
      <c r="E494" s="9" t="n">
        <v>989295.02</v>
      </c>
      <c r="F494" s="9" t="n">
        <v>977458.84</v>
      </c>
      <c r="G494" s="9" t="n">
        <v>-977445.35</v>
      </c>
      <c r="H494" s="9">
        <f>IF(D494="USD",E494*$L$1,E494)</f>
        <v/>
      </c>
      <c r="I494" s="9">
        <f>IF(D494="USD",F494*$L$1,F494)</f>
        <v/>
      </c>
      <c r="J494" s="9">
        <f>IF(D494="USD",G494*$L$1,G494)</f>
        <v/>
      </c>
    </row>
    <row r="495">
      <c r="A495" s="8" t="n">
        <v>46093</v>
      </c>
      <c r="B495" t="inlineStr">
        <is>
          <t>2026-W11</t>
        </is>
      </c>
      <c r="C495" t="inlineStr">
        <is>
          <t>Nuvei</t>
        </is>
      </c>
      <c r="D495" t="inlineStr">
        <is>
          <t>EUR</t>
        </is>
      </c>
      <c r="E495" s="9" t="n">
        <v>59139.68</v>
      </c>
      <c r="F495" s="9" t="n">
        <v>57637.54</v>
      </c>
      <c r="G495" s="9" t="n">
        <v>-57634.04</v>
      </c>
      <c r="H495" s="9">
        <f>IF(D495="USD",E495*$L$1,E495)</f>
        <v/>
      </c>
      <c r="I495" s="9">
        <f>IF(D495="USD",F495*$L$1,F495)</f>
        <v/>
      </c>
      <c r="J495" s="9">
        <f>IF(D495="USD",G495*$L$1,G495)</f>
        <v/>
      </c>
    </row>
    <row r="496">
      <c r="A496" s="8" t="n">
        <v>46094</v>
      </c>
      <c r="B496" t="inlineStr">
        <is>
          <t>2026-W11</t>
        </is>
      </c>
      <c r="C496" t="inlineStr">
        <is>
          <t>Adyen</t>
        </is>
      </c>
      <c r="D496" t="inlineStr">
        <is>
          <t>EUR</t>
        </is>
      </c>
      <c r="E496" s="9" t="n">
        <v>496389.5</v>
      </c>
      <c r="F496" s="9" t="n">
        <v>0</v>
      </c>
      <c r="G496" s="9" t="n">
        <v>1351967.15</v>
      </c>
      <c r="H496" s="9">
        <f>IF(D496="USD",E496*$L$1,E496)</f>
        <v/>
      </c>
      <c r="I496" s="9">
        <f>IF(D496="USD",F496*$L$1,F496)</f>
        <v/>
      </c>
      <c r="J496" s="9">
        <f>IF(D496="USD",G496*$L$1,G496)</f>
        <v/>
      </c>
    </row>
    <row r="497">
      <c r="A497" s="8" t="n">
        <v>46094</v>
      </c>
      <c r="B497" t="inlineStr">
        <is>
          <t>2026-W11</t>
        </is>
      </c>
      <c r="C497" t="inlineStr">
        <is>
          <t>Adyen</t>
        </is>
      </c>
      <c r="D497" t="inlineStr">
        <is>
          <t>EUR</t>
        </is>
      </c>
      <c r="E497" s="9" t="n">
        <v>78857.56</v>
      </c>
      <c r="F497" s="9" t="n">
        <v>0</v>
      </c>
      <c r="G497" s="9" t="n">
        <v>0</v>
      </c>
      <c r="H497" s="9">
        <f>IF(D497="USD",E497*$L$1,E497)</f>
        <v/>
      </c>
      <c r="I497" s="9">
        <f>IF(D497="USD",F497*$L$1,F497)</f>
        <v/>
      </c>
      <c r="J497" s="9">
        <f>IF(D497="USD",G497*$L$1,G497)</f>
        <v/>
      </c>
    </row>
    <row r="498">
      <c r="A498" s="8" t="n">
        <v>46094</v>
      </c>
      <c r="B498" t="inlineStr">
        <is>
          <t>2026-W11</t>
        </is>
      </c>
      <c r="C498" t="inlineStr">
        <is>
          <t>Nuvei</t>
        </is>
      </c>
      <c r="D498" t="inlineStr">
        <is>
          <t>EUR</t>
        </is>
      </c>
      <c r="E498" s="9" t="n">
        <v>777907.58</v>
      </c>
      <c r="F498" s="9" t="n">
        <v>767767.7</v>
      </c>
      <c r="G498" s="9" t="n">
        <v>-767754.21</v>
      </c>
      <c r="H498" s="9">
        <f>IF(D498="USD",E498*$L$1,E498)</f>
        <v/>
      </c>
      <c r="I498" s="9">
        <f>IF(D498="USD",F498*$L$1,F498)</f>
        <v/>
      </c>
      <c r="J498" s="9">
        <f>IF(D498="USD",G498*$L$1,G498)</f>
        <v/>
      </c>
    </row>
    <row r="499">
      <c r="A499" s="8" t="n">
        <v>46094</v>
      </c>
      <c r="B499" t="inlineStr">
        <is>
          <t>2026-W11</t>
        </is>
      </c>
      <c r="C499" t="inlineStr">
        <is>
          <t>Nuvei</t>
        </is>
      </c>
      <c r="D499" t="inlineStr">
        <is>
          <t>EUR</t>
        </is>
      </c>
      <c r="E499" s="9" t="n">
        <v>50485.23</v>
      </c>
      <c r="F499" s="9" t="n">
        <v>49101.86</v>
      </c>
      <c r="G499" s="9" t="n">
        <v>-49098.36</v>
      </c>
      <c r="H499" s="9">
        <f>IF(D499="USD",E499*$L$1,E499)</f>
        <v/>
      </c>
      <c r="I499" s="9">
        <f>IF(D499="USD",F499*$L$1,F499)</f>
        <v/>
      </c>
      <c r="J499" s="9">
        <f>IF(D499="USD",G499*$L$1,G499)</f>
        <v/>
      </c>
    </row>
    <row r="500">
      <c r="A500" s="8" t="n">
        <v>46095</v>
      </c>
      <c r="B500" t="inlineStr">
        <is>
          <t>2026-W11</t>
        </is>
      </c>
      <c r="C500" t="inlineStr">
        <is>
          <t>Adyen</t>
        </is>
      </c>
      <c r="D500" t="inlineStr">
        <is>
          <t>EUR</t>
        </is>
      </c>
      <c r="E500" s="9" t="n">
        <v>354573.12</v>
      </c>
      <c r="F500" s="9" t="n">
        <v>0</v>
      </c>
      <c r="G500" s="9" t="n">
        <v>0</v>
      </c>
      <c r="H500" s="9">
        <f>IF(D500="USD",E500*$L$1,E500)</f>
        <v/>
      </c>
      <c r="I500" s="9">
        <f>IF(D500="USD",F500*$L$1,F500)</f>
        <v/>
      </c>
      <c r="J500" s="9">
        <f>IF(D500="USD",G500*$L$1,G500)</f>
        <v/>
      </c>
    </row>
    <row r="501">
      <c r="A501" s="8" t="n">
        <v>46095</v>
      </c>
      <c r="B501" t="inlineStr">
        <is>
          <t>2026-W11</t>
        </is>
      </c>
      <c r="C501" t="inlineStr">
        <is>
          <t>Adyen</t>
        </is>
      </c>
      <c r="D501" t="inlineStr">
        <is>
          <t>EUR</t>
        </is>
      </c>
      <c r="E501" s="9" t="n">
        <v>53200.25</v>
      </c>
      <c r="F501" s="9" t="n">
        <v>0</v>
      </c>
      <c r="G501" s="9" t="n">
        <v>0</v>
      </c>
      <c r="H501" s="9">
        <f>IF(D501="USD",E501*$L$1,E501)</f>
        <v/>
      </c>
      <c r="I501" s="9">
        <f>IF(D501="USD",F501*$L$1,F501)</f>
        <v/>
      </c>
      <c r="J501" s="9">
        <f>IF(D501="USD",G501*$L$1,G501)</f>
        <v/>
      </c>
    </row>
    <row r="502">
      <c r="A502" s="8" t="n">
        <v>46095</v>
      </c>
      <c r="B502" t="inlineStr">
        <is>
          <t>2026-W11</t>
        </is>
      </c>
      <c r="C502" t="inlineStr">
        <is>
          <t>Nuvei</t>
        </is>
      </c>
      <c r="D502" t="inlineStr">
        <is>
          <t>EUR</t>
        </is>
      </c>
      <c r="E502" s="9" t="n">
        <v>292190.93</v>
      </c>
      <c r="F502" s="9" t="n">
        <v>283250.21</v>
      </c>
      <c r="G502" s="9" t="n">
        <v>0</v>
      </c>
      <c r="H502" s="9">
        <f>IF(D502="USD",E502*$L$1,E502)</f>
        <v/>
      </c>
      <c r="I502" s="9">
        <f>IF(D502="USD",F502*$L$1,F502)</f>
        <v/>
      </c>
      <c r="J502" s="9">
        <f>IF(D502="USD",G502*$L$1,G502)</f>
        <v/>
      </c>
    </row>
    <row r="503">
      <c r="A503" s="8" t="n">
        <v>46095</v>
      </c>
      <c r="B503" t="inlineStr">
        <is>
          <t>2026-W11</t>
        </is>
      </c>
      <c r="C503" t="inlineStr">
        <is>
          <t>Nuvei</t>
        </is>
      </c>
      <c r="D503" t="inlineStr">
        <is>
          <t>EUR</t>
        </is>
      </c>
      <c r="E503" s="9" t="n">
        <v>36328.84</v>
      </c>
      <c r="F503" s="9" t="n">
        <v>34832.55</v>
      </c>
      <c r="G503" s="9" t="n">
        <v>0</v>
      </c>
      <c r="H503" s="9">
        <f>IF(D503="USD",E503*$L$1,E503)</f>
        <v/>
      </c>
      <c r="I503" s="9">
        <f>IF(D503="USD",F503*$L$1,F503)</f>
        <v/>
      </c>
      <c r="J503" s="9">
        <f>IF(D503="USD",G503*$L$1,G503)</f>
        <v/>
      </c>
    </row>
    <row r="504">
      <c r="A504" s="8" t="n">
        <v>46096</v>
      </c>
      <c r="B504" t="inlineStr">
        <is>
          <t>2026-W11</t>
        </is>
      </c>
      <c r="C504" t="inlineStr">
        <is>
          <t>Adyen</t>
        </is>
      </c>
      <c r="D504" t="inlineStr">
        <is>
          <t>EUR</t>
        </is>
      </c>
      <c r="E504" s="9" t="n">
        <v>358195.23</v>
      </c>
      <c r="F504" s="9" t="n">
        <v>0</v>
      </c>
      <c r="G504" s="9" t="n">
        <v>0</v>
      </c>
      <c r="H504" s="9">
        <f>IF(D504="USD",E504*$L$1,E504)</f>
        <v/>
      </c>
      <c r="I504" s="9">
        <f>IF(D504="USD",F504*$L$1,F504)</f>
        <v/>
      </c>
      <c r="J504" s="9">
        <f>IF(D504="USD",G504*$L$1,G504)</f>
        <v/>
      </c>
    </row>
    <row r="505">
      <c r="A505" s="8" t="n">
        <v>46096</v>
      </c>
      <c r="B505" t="inlineStr">
        <is>
          <t>2026-W11</t>
        </is>
      </c>
      <c r="C505" t="inlineStr">
        <is>
          <t>Adyen</t>
        </is>
      </c>
      <c r="D505" t="inlineStr">
        <is>
          <t>EUR</t>
        </is>
      </c>
      <c r="E505" s="9" t="n">
        <v>44199.43</v>
      </c>
      <c r="F505" s="9" t="n">
        <v>0</v>
      </c>
      <c r="G505" s="9" t="n">
        <v>0</v>
      </c>
      <c r="H505" s="9">
        <f>IF(D505="USD",E505*$L$1,E505)</f>
        <v/>
      </c>
      <c r="I505" s="9">
        <f>IF(D505="USD",F505*$L$1,F505)</f>
        <v/>
      </c>
      <c r="J505" s="9">
        <f>IF(D505="USD",G505*$L$1,G505)</f>
        <v/>
      </c>
    </row>
    <row r="506">
      <c r="A506" s="8" t="n">
        <v>46096</v>
      </c>
      <c r="B506" t="inlineStr">
        <is>
          <t>2026-W11</t>
        </is>
      </c>
      <c r="C506" t="inlineStr">
        <is>
          <t>Nuvei</t>
        </is>
      </c>
      <c r="D506" t="inlineStr">
        <is>
          <t>EUR</t>
        </is>
      </c>
      <c r="E506" s="9" t="n">
        <v>699281.24</v>
      </c>
      <c r="F506" s="9" t="n">
        <v>688956.66</v>
      </c>
      <c r="G506" s="9" t="n">
        <v>0</v>
      </c>
      <c r="H506" s="9">
        <f>IF(D506="USD",E506*$L$1,E506)</f>
        <v/>
      </c>
      <c r="I506" s="9">
        <f>IF(D506="USD",F506*$L$1,F506)</f>
        <v/>
      </c>
      <c r="J506" s="9">
        <f>IF(D506="USD",G506*$L$1,G506)</f>
        <v/>
      </c>
    </row>
    <row r="507">
      <c r="A507" s="8" t="n">
        <v>46096</v>
      </c>
      <c r="B507" t="inlineStr">
        <is>
          <t>2026-W11</t>
        </is>
      </c>
      <c r="C507" t="inlineStr">
        <is>
          <t>Nuvei</t>
        </is>
      </c>
      <c r="D507" t="inlineStr">
        <is>
          <t>EUR</t>
        </is>
      </c>
      <c r="E507" s="9" t="n">
        <v>28978.49</v>
      </c>
      <c r="F507" s="9" t="n">
        <v>27990.85</v>
      </c>
      <c r="G507" s="9" t="n">
        <v>0</v>
      </c>
      <c r="H507" s="9">
        <f>IF(D507="USD",E507*$L$1,E507)</f>
        <v/>
      </c>
      <c r="I507" s="9">
        <f>IF(D507="USD",F507*$L$1,F507)</f>
        <v/>
      </c>
      <c r="J507" s="9">
        <f>IF(D507="USD",G507*$L$1,G507)</f>
        <v/>
      </c>
    </row>
    <row r="508">
      <c r="A508" s="8" t="n">
        <v>46097</v>
      </c>
      <c r="B508" t="inlineStr">
        <is>
          <t>2026-W12</t>
        </is>
      </c>
      <c r="C508" t="inlineStr">
        <is>
          <t>Adyen</t>
        </is>
      </c>
      <c r="D508" t="inlineStr">
        <is>
          <t>EUR</t>
        </is>
      </c>
      <c r="E508" s="9" t="n">
        <v>506998.04</v>
      </c>
      <c r="F508" s="9" t="n">
        <v>0</v>
      </c>
      <c r="G508" s="9" t="n">
        <v>556065.36</v>
      </c>
      <c r="H508" s="9">
        <f>IF(D508="USD",E508*$L$1,E508)</f>
        <v/>
      </c>
      <c r="I508" s="9">
        <f>IF(D508="USD",F508*$L$1,F508)</f>
        <v/>
      </c>
      <c r="J508" s="9">
        <f>IF(D508="USD",G508*$L$1,G508)</f>
        <v/>
      </c>
    </row>
    <row r="509">
      <c r="A509" s="8" t="n">
        <v>46097</v>
      </c>
      <c r="B509" t="inlineStr">
        <is>
          <t>2026-W12</t>
        </is>
      </c>
      <c r="C509" t="inlineStr">
        <is>
          <t>Adyen</t>
        </is>
      </c>
      <c r="D509" t="inlineStr">
        <is>
          <t>EUR</t>
        </is>
      </c>
      <c r="E509" s="9" t="n">
        <v>61018.84</v>
      </c>
      <c r="F509" s="9" t="n">
        <v>0</v>
      </c>
      <c r="G509" s="9" t="n">
        <v>0</v>
      </c>
      <c r="H509" s="9">
        <f>IF(D509="USD",E509*$L$1,E509)</f>
        <v/>
      </c>
      <c r="I509" s="9">
        <f>IF(D509="USD",F509*$L$1,F509)</f>
        <v/>
      </c>
      <c r="J509" s="9">
        <f>IF(D509="USD",G509*$L$1,G509)</f>
        <v/>
      </c>
    </row>
    <row r="510">
      <c r="A510" s="8" t="n">
        <v>46097</v>
      </c>
      <c r="B510" t="inlineStr">
        <is>
          <t>2026-W12</t>
        </is>
      </c>
      <c r="C510" t="inlineStr">
        <is>
          <t>Nuvei</t>
        </is>
      </c>
      <c r="D510" t="inlineStr">
        <is>
          <t>EUR</t>
        </is>
      </c>
      <c r="E510" s="9" t="n">
        <v>752933.11</v>
      </c>
      <c r="F510" s="9" t="n">
        <v>742200.29</v>
      </c>
      <c r="G510" s="9" t="n">
        <v>-1714403.68</v>
      </c>
      <c r="H510" s="9">
        <f>IF(D510="USD",E510*$L$1,E510)</f>
        <v/>
      </c>
      <c r="I510" s="9">
        <f>IF(D510="USD",F510*$L$1,F510)</f>
        <v/>
      </c>
      <c r="J510" s="9">
        <f>IF(D510="USD",G510*$L$1,G510)</f>
        <v/>
      </c>
    </row>
    <row r="511">
      <c r="A511" s="8" t="n">
        <v>46097</v>
      </c>
      <c r="B511" t="inlineStr">
        <is>
          <t>2026-W12</t>
        </is>
      </c>
      <c r="C511" t="inlineStr">
        <is>
          <t>Nuvei</t>
        </is>
      </c>
      <c r="D511" t="inlineStr">
        <is>
          <t>EUR</t>
        </is>
      </c>
      <c r="E511" s="9" t="n">
        <v>67670.92999999999</v>
      </c>
      <c r="F511" s="9" t="n">
        <v>65827.12</v>
      </c>
      <c r="G511" s="9" t="n">
        <v>-128647.02</v>
      </c>
      <c r="H511" s="9">
        <f>IF(D511="USD",E511*$L$1,E511)</f>
        <v/>
      </c>
      <c r="I511" s="9">
        <f>IF(D511="USD",F511*$L$1,F511)</f>
        <v/>
      </c>
      <c r="J511" s="9">
        <f>IF(D511="USD",G511*$L$1,G511)</f>
        <v/>
      </c>
    </row>
    <row r="512">
      <c r="A512" s="8" t="n">
        <v>46098</v>
      </c>
      <c r="B512" t="inlineStr">
        <is>
          <t>2026-W12</t>
        </is>
      </c>
      <c r="C512" t="inlineStr">
        <is>
          <t>Adyen</t>
        </is>
      </c>
      <c r="D512" t="inlineStr">
        <is>
          <t>EUR</t>
        </is>
      </c>
      <c r="E512" s="9" t="n">
        <v>597566.72</v>
      </c>
      <c r="F512" s="9" t="n">
        <v>0</v>
      </c>
      <c r="G512" s="9" t="n">
        <v>678950.6200000001</v>
      </c>
      <c r="H512" s="9">
        <f>IF(D512="USD",E512*$L$1,E512)</f>
        <v/>
      </c>
      <c r="I512" s="9">
        <f>IF(D512="USD",F512*$L$1,F512)</f>
        <v/>
      </c>
      <c r="J512" s="9">
        <f>IF(D512="USD",G512*$L$1,G512)</f>
        <v/>
      </c>
    </row>
    <row r="513">
      <c r="A513" s="8" t="n">
        <v>46098</v>
      </c>
      <c r="B513" t="inlineStr">
        <is>
          <t>2026-W12</t>
        </is>
      </c>
      <c r="C513" t="inlineStr">
        <is>
          <t>Adyen</t>
        </is>
      </c>
      <c r="D513" t="inlineStr">
        <is>
          <t>EUR</t>
        </is>
      </c>
      <c r="E513" s="9" t="n">
        <v>87973.05</v>
      </c>
      <c r="F513" s="9" t="n">
        <v>0</v>
      </c>
      <c r="G513" s="9" t="n">
        <v>0</v>
      </c>
      <c r="H513" s="9">
        <f>IF(D513="USD",E513*$L$1,E513)</f>
        <v/>
      </c>
      <c r="I513" s="9">
        <f>IF(D513="USD",F513*$L$1,F513)</f>
        <v/>
      </c>
      <c r="J513" s="9">
        <f>IF(D513="USD",G513*$L$1,G513)</f>
        <v/>
      </c>
    </row>
    <row r="514">
      <c r="A514" s="8" t="n">
        <v>46098</v>
      </c>
      <c r="B514" t="inlineStr">
        <is>
          <t>2026-W12</t>
        </is>
      </c>
      <c r="C514" t="inlineStr">
        <is>
          <t>Nuvei</t>
        </is>
      </c>
      <c r="D514" t="inlineStr">
        <is>
          <t>EUR</t>
        </is>
      </c>
      <c r="E514" s="9" t="n">
        <v>691779.8100000001</v>
      </c>
      <c r="F514" s="9" t="n">
        <v>681869.25</v>
      </c>
      <c r="G514" s="9" t="n">
        <v>-681865.76</v>
      </c>
      <c r="H514" s="9">
        <f>IF(D514="USD",E514*$L$1,E514)</f>
        <v/>
      </c>
      <c r="I514" s="9">
        <f>IF(D514="USD",F514*$L$1,F514)</f>
        <v/>
      </c>
      <c r="J514" s="9">
        <f>IF(D514="USD",G514*$L$1,G514)</f>
        <v/>
      </c>
    </row>
    <row r="515">
      <c r="A515" s="8" t="n">
        <v>46098</v>
      </c>
      <c r="B515" t="inlineStr">
        <is>
          <t>2026-W12</t>
        </is>
      </c>
      <c r="C515" t="inlineStr">
        <is>
          <t>Nuvei</t>
        </is>
      </c>
      <c r="D515" t="inlineStr">
        <is>
          <t>EUR</t>
        </is>
      </c>
      <c r="E515" s="9" t="n">
        <v>87138.2</v>
      </c>
      <c r="F515" s="9" t="n">
        <v>84893.86</v>
      </c>
      <c r="G515" s="9" t="n">
        <v>-84890.37</v>
      </c>
      <c r="H515" s="9">
        <f>IF(D515="USD",E515*$L$1,E515)</f>
        <v/>
      </c>
      <c r="I515" s="9">
        <f>IF(D515="USD",F515*$L$1,F515)</f>
        <v/>
      </c>
      <c r="J515" s="9">
        <f>IF(D515="USD",G515*$L$1,G515)</f>
        <v/>
      </c>
    </row>
    <row r="516">
      <c r="A516" s="8" t="n">
        <v>46099</v>
      </c>
      <c r="B516" t="inlineStr">
        <is>
          <t>2026-W12</t>
        </is>
      </c>
      <c r="C516" t="inlineStr">
        <is>
          <t>Adyen</t>
        </is>
      </c>
      <c r="D516" t="inlineStr">
        <is>
          <t>EUR</t>
        </is>
      </c>
      <c r="E516" s="9" t="n">
        <v>676838.02</v>
      </c>
      <c r="F516" s="9" t="n">
        <v>0</v>
      </c>
      <c r="G516" s="9" t="n">
        <v>767478.62</v>
      </c>
      <c r="H516" s="9">
        <f>IF(D516="USD",E516*$L$1,E516)</f>
        <v/>
      </c>
      <c r="I516" s="9">
        <f>IF(D516="USD",F516*$L$1,F516)</f>
        <v/>
      </c>
      <c r="J516" s="9">
        <f>IF(D516="USD",G516*$L$1,G516)</f>
        <v/>
      </c>
    </row>
    <row r="517">
      <c r="A517" s="8" t="n">
        <v>46099</v>
      </c>
      <c r="B517" t="inlineStr">
        <is>
          <t>2026-W12</t>
        </is>
      </c>
      <c r="C517" t="inlineStr">
        <is>
          <t>Adyen</t>
        </is>
      </c>
      <c r="D517" t="inlineStr">
        <is>
          <t>EUR</t>
        </is>
      </c>
      <c r="E517" s="9" t="n">
        <v>95630.38</v>
      </c>
      <c r="F517" s="9" t="n">
        <v>0</v>
      </c>
      <c r="G517" s="9" t="n">
        <v>0</v>
      </c>
      <c r="H517" s="9">
        <f>IF(D517="USD",E517*$L$1,E517)</f>
        <v/>
      </c>
      <c r="I517" s="9">
        <f>IF(D517="USD",F517*$L$1,F517)</f>
        <v/>
      </c>
      <c r="J517" s="9">
        <f>IF(D517="USD",G517*$L$1,G517)</f>
        <v/>
      </c>
    </row>
    <row r="518">
      <c r="A518" s="8" t="n">
        <v>46099</v>
      </c>
      <c r="B518" t="inlineStr">
        <is>
          <t>2026-W12</t>
        </is>
      </c>
      <c r="C518" t="inlineStr">
        <is>
          <t>Nuvei</t>
        </is>
      </c>
      <c r="D518" t="inlineStr">
        <is>
          <t>EUR</t>
        </is>
      </c>
      <c r="E518" s="9" t="n">
        <v>818951.26</v>
      </c>
      <c r="F518" s="9" t="n">
        <v>808974.61</v>
      </c>
      <c r="G518" s="9" t="n">
        <v>-808971.11</v>
      </c>
      <c r="H518" s="9">
        <f>IF(D518="USD",E518*$L$1,E518)</f>
        <v/>
      </c>
      <c r="I518" s="9">
        <f>IF(D518="USD",F518*$L$1,F518)</f>
        <v/>
      </c>
      <c r="J518" s="9">
        <f>IF(D518="USD",G518*$L$1,G518)</f>
        <v/>
      </c>
    </row>
    <row r="519">
      <c r="A519" s="8" t="n">
        <v>46099</v>
      </c>
      <c r="B519" t="inlineStr">
        <is>
          <t>2026-W12</t>
        </is>
      </c>
      <c r="C519" t="inlineStr">
        <is>
          <t>Nuvei</t>
        </is>
      </c>
      <c r="D519" t="inlineStr">
        <is>
          <t>EUR</t>
        </is>
      </c>
      <c r="E519" s="9" t="n">
        <v>55886.07</v>
      </c>
      <c r="F519" s="9" t="n">
        <v>54462.23</v>
      </c>
      <c r="G519" s="9" t="n">
        <v>-54458.72</v>
      </c>
      <c r="H519" s="9">
        <f>IF(D519="USD",E519*$L$1,E519)</f>
        <v/>
      </c>
      <c r="I519" s="9">
        <f>IF(D519="USD",F519*$L$1,F519)</f>
        <v/>
      </c>
      <c r="J519" s="9">
        <f>IF(D519="USD",G519*$L$1,G519)</f>
        <v/>
      </c>
    </row>
    <row r="520">
      <c r="A520" s="8" t="n">
        <v>46100</v>
      </c>
      <c r="B520" t="inlineStr">
        <is>
          <t>2026-W12</t>
        </is>
      </c>
      <c r="C520" t="inlineStr">
        <is>
          <t>Adyen</t>
        </is>
      </c>
      <c r="D520" t="inlineStr">
        <is>
          <t>EUR</t>
        </is>
      </c>
      <c r="E520" s="9" t="n">
        <v>517552.84</v>
      </c>
      <c r="F520" s="9" t="n">
        <v>0</v>
      </c>
      <c r="G520" s="9" t="n">
        <v>587427.1900000001</v>
      </c>
      <c r="H520" s="9">
        <f>IF(D520="USD",E520*$L$1,E520)</f>
        <v/>
      </c>
      <c r="I520" s="9">
        <f>IF(D520="USD",F520*$L$1,F520)</f>
        <v/>
      </c>
      <c r="J520" s="9">
        <f>IF(D520="USD",G520*$L$1,G520)</f>
        <v/>
      </c>
    </row>
    <row r="521">
      <c r="A521" s="8" t="n">
        <v>46100</v>
      </c>
      <c r="B521" t="inlineStr">
        <is>
          <t>2026-W12</t>
        </is>
      </c>
      <c r="C521" t="inlineStr">
        <is>
          <t>Adyen</t>
        </is>
      </c>
      <c r="D521" t="inlineStr">
        <is>
          <t>EUR</t>
        </is>
      </c>
      <c r="E521" s="9" t="n">
        <v>73282.88</v>
      </c>
      <c r="F521" s="9" t="n">
        <v>0</v>
      </c>
      <c r="G521" s="9" t="n">
        <v>0</v>
      </c>
      <c r="H521" s="9">
        <f>IF(D521="USD",E521*$L$1,E521)</f>
        <v/>
      </c>
      <c r="I521" s="9">
        <f>IF(D521="USD",F521*$L$1,F521)</f>
        <v/>
      </c>
      <c r="J521" s="9">
        <f>IF(D521="USD",G521*$L$1,G521)</f>
        <v/>
      </c>
    </row>
    <row r="522">
      <c r="A522" s="8" t="n">
        <v>46100</v>
      </c>
      <c r="B522" t="inlineStr">
        <is>
          <t>2026-W12</t>
        </is>
      </c>
      <c r="C522" t="inlineStr">
        <is>
          <t>Nuvei</t>
        </is>
      </c>
      <c r="D522" t="inlineStr">
        <is>
          <t>EUR</t>
        </is>
      </c>
      <c r="E522" s="9" t="n">
        <v>954803.63</v>
      </c>
      <c r="F522" s="9" t="n">
        <v>943625</v>
      </c>
      <c r="G522" s="9" t="n">
        <v>-943621.5</v>
      </c>
      <c r="H522" s="9">
        <f>IF(D522="USD",E522*$L$1,E522)</f>
        <v/>
      </c>
      <c r="I522" s="9">
        <f>IF(D522="USD",F522*$L$1,F522)</f>
        <v/>
      </c>
      <c r="J522" s="9">
        <f>IF(D522="USD",G522*$L$1,G522)</f>
        <v/>
      </c>
    </row>
    <row r="523">
      <c r="A523" s="8" t="n">
        <v>46100</v>
      </c>
      <c r="B523" t="inlineStr">
        <is>
          <t>2026-W12</t>
        </is>
      </c>
      <c r="C523" t="inlineStr">
        <is>
          <t>Nuvei</t>
        </is>
      </c>
      <c r="D523" t="inlineStr">
        <is>
          <t>EUR</t>
        </is>
      </c>
      <c r="E523" s="9" t="n">
        <v>65265.32</v>
      </c>
      <c r="F523" s="9" t="n">
        <v>63507.23</v>
      </c>
      <c r="G523" s="9" t="n">
        <v>-63503.72</v>
      </c>
      <c r="H523" s="9">
        <f>IF(D523="USD",E523*$L$1,E523)</f>
        <v/>
      </c>
      <c r="I523" s="9">
        <f>IF(D523="USD",F523*$L$1,F523)</f>
        <v/>
      </c>
      <c r="J523" s="9">
        <f>IF(D523="USD",G523*$L$1,G523)</f>
        <v/>
      </c>
    </row>
    <row r="524">
      <c r="A524" s="8" t="n">
        <v>46101</v>
      </c>
      <c r="B524" t="inlineStr">
        <is>
          <t>2026-W12</t>
        </is>
      </c>
      <c r="C524" t="inlineStr">
        <is>
          <t>Adyen</t>
        </is>
      </c>
      <c r="D524" t="inlineStr">
        <is>
          <t>EUR</t>
        </is>
      </c>
      <c r="E524" s="9" t="n">
        <v>503898.11</v>
      </c>
      <c r="F524" s="9" t="n">
        <v>0</v>
      </c>
      <c r="G524" s="9" t="n">
        <v>1388946.26</v>
      </c>
      <c r="H524" s="9">
        <f>IF(D524="USD",E524*$L$1,E524)</f>
        <v/>
      </c>
      <c r="I524" s="9">
        <f>IF(D524="USD",F524*$L$1,F524)</f>
        <v/>
      </c>
      <c r="J524" s="9">
        <f>IF(D524="USD",G524*$L$1,G524)</f>
        <v/>
      </c>
    </row>
    <row r="525">
      <c r="A525" s="8" t="n">
        <v>46101</v>
      </c>
      <c r="B525" t="inlineStr">
        <is>
          <t>2026-W12</t>
        </is>
      </c>
      <c r="C525" t="inlineStr">
        <is>
          <t>Adyen</t>
        </is>
      </c>
      <c r="D525" t="inlineStr">
        <is>
          <t>EUR</t>
        </is>
      </c>
      <c r="E525" s="9" t="n">
        <v>86253.89</v>
      </c>
      <c r="F525" s="9" t="n">
        <v>0</v>
      </c>
      <c r="G525" s="9" t="n">
        <v>0</v>
      </c>
      <c r="H525" s="9">
        <f>IF(D525="USD",E525*$L$1,E525)</f>
        <v/>
      </c>
      <c r="I525" s="9">
        <f>IF(D525="USD",F525*$L$1,F525)</f>
        <v/>
      </c>
      <c r="J525" s="9">
        <f>IF(D525="USD",G525*$L$1,G525)</f>
        <v/>
      </c>
    </row>
    <row r="526">
      <c r="A526" s="8" t="n">
        <v>46101</v>
      </c>
      <c r="B526" t="inlineStr">
        <is>
          <t>2026-W12</t>
        </is>
      </c>
      <c r="C526" t="inlineStr">
        <is>
          <t>Nuvei</t>
        </is>
      </c>
      <c r="D526" t="inlineStr">
        <is>
          <t>EUR</t>
        </is>
      </c>
      <c r="E526" s="9" t="n">
        <v>702012.22</v>
      </c>
      <c r="F526" s="9" t="n">
        <v>693186.1599999999</v>
      </c>
      <c r="G526" s="9" t="n">
        <v>-693162.66</v>
      </c>
      <c r="H526" s="9">
        <f>IF(D526="USD",E526*$L$1,E526)</f>
        <v/>
      </c>
      <c r="I526" s="9">
        <f>IF(D526="USD",F526*$L$1,F526)</f>
        <v/>
      </c>
      <c r="J526" s="9">
        <f>IF(D526="USD",G526*$L$1,G526)</f>
        <v/>
      </c>
    </row>
    <row r="527">
      <c r="A527" s="8" t="n">
        <v>46101</v>
      </c>
      <c r="B527" t="inlineStr">
        <is>
          <t>2026-W12</t>
        </is>
      </c>
      <c r="C527" t="inlineStr">
        <is>
          <t>Nuvei</t>
        </is>
      </c>
      <c r="D527" t="inlineStr">
        <is>
          <t>EUR</t>
        </is>
      </c>
      <c r="E527" s="9" t="n">
        <v>44970.5</v>
      </c>
      <c r="F527" s="9" t="n">
        <v>43656.72</v>
      </c>
      <c r="G527" s="9" t="n">
        <v>-43653.22</v>
      </c>
      <c r="H527" s="9">
        <f>IF(D527="USD",E527*$L$1,E527)</f>
        <v/>
      </c>
      <c r="I527" s="9">
        <f>IF(D527="USD",F527*$L$1,F527)</f>
        <v/>
      </c>
      <c r="J527" s="9">
        <f>IF(D527="USD",G527*$L$1,G527)</f>
        <v/>
      </c>
    </row>
    <row r="528">
      <c r="A528" s="8" t="n">
        <v>46102</v>
      </c>
      <c r="B528" t="inlineStr">
        <is>
          <t>2026-W12</t>
        </is>
      </c>
      <c r="C528" t="inlineStr">
        <is>
          <t>Adyen</t>
        </is>
      </c>
      <c r="D528" t="inlineStr">
        <is>
          <t>EUR</t>
        </is>
      </c>
      <c r="E528" s="9" t="n">
        <v>322826.94</v>
      </c>
      <c r="F528" s="9" t="n">
        <v>0</v>
      </c>
      <c r="G528" s="9" t="n">
        <v>0</v>
      </c>
      <c r="H528" s="9">
        <f>IF(D528="USD",E528*$L$1,E528)</f>
        <v/>
      </c>
      <c r="I528" s="9">
        <f>IF(D528="USD",F528*$L$1,F528)</f>
        <v/>
      </c>
      <c r="J528" s="9">
        <f>IF(D528="USD",G528*$L$1,G528)</f>
        <v/>
      </c>
    </row>
    <row r="529">
      <c r="A529" s="8" t="n">
        <v>46102</v>
      </c>
      <c r="B529" t="inlineStr">
        <is>
          <t>2026-W12</t>
        </is>
      </c>
      <c r="C529" t="inlineStr">
        <is>
          <t>Adyen</t>
        </is>
      </c>
      <c r="D529" t="inlineStr">
        <is>
          <t>EUR</t>
        </is>
      </c>
      <c r="E529" s="9" t="n">
        <v>56067.02</v>
      </c>
      <c r="F529" s="9" t="n">
        <v>0</v>
      </c>
      <c r="G529" s="9" t="n">
        <v>0</v>
      </c>
      <c r="H529" s="9">
        <f>IF(D529="USD",E529*$L$1,E529)</f>
        <v/>
      </c>
      <c r="I529" s="9">
        <f>IF(D529="USD",F529*$L$1,F529)</f>
        <v/>
      </c>
      <c r="J529" s="9">
        <f>IF(D529="USD",G529*$L$1,G529)</f>
        <v/>
      </c>
    </row>
    <row r="530">
      <c r="A530" s="8" t="n">
        <v>46102</v>
      </c>
      <c r="B530" t="inlineStr">
        <is>
          <t>2026-W12</t>
        </is>
      </c>
      <c r="C530" t="inlineStr">
        <is>
          <t>Nuvei</t>
        </is>
      </c>
      <c r="D530" t="inlineStr">
        <is>
          <t>EUR</t>
        </is>
      </c>
      <c r="E530" s="9" t="n">
        <v>615910.6899999999</v>
      </c>
      <c r="F530" s="9" t="n">
        <v>607942.7799999999</v>
      </c>
      <c r="G530" s="9" t="n">
        <v>0</v>
      </c>
      <c r="H530" s="9">
        <f>IF(D530="USD",E530*$L$1,E530)</f>
        <v/>
      </c>
      <c r="I530" s="9">
        <f>IF(D530="USD",F530*$L$1,F530)</f>
        <v/>
      </c>
      <c r="J530" s="9">
        <f>IF(D530="USD",G530*$L$1,G530)</f>
        <v/>
      </c>
    </row>
    <row r="531">
      <c r="A531" s="8" t="n">
        <v>46102</v>
      </c>
      <c r="B531" t="inlineStr">
        <is>
          <t>2026-W12</t>
        </is>
      </c>
      <c r="C531" t="inlineStr">
        <is>
          <t>Nuvei</t>
        </is>
      </c>
      <c r="D531" t="inlineStr">
        <is>
          <t>EUR</t>
        </is>
      </c>
      <c r="E531" s="9" t="n">
        <v>61709.01</v>
      </c>
      <c r="F531" s="9" t="n">
        <v>59961.68</v>
      </c>
      <c r="G531" s="9" t="n">
        <v>0</v>
      </c>
      <c r="H531" s="9">
        <f>IF(D531="USD",E531*$L$1,E531)</f>
        <v/>
      </c>
      <c r="I531" s="9">
        <f>IF(D531="USD",F531*$L$1,F531)</f>
        <v/>
      </c>
      <c r="J531" s="9">
        <f>IF(D531="USD",G531*$L$1,G531)</f>
        <v/>
      </c>
    </row>
    <row r="532">
      <c r="A532" s="8" t="n">
        <v>46103</v>
      </c>
      <c r="B532" t="inlineStr">
        <is>
          <t>2026-W12</t>
        </is>
      </c>
      <c r="C532" t="inlineStr">
        <is>
          <t>Adyen</t>
        </is>
      </c>
      <c r="D532" t="inlineStr">
        <is>
          <t>EUR</t>
        </is>
      </c>
      <c r="E532" s="9" t="n">
        <v>389564.95</v>
      </c>
      <c r="F532" s="9" t="n">
        <v>0</v>
      </c>
      <c r="G532" s="9" t="n">
        <v>0</v>
      </c>
      <c r="H532" s="9">
        <f>IF(D532="USD",E532*$L$1,E532)</f>
        <v/>
      </c>
      <c r="I532" s="9">
        <f>IF(D532="USD",F532*$L$1,F532)</f>
        <v/>
      </c>
      <c r="J532" s="9">
        <f>IF(D532="USD",G532*$L$1,G532)</f>
        <v/>
      </c>
    </row>
    <row r="533">
      <c r="A533" s="8" t="n">
        <v>46103</v>
      </c>
      <c r="B533" t="inlineStr">
        <is>
          <t>2026-W12</t>
        </is>
      </c>
      <c r="C533" t="inlineStr">
        <is>
          <t>Adyen</t>
        </is>
      </c>
      <c r="D533" t="inlineStr">
        <is>
          <t>EUR</t>
        </is>
      </c>
      <c r="E533" s="9" t="n">
        <v>50531.77</v>
      </c>
      <c r="F533" s="9" t="n">
        <v>0</v>
      </c>
      <c r="G533" s="9" t="n">
        <v>0</v>
      </c>
      <c r="H533" s="9">
        <f>IF(D533="USD",E533*$L$1,E533)</f>
        <v/>
      </c>
      <c r="I533" s="9">
        <f>IF(D533="USD",F533*$L$1,F533)</f>
        <v/>
      </c>
      <c r="J533" s="9">
        <f>IF(D533="USD",G533*$L$1,G533)</f>
        <v/>
      </c>
    </row>
    <row r="534">
      <c r="A534" s="8" t="n">
        <v>46103</v>
      </c>
      <c r="B534" t="inlineStr">
        <is>
          <t>2026-W12</t>
        </is>
      </c>
      <c r="C534" t="inlineStr">
        <is>
          <t>Nuvei</t>
        </is>
      </c>
      <c r="D534" t="inlineStr">
        <is>
          <t>EUR</t>
        </is>
      </c>
      <c r="E534" s="9" t="n">
        <v>762129.64</v>
      </c>
      <c r="F534" s="9" t="n">
        <v>753190.46</v>
      </c>
      <c r="G534" s="9" t="n">
        <v>0</v>
      </c>
      <c r="H534" s="9">
        <f>IF(D534="USD",E534*$L$1,E534)</f>
        <v/>
      </c>
      <c r="I534" s="9">
        <f>IF(D534="USD",F534*$L$1,F534)</f>
        <v/>
      </c>
      <c r="J534" s="9">
        <f>IF(D534="USD",G534*$L$1,G534)</f>
        <v/>
      </c>
    </row>
    <row r="535">
      <c r="A535" s="8" t="n">
        <v>46103</v>
      </c>
      <c r="B535" t="inlineStr">
        <is>
          <t>2026-W12</t>
        </is>
      </c>
      <c r="C535" t="inlineStr">
        <is>
          <t>Nuvei</t>
        </is>
      </c>
      <c r="D535" t="inlineStr">
        <is>
          <t>EUR</t>
        </is>
      </c>
      <c r="E535" s="9" t="n">
        <v>48951.28</v>
      </c>
      <c r="F535" s="9" t="n">
        <v>47572.04</v>
      </c>
      <c r="G535" s="9" t="n">
        <v>0</v>
      </c>
      <c r="H535" s="9">
        <f>IF(D535="USD",E535*$L$1,E535)</f>
        <v/>
      </c>
      <c r="I535" s="9">
        <f>IF(D535="USD",F535*$L$1,F535)</f>
        <v/>
      </c>
      <c r="J535" s="9">
        <f>IF(D535="USD",G535*$L$1,G535)</f>
        <v/>
      </c>
    </row>
    <row r="536">
      <c r="A536" s="8" t="n">
        <v>46104</v>
      </c>
      <c r="B536" t="inlineStr">
        <is>
          <t>2026-W13</t>
        </is>
      </c>
      <c r="C536" t="inlineStr">
        <is>
          <t>Adyen</t>
        </is>
      </c>
      <c r="D536" t="inlineStr">
        <is>
          <t>EUR</t>
        </is>
      </c>
      <c r="E536" s="9" t="n">
        <v>667732.27</v>
      </c>
      <c r="F536" s="9" t="n">
        <v>0</v>
      </c>
      <c r="G536" s="9" t="n">
        <v>664108.6499999999</v>
      </c>
      <c r="H536" s="9">
        <f>IF(D536="USD",E536*$L$1,E536)</f>
        <v/>
      </c>
      <c r="I536" s="9">
        <f>IF(D536="USD",F536*$L$1,F536)</f>
        <v/>
      </c>
      <c r="J536" s="9">
        <f>IF(D536="USD",G536*$L$1,G536)</f>
        <v/>
      </c>
    </row>
    <row r="537">
      <c r="A537" s="8" t="n">
        <v>46104</v>
      </c>
      <c r="B537" t="inlineStr">
        <is>
          <t>2026-W13</t>
        </is>
      </c>
      <c r="C537" t="inlineStr">
        <is>
          <t>Adyen</t>
        </is>
      </c>
      <c r="D537" t="inlineStr">
        <is>
          <t>EUR</t>
        </is>
      </c>
      <c r="E537" s="9" t="n">
        <v>10482.83</v>
      </c>
      <c r="F537" s="9" t="n">
        <v>0</v>
      </c>
      <c r="G537" s="9" t="n">
        <v>614183.34</v>
      </c>
      <c r="H537" s="9">
        <f>IF(D537="USD",E537*$L$1,E537)</f>
        <v/>
      </c>
      <c r="I537" s="9">
        <f>IF(D537="USD",F537*$L$1,F537)</f>
        <v/>
      </c>
      <c r="J537" s="9">
        <f>IF(D537="USD",G537*$L$1,G537)</f>
        <v/>
      </c>
    </row>
    <row r="538">
      <c r="A538" s="8" t="n">
        <v>46104</v>
      </c>
      <c r="B538" t="inlineStr">
        <is>
          <t>2026-W13</t>
        </is>
      </c>
      <c r="C538" t="inlineStr">
        <is>
          <t>Nuvei</t>
        </is>
      </c>
      <c r="D538" t="inlineStr">
        <is>
          <t>EUR</t>
        </is>
      </c>
      <c r="E538" s="9" t="n">
        <v>815976.55</v>
      </c>
      <c r="F538" s="9" t="n">
        <v>805519.55</v>
      </c>
      <c r="G538" s="9" t="n">
        <v>-2166639.3</v>
      </c>
      <c r="H538" s="9">
        <f>IF(D538="USD",E538*$L$1,E538)</f>
        <v/>
      </c>
      <c r="I538" s="9">
        <f>IF(D538="USD",F538*$L$1,F538)</f>
        <v/>
      </c>
      <c r="J538" s="9">
        <f>IF(D538="USD",G538*$L$1,G538)</f>
        <v/>
      </c>
    </row>
    <row r="539">
      <c r="A539" s="8" t="n">
        <v>46104</v>
      </c>
      <c r="B539" t="inlineStr">
        <is>
          <t>2026-W13</t>
        </is>
      </c>
      <c r="C539" t="inlineStr">
        <is>
          <t>Nuvei</t>
        </is>
      </c>
      <c r="D539" t="inlineStr">
        <is>
          <t>EUR</t>
        </is>
      </c>
      <c r="E539" s="9" t="n">
        <v>10002.92</v>
      </c>
      <c r="F539" s="9" t="n">
        <v>9735.469999999999</v>
      </c>
      <c r="G539" s="9" t="n">
        <v>-117265.67</v>
      </c>
      <c r="H539" s="9">
        <f>IF(D539="USD",E539*$L$1,E539)</f>
        <v/>
      </c>
      <c r="I539" s="9">
        <f>IF(D539="USD",F539*$L$1,F539)</f>
        <v/>
      </c>
      <c r="J539" s="9">
        <f>IF(D539="USD",G539*$L$1,G539)</f>
        <v/>
      </c>
    </row>
    <row r="540">
      <c r="A540" s="8" t="n">
        <v>46105</v>
      </c>
      <c r="B540" t="inlineStr">
        <is>
          <t>2026-W13</t>
        </is>
      </c>
      <c r="C540" t="inlineStr">
        <is>
          <t>Adyen</t>
        </is>
      </c>
      <c r="D540" t="inlineStr">
        <is>
          <t>EUR</t>
        </is>
      </c>
      <c r="E540" s="9" t="n">
        <v>622533.28</v>
      </c>
      <c r="F540" s="9" t="n">
        <v>0</v>
      </c>
      <c r="G540" s="9" t="n">
        <v>0</v>
      </c>
      <c r="H540" s="9">
        <f>IF(D540="USD",E540*$L$1,E540)</f>
        <v/>
      </c>
      <c r="I540" s="9">
        <f>IF(D540="USD",F540*$L$1,F540)</f>
        <v/>
      </c>
      <c r="J540" s="9">
        <f>IF(D540="USD",G540*$L$1,G540)</f>
        <v/>
      </c>
    </row>
    <row r="541">
      <c r="A541" s="8" t="n">
        <v>46105</v>
      </c>
      <c r="B541" t="inlineStr">
        <is>
          <t>2026-W13</t>
        </is>
      </c>
      <c r="C541" t="inlineStr">
        <is>
          <t>Adyen</t>
        </is>
      </c>
      <c r="D541" t="inlineStr">
        <is>
          <t>EUR</t>
        </is>
      </c>
      <c r="E541" s="9" t="n">
        <v>0</v>
      </c>
      <c r="F541" s="9" t="n">
        <v>0</v>
      </c>
      <c r="G541" s="9" t="n">
        <v>0</v>
      </c>
      <c r="H541" s="9">
        <f>IF(D541="USD",E541*$L$1,E541)</f>
        <v/>
      </c>
      <c r="I541" s="9">
        <f>IF(D541="USD",F541*$L$1,F541)</f>
        <v/>
      </c>
      <c r="J541" s="9">
        <f>IF(D541="USD",G541*$L$1,G541)</f>
        <v/>
      </c>
    </row>
    <row r="542">
      <c r="A542" s="8" t="n">
        <v>46105</v>
      </c>
      <c r="B542" t="inlineStr">
        <is>
          <t>2026-W13</t>
        </is>
      </c>
      <c r="C542" t="inlineStr">
        <is>
          <t>Nuvei</t>
        </is>
      </c>
      <c r="D542" t="inlineStr">
        <is>
          <t>EUR</t>
        </is>
      </c>
      <c r="E542" s="9" t="n">
        <v>822485.28</v>
      </c>
      <c r="F542" s="9" t="n">
        <v>812209.0700000001</v>
      </c>
      <c r="G542" s="9" t="n">
        <v>-812205.58</v>
      </c>
      <c r="H542" s="9">
        <f>IF(D542="USD",E542*$L$1,E542)</f>
        <v/>
      </c>
      <c r="I542" s="9">
        <f>IF(D542="USD",F542*$L$1,F542)</f>
        <v/>
      </c>
      <c r="J542" s="9">
        <f>IF(D542="USD",G542*$L$1,G542)</f>
        <v/>
      </c>
    </row>
    <row r="543">
      <c r="A543" s="8" t="n">
        <v>46105</v>
      </c>
      <c r="B543" t="inlineStr">
        <is>
          <t>2026-W13</t>
        </is>
      </c>
      <c r="C543" t="inlineStr">
        <is>
          <t>Nuvei</t>
        </is>
      </c>
      <c r="D543" t="inlineStr">
        <is>
          <t>EUR</t>
        </is>
      </c>
      <c r="E543" s="9" t="n">
        <v>-2451.84</v>
      </c>
      <c r="F543" s="9" t="n">
        <v>-2453</v>
      </c>
      <c r="G543" s="9" t="n">
        <v>0</v>
      </c>
      <c r="H543" s="9">
        <f>IF(D543="USD",E543*$L$1,E543)</f>
        <v/>
      </c>
      <c r="I543" s="9">
        <f>IF(D543="USD",F543*$L$1,F543)</f>
        <v/>
      </c>
      <c r="J543" s="9">
        <f>IF(D543="USD",G543*$L$1,G543)</f>
        <v/>
      </c>
    </row>
    <row r="544">
      <c r="A544" s="8" t="n">
        <v>46106</v>
      </c>
      <c r="B544" t="inlineStr">
        <is>
          <t>2026-W13</t>
        </is>
      </c>
      <c r="C544" t="inlineStr">
        <is>
          <t>Adyen</t>
        </is>
      </c>
      <c r="D544" t="inlineStr">
        <is>
          <t>EUR</t>
        </is>
      </c>
      <c r="E544" s="9" t="n">
        <v>611348</v>
      </c>
      <c r="F544" s="9" t="n">
        <v>0</v>
      </c>
      <c r="G544" s="9" t="n">
        <v>659380.84</v>
      </c>
      <c r="H544" s="9">
        <f>IF(D544="USD",E544*$L$1,E544)</f>
        <v/>
      </c>
      <c r="I544" s="9">
        <f>IF(D544="USD",F544*$L$1,F544)</f>
        <v/>
      </c>
      <c r="J544" s="9">
        <f>IF(D544="USD",G544*$L$1,G544)</f>
        <v/>
      </c>
    </row>
    <row r="545">
      <c r="A545" s="8" t="n">
        <v>46106</v>
      </c>
      <c r="B545" t="inlineStr">
        <is>
          <t>2026-W13</t>
        </is>
      </c>
      <c r="C545" t="inlineStr">
        <is>
          <t>Adyen</t>
        </is>
      </c>
      <c r="D545" t="inlineStr">
        <is>
          <t>EUR</t>
        </is>
      </c>
      <c r="E545" s="9" t="n">
        <v>58016</v>
      </c>
      <c r="F545" s="9" t="n">
        <v>0</v>
      </c>
      <c r="G545" s="9" t="n">
        <v>0</v>
      </c>
      <c r="H545" s="9">
        <f>IF(D545="USD",E545*$L$1,E545)</f>
        <v/>
      </c>
      <c r="I545" s="9">
        <f>IF(D545="USD",F545*$L$1,F545)</f>
        <v/>
      </c>
      <c r="J545" s="9">
        <f>IF(D545="USD",G545*$L$1,G545)</f>
        <v/>
      </c>
    </row>
    <row r="546">
      <c r="A546" s="8" t="n">
        <v>46106</v>
      </c>
      <c r="B546" t="inlineStr">
        <is>
          <t>2026-W13</t>
        </is>
      </c>
      <c r="C546" t="inlineStr">
        <is>
          <t>Nuvei</t>
        </is>
      </c>
      <c r="D546" t="inlineStr">
        <is>
          <t>EUR</t>
        </is>
      </c>
      <c r="E546" s="9" t="n">
        <v>805109.0699999999</v>
      </c>
      <c r="F546" s="9" t="n">
        <v>795025.2899999999</v>
      </c>
      <c r="G546" s="9" t="n">
        <v>-795011.8</v>
      </c>
      <c r="H546" s="9">
        <f>IF(D546="USD",E546*$L$1,E546)</f>
        <v/>
      </c>
      <c r="I546" s="9">
        <f>IF(D546="USD",F546*$L$1,F546)</f>
        <v/>
      </c>
      <c r="J546" s="9">
        <f>IF(D546="USD",G546*$L$1,G546)</f>
        <v/>
      </c>
    </row>
    <row r="547">
      <c r="A547" s="8" t="n">
        <v>46106</v>
      </c>
      <c r="B547" t="inlineStr">
        <is>
          <t>2026-W13</t>
        </is>
      </c>
      <c r="C547" t="inlineStr">
        <is>
          <t>Nuvei</t>
        </is>
      </c>
      <c r="D547" t="inlineStr">
        <is>
          <t>EUR</t>
        </is>
      </c>
      <c r="E547" s="9" t="n">
        <v>30198.98</v>
      </c>
      <c r="F547" s="9" t="n">
        <v>29370.42</v>
      </c>
      <c r="G547" s="9" t="n">
        <v>-26910.42</v>
      </c>
      <c r="H547" s="9">
        <f>IF(D547="USD",E547*$L$1,E547)</f>
        <v/>
      </c>
      <c r="I547" s="9">
        <f>IF(D547="USD",F547*$L$1,F547)</f>
        <v/>
      </c>
      <c r="J547" s="9">
        <f>IF(D547="USD",G547*$L$1,G547)</f>
        <v/>
      </c>
    </row>
    <row r="548">
      <c r="A548" s="8" t="n">
        <v>46107</v>
      </c>
      <c r="B548" t="inlineStr">
        <is>
          <t>2026-W13</t>
        </is>
      </c>
      <c r="C548" t="inlineStr">
        <is>
          <t>Adyen</t>
        </is>
      </c>
      <c r="D548" t="inlineStr">
        <is>
          <t>EUR</t>
        </is>
      </c>
      <c r="E548" s="9" t="n">
        <v>496327.72</v>
      </c>
      <c r="F548" s="9" t="n">
        <v>0</v>
      </c>
      <c r="G548" s="9" t="n">
        <v>538176.87</v>
      </c>
      <c r="H548" s="9">
        <f>IF(D548="USD",E548*$L$1,E548)</f>
        <v/>
      </c>
      <c r="I548" s="9">
        <f>IF(D548="USD",F548*$L$1,F548)</f>
        <v/>
      </c>
      <c r="J548" s="9">
        <f>IF(D548="USD",G548*$L$1,G548)</f>
        <v/>
      </c>
    </row>
    <row r="549">
      <c r="A549" s="8" t="n">
        <v>46107</v>
      </c>
      <c r="B549" t="inlineStr">
        <is>
          <t>2026-W13</t>
        </is>
      </c>
      <c r="C549" t="inlineStr">
        <is>
          <t>Adyen</t>
        </is>
      </c>
      <c r="D549" t="inlineStr">
        <is>
          <t>EUR</t>
        </is>
      </c>
      <c r="E549" s="9" t="n">
        <v>52230.59</v>
      </c>
      <c r="F549" s="9" t="n">
        <v>0</v>
      </c>
      <c r="G549" s="9" t="n">
        <v>0</v>
      </c>
      <c r="H549" s="9">
        <f>IF(D549="USD",E549*$L$1,E549)</f>
        <v/>
      </c>
      <c r="I549" s="9">
        <f>IF(D549="USD",F549*$L$1,F549)</f>
        <v/>
      </c>
      <c r="J549" s="9">
        <f>IF(D549="USD",G549*$L$1,G549)</f>
        <v/>
      </c>
    </row>
    <row r="550">
      <c r="A550" s="8" t="n">
        <v>46107</v>
      </c>
      <c r="B550" t="inlineStr">
        <is>
          <t>2026-W13</t>
        </is>
      </c>
      <c r="C550" t="inlineStr">
        <is>
          <t>Nuvei</t>
        </is>
      </c>
      <c r="D550" t="inlineStr">
        <is>
          <t>EUR</t>
        </is>
      </c>
      <c r="E550" s="9" t="n">
        <v>968134.8100000001</v>
      </c>
      <c r="F550" s="9" t="n">
        <v>953975.6900000001</v>
      </c>
      <c r="G550" s="9" t="n">
        <v>-962918.0699999999</v>
      </c>
      <c r="H550" s="9">
        <f>IF(D550="USD",E550*$L$1,E550)</f>
        <v/>
      </c>
      <c r="I550" s="9">
        <f>IF(D550="USD",F550*$L$1,F550)</f>
        <v/>
      </c>
      <c r="J550" s="9">
        <f>IF(D550="USD",G550*$L$1,G550)</f>
        <v/>
      </c>
    </row>
    <row r="551">
      <c r="A551" s="8" t="n">
        <v>46107</v>
      </c>
      <c r="B551" t="inlineStr">
        <is>
          <t>2026-W13</t>
        </is>
      </c>
      <c r="C551" t="inlineStr">
        <is>
          <t>Nuvei</t>
        </is>
      </c>
      <c r="D551" t="inlineStr">
        <is>
          <t>EUR</t>
        </is>
      </c>
      <c r="E551" s="9" t="n">
        <v>180373.36</v>
      </c>
      <c r="F551" s="9" t="n">
        <v>175218.81</v>
      </c>
      <c r="G551" s="9" t="n">
        <v>-176218.85</v>
      </c>
      <c r="H551" s="9">
        <f>IF(D551="USD",E551*$L$1,E551)</f>
        <v/>
      </c>
      <c r="I551" s="9">
        <f>IF(D551="USD",F551*$L$1,F551)</f>
        <v/>
      </c>
      <c r="J551" s="9">
        <f>IF(D551="USD",G551*$L$1,G551)</f>
        <v/>
      </c>
    </row>
    <row r="552">
      <c r="A552" s="8" t="n">
        <v>46108</v>
      </c>
      <c r="B552" t="inlineStr">
        <is>
          <t>2026-W13</t>
        </is>
      </c>
      <c r="C552" t="inlineStr">
        <is>
          <t>Adyen</t>
        </is>
      </c>
      <c r="D552" t="inlineStr">
        <is>
          <t>EUR</t>
        </is>
      </c>
      <c r="E552" s="9" t="n">
        <v>430109.33</v>
      </c>
      <c r="F552" s="9" t="n">
        <v>0</v>
      </c>
      <c r="G552" s="9" t="n">
        <v>1185856.66</v>
      </c>
      <c r="H552" s="9">
        <f>IF(D552="USD",E552*$L$1,E552)</f>
        <v/>
      </c>
      <c r="I552" s="9">
        <f>IF(D552="USD",F552*$L$1,F552)</f>
        <v/>
      </c>
      <c r="J552" s="9">
        <f>IF(D552="USD",G552*$L$1,G552)</f>
        <v/>
      </c>
    </row>
    <row r="553">
      <c r="A553" s="8" t="n">
        <v>46108</v>
      </c>
      <c r="B553" t="inlineStr">
        <is>
          <t>2026-W13</t>
        </is>
      </c>
      <c r="C553" t="inlineStr">
        <is>
          <t>Adyen</t>
        </is>
      </c>
      <c r="D553" t="inlineStr">
        <is>
          <t>EUR</t>
        </is>
      </c>
      <c r="E553" s="9" t="n">
        <v>59133.43</v>
      </c>
      <c r="F553" s="9" t="n">
        <v>0</v>
      </c>
      <c r="G553" s="9" t="n">
        <v>0</v>
      </c>
      <c r="H553" s="9">
        <f>IF(D553="USD",E553*$L$1,E553)</f>
        <v/>
      </c>
      <c r="I553" s="9">
        <f>IF(D553="USD",F553*$L$1,F553)</f>
        <v/>
      </c>
      <c r="J553" s="9">
        <f>IF(D553="USD",G553*$L$1,G553)</f>
        <v/>
      </c>
    </row>
    <row r="554">
      <c r="A554" s="8" t="n">
        <v>46108</v>
      </c>
      <c r="B554" t="inlineStr">
        <is>
          <t>2026-W13</t>
        </is>
      </c>
      <c r="C554" t="inlineStr">
        <is>
          <t>Nuvei</t>
        </is>
      </c>
      <c r="D554" t="inlineStr">
        <is>
          <t>EUR</t>
        </is>
      </c>
      <c r="E554" s="9" t="n">
        <v>235436.26</v>
      </c>
      <c r="F554" s="9" t="n">
        <v>230598.81</v>
      </c>
      <c r="G554" s="9" t="n">
        <v>-230595.31</v>
      </c>
      <c r="H554" s="9">
        <f>IF(D554="USD",E554*$L$1,E554)</f>
        <v/>
      </c>
      <c r="I554" s="9">
        <f>IF(D554="USD",F554*$L$1,F554)</f>
        <v/>
      </c>
      <c r="J554" s="9">
        <f>IF(D554="USD",G554*$L$1,G554)</f>
        <v/>
      </c>
    </row>
    <row r="555">
      <c r="A555" s="8" t="n">
        <v>46108</v>
      </c>
      <c r="B555" t="inlineStr">
        <is>
          <t>2026-W13</t>
        </is>
      </c>
      <c r="C555" t="inlineStr">
        <is>
          <t>Nuvei</t>
        </is>
      </c>
      <c r="D555" t="inlineStr">
        <is>
          <t>EUR</t>
        </is>
      </c>
      <c r="E555" s="9" t="n">
        <v>158075.92</v>
      </c>
      <c r="F555" s="9" t="n">
        <v>153369.51</v>
      </c>
      <c r="G555" s="9" t="n">
        <v>-153366.01</v>
      </c>
      <c r="H555" s="9">
        <f>IF(D555="USD",E555*$L$1,E555)</f>
        <v/>
      </c>
      <c r="I555" s="9">
        <f>IF(D555="USD",F555*$L$1,F555)</f>
        <v/>
      </c>
      <c r="J555" s="9">
        <f>IF(D555="USD",G555*$L$1,G555)</f>
        <v/>
      </c>
    </row>
    <row r="556">
      <c r="A556" s="8" t="n">
        <v>46109</v>
      </c>
      <c r="B556" t="inlineStr">
        <is>
          <t>2026-W13</t>
        </is>
      </c>
      <c r="C556" t="inlineStr">
        <is>
          <t>Adyen</t>
        </is>
      </c>
      <c r="D556" t="inlineStr">
        <is>
          <t>EUR</t>
        </is>
      </c>
      <c r="E556" s="9" t="n">
        <v>309426.78</v>
      </c>
      <c r="F556" s="9" t="n">
        <v>0</v>
      </c>
      <c r="G556" s="9" t="n">
        <v>0</v>
      </c>
      <c r="H556" s="9">
        <f>IF(D556="USD",E556*$L$1,E556)</f>
        <v/>
      </c>
      <c r="I556" s="9">
        <f>IF(D556="USD",F556*$L$1,F556)</f>
        <v/>
      </c>
      <c r="J556" s="9">
        <f>IF(D556="USD",G556*$L$1,G556)</f>
        <v/>
      </c>
    </row>
    <row r="557">
      <c r="A557" s="8" t="n">
        <v>46109</v>
      </c>
      <c r="B557" t="inlineStr">
        <is>
          <t>2026-W13</t>
        </is>
      </c>
      <c r="C557" t="inlineStr">
        <is>
          <t>Adyen</t>
        </is>
      </c>
      <c r="D557" t="inlineStr">
        <is>
          <t>EUR</t>
        </is>
      </c>
      <c r="E557" s="9" t="n">
        <v>56551.53</v>
      </c>
      <c r="F557" s="9" t="n">
        <v>0</v>
      </c>
      <c r="G557" s="9" t="n">
        <v>0</v>
      </c>
      <c r="H557" s="9">
        <f>IF(D557="USD",E557*$L$1,E557)</f>
        <v/>
      </c>
      <c r="I557" s="9">
        <f>IF(D557="USD",F557*$L$1,F557)</f>
        <v/>
      </c>
      <c r="J557" s="9">
        <f>IF(D557="USD",G557*$L$1,G557)</f>
        <v/>
      </c>
    </row>
    <row r="558">
      <c r="A558" s="8" t="n">
        <v>46109</v>
      </c>
      <c r="B558" t="inlineStr">
        <is>
          <t>2026-W13</t>
        </is>
      </c>
      <c r="C558" t="inlineStr">
        <is>
          <t>Nuvei</t>
        </is>
      </c>
      <c r="D558" t="inlineStr">
        <is>
          <t>EUR</t>
        </is>
      </c>
      <c r="E558" s="9" t="n">
        <v>827149.74</v>
      </c>
      <c r="F558" s="9" t="n">
        <v>816096.46</v>
      </c>
      <c r="G558" s="9" t="n">
        <v>0</v>
      </c>
      <c r="H558" s="9">
        <f>IF(D558="USD",E558*$L$1,E558)</f>
        <v/>
      </c>
      <c r="I558" s="9">
        <f>IF(D558="USD",F558*$L$1,F558)</f>
        <v/>
      </c>
      <c r="J558" s="9">
        <f>IF(D558="USD",G558*$L$1,G558)</f>
        <v/>
      </c>
    </row>
    <row r="559">
      <c r="A559" s="8" t="n">
        <v>46109</v>
      </c>
      <c r="B559" t="inlineStr">
        <is>
          <t>2026-W13</t>
        </is>
      </c>
      <c r="C559" t="inlineStr">
        <is>
          <t>Nuvei</t>
        </is>
      </c>
      <c r="D559" t="inlineStr">
        <is>
          <t>EUR</t>
        </is>
      </c>
      <c r="E559" s="9" t="n">
        <v>220395.16</v>
      </c>
      <c r="F559" s="9" t="n">
        <v>214153.96</v>
      </c>
      <c r="G559" s="9" t="n">
        <v>0</v>
      </c>
      <c r="H559" s="9">
        <f>IF(D559="USD",E559*$L$1,E559)</f>
        <v/>
      </c>
      <c r="I559" s="9">
        <f>IF(D559="USD",F559*$L$1,F559)</f>
        <v/>
      </c>
      <c r="J559" s="9">
        <f>IF(D559="USD",G559*$L$1,G559)</f>
        <v/>
      </c>
    </row>
    <row r="560">
      <c r="A560" s="8" t="n">
        <v>46110</v>
      </c>
      <c r="B560" t="inlineStr">
        <is>
          <t>2026-W13</t>
        </is>
      </c>
      <c r="C560" t="inlineStr">
        <is>
          <t>Adyen</t>
        </is>
      </c>
      <c r="D560" t="inlineStr">
        <is>
          <t>EUR</t>
        </is>
      </c>
      <c r="E560" s="9" t="n">
        <v>296038.98</v>
      </c>
      <c r="F560" s="9" t="n">
        <v>0</v>
      </c>
      <c r="G560" s="9" t="n">
        <v>0</v>
      </c>
      <c r="H560" s="9">
        <f>IF(D560="USD",E560*$L$1,E560)</f>
        <v/>
      </c>
      <c r="I560" s="9">
        <f>IF(D560="USD",F560*$L$1,F560)</f>
        <v/>
      </c>
      <c r="J560" s="9">
        <f>IF(D560="USD",G560*$L$1,G560)</f>
        <v/>
      </c>
    </row>
    <row r="561">
      <c r="A561" s="8" t="n">
        <v>46110</v>
      </c>
      <c r="B561" t="inlineStr">
        <is>
          <t>2026-W13</t>
        </is>
      </c>
      <c r="C561" t="inlineStr">
        <is>
          <t>Adyen</t>
        </is>
      </c>
      <c r="D561" t="inlineStr">
        <is>
          <t>EUR</t>
        </is>
      </c>
      <c r="E561" s="9" t="n">
        <v>44210.55</v>
      </c>
      <c r="F561" s="9" t="n">
        <v>0</v>
      </c>
      <c r="G561" s="9" t="n">
        <v>0</v>
      </c>
      <c r="H561" s="9">
        <f>IF(D561="USD",E561*$L$1,E561)</f>
        <v/>
      </c>
      <c r="I561" s="9">
        <f>IF(D561="USD",F561*$L$1,F561)</f>
        <v/>
      </c>
      <c r="J561" s="9">
        <f>IF(D561="USD",G561*$L$1,G561)</f>
        <v/>
      </c>
    </row>
    <row r="562">
      <c r="A562" s="8" t="n">
        <v>46110</v>
      </c>
      <c r="B562" t="inlineStr">
        <is>
          <t>2026-W13</t>
        </is>
      </c>
      <c r="C562" t="inlineStr">
        <is>
          <t>Nuvei</t>
        </is>
      </c>
      <c r="D562" t="inlineStr">
        <is>
          <t>EUR</t>
        </is>
      </c>
      <c r="E562" s="9" t="n">
        <v>1545930.99</v>
      </c>
      <c r="F562" s="9" t="n">
        <v>1527904.05</v>
      </c>
      <c r="G562" s="9" t="n">
        <v>0</v>
      </c>
      <c r="H562" s="9">
        <f>IF(D562="USD",E562*$L$1,E562)</f>
        <v/>
      </c>
      <c r="I562" s="9">
        <f>IF(D562="USD",F562*$L$1,F562)</f>
        <v/>
      </c>
      <c r="J562" s="9">
        <f>IF(D562="USD",G562*$L$1,G562)</f>
        <v/>
      </c>
    </row>
    <row r="563">
      <c r="A563" s="8" t="n">
        <v>46110</v>
      </c>
      <c r="B563" t="inlineStr">
        <is>
          <t>2026-W13</t>
        </is>
      </c>
      <c r="C563" t="inlineStr">
        <is>
          <t>Nuvei</t>
        </is>
      </c>
      <c r="D563" t="inlineStr">
        <is>
          <t>EUR</t>
        </is>
      </c>
      <c r="E563" s="9" t="n">
        <v>176746.76</v>
      </c>
      <c r="F563" s="9" t="n">
        <v>171776.95</v>
      </c>
      <c r="G563" s="9" t="n">
        <v>0</v>
      </c>
      <c r="H563" s="9">
        <f>IF(D563="USD",E563*$L$1,E563)</f>
        <v/>
      </c>
      <c r="I563" s="9">
        <f>IF(D563="USD",F563*$L$1,F563)</f>
        <v/>
      </c>
      <c r="J563" s="9">
        <f>IF(D563="USD",G563*$L$1,G563)</f>
        <v/>
      </c>
    </row>
    <row r="564">
      <c r="A564" s="8" t="n">
        <v>46111</v>
      </c>
      <c r="B564" t="inlineStr">
        <is>
          <t>2026-W14</t>
        </is>
      </c>
      <c r="C564" t="inlineStr">
        <is>
          <t>Adyen</t>
        </is>
      </c>
      <c r="D564" t="inlineStr">
        <is>
          <t>EUR</t>
        </is>
      </c>
      <c r="E564" s="9" t="n">
        <v>526103.6800000001</v>
      </c>
      <c r="F564" s="9" t="n">
        <v>0</v>
      </c>
      <c r="G564" s="9" t="n">
        <v>596671.03</v>
      </c>
      <c r="H564" s="9">
        <f>IF(D564="USD",E564*$L$1,E564)</f>
        <v/>
      </c>
      <c r="I564" s="9">
        <f>IF(D564="USD",F564*$L$1,F564)</f>
        <v/>
      </c>
      <c r="J564" s="9">
        <f>IF(D564="USD",G564*$L$1,G564)</f>
        <v/>
      </c>
    </row>
    <row r="565">
      <c r="A565" s="8" t="n">
        <v>46111</v>
      </c>
      <c r="B565" t="inlineStr">
        <is>
          <t>2026-W14</t>
        </is>
      </c>
      <c r="C565" t="inlineStr">
        <is>
          <t>Adyen</t>
        </is>
      </c>
      <c r="D565" t="inlineStr">
        <is>
          <t>EUR</t>
        </is>
      </c>
      <c r="E565" s="9" t="n">
        <v>81598.21000000001</v>
      </c>
      <c r="F565" s="9" t="n">
        <v>0</v>
      </c>
      <c r="G565" s="9" t="n">
        <v>0</v>
      </c>
      <c r="H565" s="9">
        <f>IF(D565="USD",E565*$L$1,E565)</f>
        <v/>
      </c>
      <c r="I565" s="9">
        <f>IF(D565="USD",F565*$L$1,F565)</f>
        <v/>
      </c>
      <c r="J565" s="9">
        <f>IF(D565="USD",G565*$L$1,G565)</f>
        <v/>
      </c>
    </row>
    <row r="566">
      <c r="A566" s="8" t="n">
        <v>46111</v>
      </c>
      <c r="B566" t="inlineStr">
        <is>
          <t>2026-W14</t>
        </is>
      </c>
      <c r="C566" t="inlineStr">
        <is>
          <t>Nuvei</t>
        </is>
      </c>
      <c r="D566" t="inlineStr">
        <is>
          <t>EUR</t>
        </is>
      </c>
      <c r="E566" s="9" t="n">
        <v>872965.23</v>
      </c>
      <c r="F566" s="9" t="n">
        <v>860519.08</v>
      </c>
      <c r="G566" s="9" t="n">
        <v>-3204496.12</v>
      </c>
      <c r="H566" s="9">
        <f>IF(D566="USD",E566*$L$1,E566)</f>
        <v/>
      </c>
      <c r="I566" s="9">
        <f>IF(D566="USD",F566*$L$1,F566)</f>
        <v/>
      </c>
      <c r="J566" s="9">
        <f>IF(D566="USD",G566*$L$1,G566)</f>
        <v/>
      </c>
    </row>
    <row r="567">
      <c r="A567" s="8" t="n">
        <v>46111</v>
      </c>
      <c r="B567" t="inlineStr">
        <is>
          <t>2026-W14</t>
        </is>
      </c>
      <c r="C567" t="inlineStr">
        <is>
          <t>Nuvei</t>
        </is>
      </c>
      <c r="D567" t="inlineStr">
        <is>
          <t>EUR</t>
        </is>
      </c>
      <c r="E567" s="9" t="n">
        <v>208976.98</v>
      </c>
      <c r="F567" s="9" t="n">
        <v>202857.28</v>
      </c>
      <c r="G567" s="9" t="n">
        <v>-588788.2</v>
      </c>
      <c r="H567" s="9">
        <f>IF(D567="USD",E567*$L$1,E567)</f>
        <v/>
      </c>
      <c r="I567" s="9">
        <f>IF(D567="USD",F567*$L$1,F567)</f>
        <v/>
      </c>
      <c r="J567" s="9">
        <f>IF(D567="USD",G567*$L$1,G567)</f>
        <v/>
      </c>
    </row>
    <row r="568">
      <c r="A568" s="8" t="n">
        <v>46111</v>
      </c>
      <c r="B568" t="inlineStr">
        <is>
          <t>2026-W14</t>
        </is>
      </c>
      <c r="C568" t="inlineStr">
        <is>
          <t>Shift4</t>
        </is>
      </c>
      <c r="D568" t="inlineStr">
        <is>
          <t>EUR</t>
        </is>
      </c>
      <c r="E568" s="9" t="n">
        <v>289542.9300000003</v>
      </c>
      <c r="F568" s="9" t="n">
        <v>285885.1223200003</v>
      </c>
      <c r="G568" s="9" t="n">
        <v>-285871.94</v>
      </c>
      <c r="H568" s="9">
        <f>IF(D568="USD",E568*$L$1,E568)</f>
        <v/>
      </c>
      <c r="I568" s="9">
        <f>IF(D568="USD",F568*$L$1,F568)</f>
        <v/>
      </c>
      <c r="J568" s="9">
        <f>IF(D568="USD",G568*$L$1,G568)</f>
        <v/>
      </c>
    </row>
    <row r="569">
      <c r="A569" s="8" t="n">
        <v>46112</v>
      </c>
      <c r="B569" t="inlineStr">
        <is>
          <t>2026-W14</t>
        </is>
      </c>
      <c r="C569" t="inlineStr">
        <is>
          <t>Adyen</t>
        </is>
      </c>
      <c r="D569" t="inlineStr">
        <is>
          <t>EUR</t>
        </is>
      </c>
      <c r="E569" s="9" t="n">
        <v>548734.84</v>
      </c>
      <c r="F569" s="9" t="n">
        <v>0</v>
      </c>
      <c r="G569" s="9" t="n">
        <v>619560.8</v>
      </c>
      <c r="H569" s="9">
        <f>IF(D569="USD",E569*$L$1,E569)</f>
        <v/>
      </c>
      <c r="I569" s="9">
        <f>IF(D569="USD",F569*$L$1,F569)</f>
        <v/>
      </c>
      <c r="J569" s="9">
        <f>IF(D569="USD",G569*$L$1,G569)</f>
        <v/>
      </c>
    </row>
    <row r="570">
      <c r="A570" s="8" t="n">
        <v>46112</v>
      </c>
      <c r="B570" t="inlineStr">
        <is>
          <t>2026-W14</t>
        </is>
      </c>
      <c r="C570" t="inlineStr">
        <is>
          <t>Adyen</t>
        </is>
      </c>
      <c r="D570" t="inlineStr">
        <is>
          <t>EUR</t>
        </is>
      </c>
      <c r="E570" s="9" t="n">
        <v>79394.23</v>
      </c>
      <c r="F570" s="9" t="n">
        <v>0</v>
      </c>
      <c r="G570" s="9" t="n">
        <v>0</v>
      </c>
      <c r="H570" s="9">
        <f>IF(D570="USD",E570*$L$1,E570)</f>
        <v/>
      </c>
      <c r="I570" s="9">
        <f>IF(D570="USD",F570*$L$1,F570)</f>
        <v/>
      </c>
      <c r="J570" s="9">
        <f>IF(D570="USD",G570*$L$1,G570)</f>
        <v/>
      </c>
    </row>
    <row r="571">
      <c r="A571" s="8" t="n">
        <v>46112</v>
      </c>
      <c r="B571" t="inlineStr">
        <is>
          <t>2026-W14</t>
        </is>
      </c>
      <c r="C571" t="inlineStr">
        <is>
          <t>Nuvei</t>
        </is>
      </c>
      <c r="D571" t="inlineStr">
        <is>
          <t>EUR</t>
        </is>
      </c>
      <c r="E571" s="9" t="n">
        <v>559335.22</v>
      </c>
      <c r="F571" s="9" t="n">
        <v>550249.08</v>
      </c>
      <c r="G571" s="9" t="n">
        <v>-550235.5699999999</v>
      </c>
      <c r="H571" s="9">
        <f>IF(D571="USD",E571*$L$1,E571)</f>
        <v/>
      </c>
      <c r="I571" s="9">
        <f>IF(D571="USD",F571*$L$1,F571)</f>
        <v/>
      </c>
      <c r="J571" s="9">
        <f>IF(D571="USD",G571*$L$1,G571)</f>
        <v/>
      </c>
    </row>
    <row r="572">
      <c r="A572" s="8" t="n">
        <v>46112</v>
      </c>
      <c r="B572" t="inlineStr">
        <is>
          <t>2026-W14</t>
        </is>
      </c>
      <c r="C572" t="inlineStr">
        <is>
          <t>Nuvei</t>
        </is>
      </c>
      <c r="D572" t="inlineStr">
        <is>
          <t>EUR</t>
        </is>
      </c>
      <c r="E572" s="9" t="n">
        <v>214236.83</v>
      </c>
      <c r="F572" s="9" t="n">
        <v>207943.62</v>
      </c>
      <c r="G572" s="9" t="n">
        <v>-207940.12</v>
      </c>
      <c r="H572" s="9">
        <f>IF(D572="USD",E572*$L$1,E572)</f>
        <v/>
      </c>
      <c r="I572" s="9">
        <f>IF(D572="USD",F572*$L$1,F572)</f>
        <v/>
      </c>
      <c r="J572" s="9">
        <f>IF(D572="USD",G572*$L$1,G572)</f>
        <v/>
      </c>
    </row>
    <row r="573">
      <c r="A573" s="8" t="n">
        <v>46112</v>
      </c>
      <c r="B573" t="inlineStr">
        <is>
          <t>2026-W14</t>
        </is>
      </c>
      <c r="C573" t="inlineStr">
        <is>
          <t>Shift4</t>
        </is>
      </c>
      <c r="D573" t="inlineStr">
        <is>
          <t>EUR</t>
        </is>
      </c>
      <c r="E573" s="9" t="n">
        <v>454942.2800000003</v>
      </c>
      <c r="F573" s="9" t="n">
        <v>449122.9581000003</v>
      </c>
      <c r="G573" s="9" t="n">
        <v>-449122.96</v>
      </c>
      <c r="H573" s="9">
        <f>IF(D573="USD",E573*$L$1,E573)</f>
        <v/>
      </c>
      <c r="I573" s="9">
        <f>IF(D573="USD",F573*$L$1,F573)</f>
        <v/>
      </c>
      <c r="J573" s="9">
        <f>IF(D573="USD",G573*$L$1,G573)</f>
        <v/>
      </c>
    </row>
    <row r="574">
      <c r="A574" s="8" t="n">
        <v>46113</v>
      </c>
      <c r="B574" t="inlineStr">
        <is>
          <t>2026-W14</t>
        </is>
      </c>
      <c r="C574" t="inlineStr">
        <is>
          <t>Adyen</t>
        </is>
      </c>
      <c r="D574" t="inlineStr">
        <is>
          <t>EUR</t>
        </is>
      </c>
      <c r="E574" s="9" t="n">
        <v>751338.09</v>
      </c>
      <c r="F574" s="9" t="n">
        <v>0</v>
      </c>
      <c r="G574" s="9" t="n">
        <v>827166.2799999999</v>
      </c>
      <c r="H574" s="9">
        <f>IF(D574="USD",E574*$L$1,E574)</f>
        <v/>
      </c>
      <c r="I574" s="9">
        <f>IF(D574="USD",F574*$L$1,F574)</f>
        <v/>
      </c>
      <c r="J574" s="9">
        <f>IF(D574="USD",G574*$L$1,G574)</f>
        <v/>
      </c>
    </row>
    <row r="575">
      <c r="A575" s="8" t="n">
        <v>46113</v>
      </c>
      <c r="B575" t="inlineStr">
        <is>
          <t>2026-W14</t>
        </is>
      </c>
      <c r="C575" t="inlineStr">
        <is>
          <t>Adyen</t>
        </is>
      </c>
      <c r="D575" t="inlineStr">
        <is>
          <t>EUR</t>
        </is>
      </c>
      <c r="E575" s="9" t="n">
        <v>89409.32000000001</v>
      </c>
      <c r="F575" s="9" t="n">
        <v>0</v>
      </c>
      <c r="G575" s="9" t="n">
        <v>0</v>
      </c>
      <c r="H575" s="9">
        <f>IF(D575="USD",E575*$L$1,E575)</f>
        <v/>
      </c>
      <c r="I575" s="9">
        <f>IF(D575="USD",F575*$L$1,F575)</f>
        <v/>
      </c>
      <c r="J575" s="9">
        <f>IF(D575="USD",G575*$L$1,G575)</f>
        <v/>
      </c>
    </row>
    <row r="576">
      <c r="A576" s="8" t="n">
        <v>46113</v>
      </c>
      <c r="B576" t="inlineStr">
        <is>
          <t>2026-W14</t>
        </is>
      </c>
      <c r="C576" t="inlineStr">
        <is>
          <t>Nuvei</t>
        </is>
      </c>
      <c r="D576" t="inlineStr">
        <is>
          <t>EUR</t>
        </is>
      </c>
      <c r="E576" s="9" t="n">
        <v>759754.04</v>
      </c>
      <c r="F576" s="9" t="n">
        <v>749808.5</v>
      </c>
      <c r="G576" s="9" t="n">
        <v>-749805</v>
      </c>
      <c r="H576" s="9">
        <f>IF(D576="USD",E576*$L$1,E576)</f>
        <v/>
      </c>
      <c r="I576" s="9">
        <f>IF(D576="USD",F576*$L$1,F576)</f>
        <v/>
      </c>
      <c r="J576" s="9">
        <f>IF(D576="USD",G576*$L$1,G576)</f>
        <v/>
      </c>
    </row>
    <row r="577">
      <c r="A577" s="8" t="n">
        <v>46113</v>
      </c>
      <c r="B577" t="inlineStr">
        <is>
          <t>2026-W14</t>
        </is>
      </c>
      <c r="C577" t="inlineStr">
        <is>
          <t>Nuvei</t>
        </is>
      </c>
      <c r="D577" t="inlineStr">
        <is>
          <t>EUR</t>
        </is>
      </c>
      <c r="E577" s="9" t="n">
        <v>204481.59</v>
      </c>
      <c r="F577" s="9" t="n">
        <v>198768.78</v>
      </c>
      <c r="G577" s="9" t="n">
        <v>-198765.28</v>
      </c>
      <c r="H577" s="9">
        <f>IF(D577="USD",E577*$L$1,E577)</f>
        <v/>
      </c>
      <c r="I577" s="9">
        <f>IF(D577="USD",F577*$L$1,F577)</f>
        <v/>
      </c>
      <c r="J577" s="9">
        <f>IF(D577="USD",G577*$L$1,G577)</f>
        <v/>
      </c>
    </row>
    <row r="578">
      <c r="A578" s="8" t="n">
        <v>46113</v>
      </c>
      <c r="B578" t="inlineStr">
        <is>
          <t>2026-W14</t>
        </is>
      </c>
      <c r="C578" t="inlineStr">
        <is>
          <t>Shift4</t>
        </is>
      </c>
      <c r="D578" t="inlineStr">
        <is>
          <t>EUR</t>
        </is>
      </c>
      <c r="E578" s="9" t="n">
        <v>664964.8200000008</v>
      </c>
      <c r="F578" s="9" t="n">
        <v>657471.7392300008</v>
      </c>
      <c r="G578" s="9" t="n">
        <v>-657471.74</v>
      </c>
      <c r="H578" s="9">
        <f>IF(D578="USD",E578*$L$1,E578)</f>
        <v/>
      </c>
      <c r="I578" s="9">
        <f>IF(D578="USD",F578*$L$1,F578)</f>
        <v/>
      </c>
      <c r="J578" s="9">
        <f>IF(D578="USD",G578*$L$1,G578)</f>
        <v/>
      </c>
    </row>
    <row r="579">
      <c r="A579" s="8" t="n">
        <v>46114</v>
      </c>
      <c r="B579" t="inlineStr">
        <is>
          <t>2026-W14</t>
        </is>
      </c>
      <c r="C579" t="inlineStr">
        <is>
          <t>Adyen</t>
        </is>
      </c>
      <c r="D579" t="inlineStr">
        <is>
          <t>EUR</t>
        </is>
      </c>
      <c r="E579" s="9" t="n">
        <v>608691.96</v>
      </c>
      <c r="F579" s="9" t="n">
        <v>0</v>
      </c>
      <c r="G579" s="9" t="n">
        <v>2031195.67</v>
      </c>
      <c r="H579" s="9">
        <f>IF(D579="USD",E579*$L$1,E579)</f>
        <v/>
      </c>
      <c r="I579" s="9">
        <f>IF(D579="USD",F579*$L$1,F579)</f>
        <v/>
      </c>
      <c r="J579" s="9">
        <f>IF(D579="USD",G579*$L$1,G579)</f>
        <v/>
      </c>
    </row>
    <row r="580">
      <c r="A580" s="8" t="n">
        <v>46114</v>
      </c>
      <c r="B580" t="inlineStr">
        <is>
          <t>2026-W14</t>
        </is>
      </c>
      <c r="C580" t="inlineStr">
        <is>
          <t>Adyen</t>
        </is>
      </c>
      <c r="D580" t="inlineStr">
        <is>
          <t>EUR</t>
        </is>
      </c>
      <c r="E580" s="9" t="n">
        <v>84277.88</v>
      </c>
      <c r="F580" s="9" t="n">
        <v>0</v>
      </c>
      <c r="G580" s="9" t="n">
        <v>0</v>
      </c>
      <c r="H580" s="9">
        <f>IF(D580="USD",E580*$L$1,E580)</f>
        <v/>
      </c>
      <c r="I580" s="9">
        <f>IF(D580="USD",F580*$L$1,F580)</f>
        <v/>
      </c>
      <c r="J580" s="9">
        <f>IF(D580="USD",G580*$L$1,G580)</f>
        <v/>
      </c>
    </row>
    <row r="581">
      <c r="A581" s="8" t="n">
        <v>46114</v>
      </c>
      <c r="B581" t="inlineStr">
        <is>
          <t>2026-W14</t>
        </is>
      </c>
      <c r="C581" t="inlineStr">
        <is>
          <t>Nuvei</t>
        </is>
      </c>
      <c r="D581" t="inlineStr">
        <is>
          <t>EUR</t>
        </is>
      </c>
      <c r="E581" s="9" t="n">
        <v>549911.34</v>
      </c>
      <c r="F581" s="9" t="n">
        <v>541885.2</v>
      </c>
      <c r="G581" s="9" t="n">
        <v>-541881.71</v>
      </c>
      <c r="H581" s="9">
        <f>IF(D581="USD",E581*$L$1,E581)</f>
        <v/>
      </c>
      <c r="I581" s="9">
        <f>IF(D581="USD",F581*$L$1,F581)</f>
        <v/>
      </c>
      <c r="J581" s="9">
        <f>IF(D581="USD",G581*$L$1,G581)</f>
        <v/>
      </c>
    </row>
    <row r="582">
      <c r="A582" s="8" t="n">
        <v>46114</v>
      </c>
      <c r="B582" t="inlineStr">
        <is>
          <t>2026-W14</t>
        </is>
      </c>
      <c r="C582" t="inlineStr">
        <is>
          <t>Nuvei</t>
        </is>
      </c>
      <c r="D582" t="inlineStr">
        <is>
          <t>EUR</t>
        </is>
      </c>
      <c r="E582" s="9" t="n">
        <v>161399.59</v>
      </c>
      <c r="F582" s="9" t="n">
        <v>156723.72</v>
      </c>
      <c r="G582" s="9" t="n">
        <v>-156720.22</v>
      </c>
      <c r="H582" s="9">
        <f>IF(D582="USD",E582*$L$1,E582)</f>
        <v/>
      </c>
      <c r="I582" s="9">
        <f>IF(D582="USD",F582*$L$1,F582)</f>
        <v/>
      </c>
      <c r="J582" s="9">
        <f>IF(D582="USD",G582*$L$1,G582)</f>
        <v/>
      </c>
    </row>
    <row r="583">
      <c r="A583" s="8" t="n">
        <v>46114</v>
      </c>
      <c r="B583" t="inlineStr">
        <is>
          <t>2026-W14</t>
        </is>
      </c>
      <c r="C583" t="inlineStr">
        <is>
          <t>Shift4</t>
        </is>
      </c>
      <c r="D583" t="inlineStr">
        <is>
          <t>EUR</t>
        </is>
      </c>
      <c r="E583" s="9" t="n">
        <v>579089.9000000005</v>
      </c>
      <c r="F583" s="9" t="n">
        <v>572673.7546600004</v>
      </c>
      <c r="G583" s="9" t="n">
        <v>0</v>
      </c>
      <c r="H583" s="9">
        <f>IF(D583="USD",E583*$L$1,E583)</f>
        <v/>
      </c>
      <c r="I583" s="9">
        <f>IF(D583="USD",F583*$L$1,F583)</f>
        <v/>
      </c>
      <c r="J583" s="9">
        <f>IF(D583="USD",G583*$L$1,G583)</f>
        <v/>
      </c>
    </row>
    <row r="584">
      <c r="A584" s="8" t="n">
        <v>46115</v>
      </c>
      <c r="B584" t="inlineStr">
        <is>
          <t>2026-W14</t>
        </is>
      </c>
      <c r="C584" t="inlineStr">
        <is>
          <t>Adyen</t>
        </is>
      </c>
      <c r="D584" t="inlineStr">
        <is>
          <t>EUR</t>
        </is>
      </c>
      <c r="E584" s="9" t="n">
        <v>485568.87</v>
      </c>
      <c r="F584" s="9" t="n">
        <v>0</v>
      </c>
      <c r="G584" s="9" t="n">
        <v>0</v>
      </c>
      <c r="H584" s="9">
        <f>IF(D584="USD",E584*$L$1,E584)</f>
        <v/>
      </c>
      <c r="I584" s="9">
        <f>IF(D584="USD",F584*$L$1,F584)</f>
        <v/>
      </c>
      <c r="J584" s="9">
        <f>IF(D584="USD",G584*$L$1,G584)</f>
        <v/>
      </c>
    </row>
    <row r="585">
      <c r="A585" s="8" t="n">
        <v>46115</v>
      </c>
      <c r="B585" t="inlineStr">
        <is>
          <t>2026-W14</t>
        </is>
      </c>
      <c r="C585" t="inlineStr">
        <is>
          <t>Adyen</t>
        </is>
      </c>
      <c r="D585" t="inlineStr">
        <is>
          <t>EUR</t>
        </is>
      </c>
      <c r="E585" s="9" t="n">
        <v>74738.73</v>
      </c>
      <c r="F585" s="9" t="n">
        <v>0</v>
      </c>
      <c r="G585" s="9" t="n">
        <v>0</v>
      </c>
      <c r="H585" s="9">
        <f>IF(D585="USD",E585*$L$1,E585)</f>
        <v/>
      </c>
      <c r="I585" s="9">
        <f>IF(D585="USD",F585*$L$1,F585)</f>
        <v/>
      </c>
      <c r="J585" s="9">
        <f>IF(D585="USD",G585*$L$1,G585)</f>
        <v/>
      </c>
    </row>
    <row r="586">
      <c r="A586" s="8" t="n">
        <v>46115</v>
      </c>
      <c r="B586" t="inlineStr">
        <is>
          <t>2026-W14</t>
        </is>
      </c>
      <c r="C586" t="inlineStr">
        <is>
          <t>Nuvei</t>
        </is>
      </c>
      <c r="D586" t="inlineStr">
        <is>
          <t>EUR</t>
        </is>
      </c>
      <c r="E586" s="9" t="n">
        <v>308582.42</v>
      </c>
      <c r="F586" s="9" t="n">
        <v>302794.87</v>
      </c>
      <c r="G586" s="9" t="n">
        <v>-302791.38</v>
      </c>
      <c r="H586" s="9">
        <f>IF(D586="USD",E586*$L$1,E586)</f>
        <v/>
      </c>
      <c r="I586" s="9">
        <f>IF(D586="USD",F586*$L$1,F586)</f>
        <v/>
      </c>
      <c r="J586" s="9">
        <f>IF(D586="USD",G586*$L$1,G586)</f>
        <v/>
      </c>
    </row>
    <row r="587">
      <c r="A587" s="8" t="n">
        <v>46115</v>
      </c>
      <c r="B587" t="inlineStr">
        <is>
          <t>2026-W14</t>
        </is>
      </c>
      <c r="C587" t="inlineStr">
        <is>
          <t>Nuvei</t>
        </is>
      </c>
      <c r="D587" t="inlineStr">
        <is>
          <t>EUR</t>
        </is>
      </c>
      <c r="E587" s="9" t="n">
        <v>172005.41</v>
      </c>
      <c r="F587" s="9" t="n">
        <v>167148.3</v>
      </c>
      <c r="G587" s="9" t="n">
        <v>-167144.8</v>
      </c>
      <c r="H587" s="9">
        <f>IF(D587="USD",E587*$L$1,E587)</f>
        <v/>
      </c>
      <c r="I587" s="9">
        <f>IF(D587="USD",F587*$L$1,F587)</f>
        <v/>
      </c>
      <c r="J587" s="9">
        <f>IF(D587="USD",G587*$L$1,G587)</f>
        <v/>
      </c>
    </row>
    <row r="588">
      <c r="A588" s="8" t="n">
        <v>46115</v>
      </c>
      <c r="B588" t="inlineStr">
        <is>
          <t>2026-W14</t>
        </is>
      </c>
      <c r="C588" t="inlineStr">
        <is>
          <t>Shift4</t>
        </is>
      </c>
      <c r="D588" t="inlineStr">
        <is>
          <t>EUR</t>
        </is>
      </c>
      <c r="E588" s="9" t="n">
        <v>483670.1599999999</v>
      </c>
      <c r="F588" s="9" t="n">
        <v>477641.3873199999</v>
      </c>
      <c r="G588" s="9" t="n">
        <v>0</v>
      </c>
      <c r="H588" s="9">
        <f>IF(D588="USD",E588*$L$1,E588)</f>
        <v/>
      </c>
      <c r="I588" s="9">
        <f>IF(D588="USD",F588*$L$1,F588)</f>
        <v/>
      </c>
      <c r="J588" s="9">
        <f>IF(D588="USD",G588*$L$1,G588)</f>
        <v/>
      </c>
    </row>
    <row r="589">
      <c r="A589" s="8" t="n">
        <v>46116</v>
      </c>
      <c r="B589" t="inlineStr">
        <is>
          <t>2026-W14</t>
        </is>
      </c>
      <c r="C589" t="inlineStr">
        <is>
          <t>Adyen</t>
        </is>
      </c>
      <c r="D589" t="inlineStr">
        <is>
          <t>EUR</t>
        </is>
      </c>
      <c r="E589" s="9" t="n">
        <v>300694.78</v>
      </c>
      <c r="F589" s="9" t="n">
        <v>0</v>
      </c>
      <c r="G589" s="9" t="n">
        <v>0</v>
      </c>
      <c r="H589" s="9">
        <f>IF(D589="USD",E589*$L$1,E589)</f>
        <v/>
      </c>
      <c r="I589" s="9">
        <f>IF(D589="USD",F589*$L$1,F589)</f>
        <v/>
      </c>
      <c r="J589" s="9">
        <f>IF(D589="USD",G589*$L$1,G589)</f>
        <v/>
      </c>
    </row>
    <row r="590">
      <c r="A590" s="8" t="n">
        <v>46116</v>
      </c>
      <c r="B590" t="inlineStr">
        <is>
          <t>2026-W14</t>
        </is>
      </c>
      <c r="C590" t="inlineStr">
        <is>
          <t>Adyen</t>
        </is>
      </c>
      <c r="D590" t="inlineStr">
        <is>
          <t>EUR</t>
        </is>
      </c>
      <c r="E590" s="9" t="n">
        <v>46199.38</v>
      </c>
      <c r="F590" s="9" t="n">
        <v>0</v>
      </c>
      <c r="G590" s="9" t="n">
        <v>0</v>
      </c>
      <c r="H590" s="9">
        <f>IF(D590="USD",E590*$L$1,E590)</f>
        <v/>
      </c>
      <c r="I590" s="9">
        <f>IF(D590="USD",F590*$L$1,F590)</f>
        <v/>
      </c>
      <c r="J590" s="9">
        <f>IF(D590="USD",G590*$L$1,G590)</f>
        <v/>
      </c>
    </row>
    <row r="591">
      <c r="A591" s="8" t="n">
        <v>46116</v>
      </c>
      <c r="B591" t="inlineStr">
        <is>
          <t>2026-W14</t>
        </is>
      </c>
      <c r="C591" t="inlineStr">
        <is>
          <t>Nuvei</t>
        </is>
      </c>
      <c r="D591" t="inlineStr">
        <is>
          <t>EUR</t>
        </is>
      </c>
      <c r="E591" s="9" t="n">
        <v>242299.57</v>
      </c>
      <c r="F591" s="9" t="n">
        <v>237941.26</v>
      </c>
      <c r="G591" s="9" t="n">
        <v>0</v>
      </c>
      <c r="H591" s="9">
        <f>IF(D591="USD",E591*$L$1,E591)</f>
        <v/>
      </c>
      <c r="I591" s="9">
        <f>IF(D591="USD",F591*$L$1,F591)</f>
        <v/>
      </c>
      <c r="J591" s="9">
        <f>IF(D591="USD",G591*$L$1,G591)</f>
        <v/>
      </c>
    </row>
    <row r="592">
      <c r="A592" s="8" t="n">
        <v>46116</v>
      </c>
      <c r="B592" t="inlineStr">
        <is>
          <t>2026-W14</t>
        </is>
      </c>
      <c r="C592" t="inlineStr">
        <is>
          <t>Nuvei</t>
        </is>
      </c>
      <c r="D592" t="inlineStr">
        <is>
          <t>EUR</t>
        </is>
      </c>
      <c r="E592" s="9" t="n">
        <v>156085.34</v>
      </c>
      <c r="F592" s="9" t="n">
        <v>151772.38</v>
      </c>
      <c r="G592" s="9" t="n">
        <v>0</v>
      </c>
      <c r="H592" s="9">
        <f>IF(D592="USD",E592*$L$1,E592)</f>
        <v/>
      </c>
      <c r="I592" s="9">
        <f>IF(D592="USD",F592*$L$1,F592)</f>
        <v/>
      </c>
      <c r="J592" s="9">
        <f>IF(D592="USD",G592*$L$1,G592)</f>
        <v/>
      </c>
    </row>
    <row r="593">
      <c r="A593" s="8" t="n">
        <v>46116</v>
      </c>
      <c r="B593" t="inlineStr">
        <is>
          <t>2026-W14</t>
        </is>
      </c>
      <c r="C593" t="inlineStr">
        <is>
          <t>Shift4</t>
        </is>
      </c>
      <c r="D593" t="inlineStr">
        <is>
          <t>EUR</t>
        </is>
      </c>
      <c r="E593" s="9" t="n">
        <v>377860.6500000001</v>
      </c>
      <c r="F593" s="9" t="n">
        <v>373645.1176600002</v>
      </c>
      <c r="G593" s="9" t="n">
        <v>0</v>
      </c>
      <c r="H593" s="9">
        <f>IF(D593="USD",E593*$L$1,E593)</f>
        <v/>
      </c>
      <c r="I593" s="9">
        <f>IF(D593="USD",F593*$L$1,F593)</f>
        <v/>
      </c>
      <c r="J593" s="9">
        <f>IF(D593="USD",G593*$L$1,G593)</f>
        <v/>
      </c>
    </row>
    <row r="594">
      <c r="A594" s="8" t="n">
        <v>46117</v>
      </c>
      <c r="B594" t="inlineStr">
        <is>
          <t>2026-W14</t>
        </is>
      </c>
      <c r="C594" t="inlineStr">
        <is>
          <t>Adyen</t>
        </is>
      </c>
      <c r="D594" t="inlineStr">
        <is>
          <t>EUR</t>
        </is>
      </c>
      <c r="E594" s="9" t="n">
        <v>285618.37</v>
      </c>
      <c r="F594" s="9" t="n">
        <v>0</v>
      </c>
      <c r="G594" s="9" t="n">
        <v>0</v>
      </c>
      <c r="H594" s="9">
        <f>IF(D594="USD",E594*$L$1,E594)</f>
        <v/>
      </c>
      <c r="I594" s="9">
        <f>IF(D594="USD",F594*$L$1,F594)</f>
        <v/>
      </c>
      <c r="J594" s="9">
        <f>IF(D594="USD",G594*$L$1,G594)</f>
        <v/>
      </c>
    </row>
    <row r="595">
      <c r="A595" s="8" t="n">
        <v>46117</v>
      </c>
      <c r="B595" t="inlineStr">
        <is>
          <t>2026-W14</t>
        </is>
      </c>
      <c r="C595" t="inlineStr">
        <is>
          <t>Adyen</t>
        </is>
      </c>
      <c r="D595" t="inlineStr">
        <is>
          <t>EUR</t>
        </is>
      </c>
      <c r="E595" s="9" t="n">
        <v>34856.48</v>
      </c>
      <c r="F595" s="9" t="n">
        <v>0</v>
      </c>
      <c r="G595" s="9" t="n">
        <v>0</v>
      </c>
      <c r="H595" s="9">
        <f>IF(D595="USD",E595*$L$1,E595)</f>
        <v/>
      </c>
      <c r="I595" s="9">
        <f>IF(D595="USD",F595*$L$1,F595)</f>
        <v/>
      </c>
      <c r="J595" s="9">
        <f>IF(D595="USD",G595*$L$1,G595)</f>
        <v/>
      </c>
    </row>
    <row r="596">
      <c r="A596" s="8" t="n">
        <v>46117</v>
      </c>
      <c r="B596" t="inlineStr">
        <is>
          <t>2026-W14</t>
        </is>
      </c>
      <c r="C596" t="inlineStr">
        <is>
          <t>Nuvei</t>
        </is>
      </c>
      <c r="D596" t="inlineStr">
        <is>
          <t>EUR</t>
        </is>
      </c>
      <c r="E596" s="9" t="n">
        <v>227839.85</v>
      </c>
      <c r="F596" s="9" t="n">
        <v>224125.57</v>
      </c>
      <c r="G596" s="9" t="n">
        <v>0</v>
      </c>
      <c r="H596" s="9">
        <f>IF(D596="USD",E596*$L$1,E596)</f>
        <v/>
      </c>
      <c r="I596" s="9">
        <f>IF(D596="USD",F596*$L$1,F596)</f>
        <v/>
      </c>
      <c r="J596" s="9">
        <f>IF(D596="USD",G596*$L$1,G596)</f>
        <v/>
      </c>
    </row>
    <row r="597">
      <c r="A597" s="8" t="n">
        <v>46117</v>
      </c>
      <c r="B597" t="inlineStr">
        <is>
          <t>2026-W14</t>
        </is>
      </c>
      <c r="C597" t="inlineStr">
        <is>
          <t>Nuvei</t>
        </is>
      </c>
      <c r="D597" t="inlineStr">
        <is>
          <t>EUR</t>
        </is>
      </c>
      <c r="E597" s="9" t="n">
        <v>88011</v>
      </c>
      <c r="F597" s="9" t="n">
        <v>85532.99000000001</v>
      </c>
      <c r="G597" s="9" t="n">
        <v>0</v>
      </c>
      <c r="H597" s="9">
        <f>IF(D597="USD",E597*$L$1,E597)</f>
        <v/>
      </c>
      <c r="I597" s="9">
        <f>IF(D597="USD",F597*$L$1,F597)</f>
        <v/>
      </c>
      <c r="J597" s="9">
        <f>IF(D597="USD",G597*$L$1,G597)</f>
        <v/>
      </c>
    </row>
    <row r="598">
      <c r="A598" s="8" t="n">
        <v>46117</v>
      </c>
      <c r="B598" t="inlineStr">
        <is>
          <t>2026-W14</t>
        </is>
      </c>
      <c r="C598" t="inlineStr">
        <is>
          <t>Shift4</t>
        </is>
      </c>
      <c r="D598" t="inlineStr">
        <is>
          <t>EUR</t>
        </is>
      </c>
      <c r="E598" s="9" t="n">
        <v>408096.3000000005</v>
      </c>
      <c r="F598" s="9" t="n">
        <v>403572.3623000005</v>
      </c>
      <c r="G598" s="9" t="n">
        <v>0</v>
      </c>
      <c r="H598" s="9">
        <f>IF(D598="USD",E598*$L$1,E598)</f>
        <v/>
      </c>
      <c r="I598" s="9">
        <f>IF(D598="USD",F598*$L$1,F598)</f>
        <v/>
      </c>
      <c r="J598" s="9">
        <f>IF(D598="USD",G598*$L$1,G598)</f>
        <v/>
      </c>
    </row>
    <row r="599">
      <c r="A599" s="8" t="n">
        <v>46118</v>
      </c>
      <c r="B599" t="inlineStr">
        <is>
          <t>2026-W15</t>
        </is>
      </c>
      <c r="C599" t="inlineStr">
        <is>
          <t>Adyen</t>
        </is>
      </c>
      <c r="D599" t="inlineStr">
        <is>
          <t>EUR</t>
        </is>
      </c>
      <c r="E599" s="9" t="n">
        <v>370551.85</v>
      </c>
      <c r="F599" s="9" t="n">
        <v>0</v>
      </c>
      <c r="G599" s="9" t="n">
        <v>0</v>
      </c>
      <c r="H599" s="9">
        <f>IF(D599="USD",E599*$L$1,E599)</f>
        <v/>
      </c>
      <c r="I599" s="9">
        <f>IF(D599="USD",F599*$L$1,F599)</f>
        <v/>
      </c>
      <c r="J599" s="9">
        <f>IF(D599="USD",G599*$L$1,G599)</f>
        <v/>
      </c>
    </row>
    <row r="600">
      <c r="A600" s="8" t="n">
        <v>46118</v>
      </c>
      <c r="B600" t="inlineStr">
        <is>
          <t>2026-W15</t>
        </is>
      </c>
      <c r="C600" t="inlineStr">
        <is>
          <t>Adyen</t>
        </is>
      </c>
      <c r="D600" t="inlineStr">
        <is>
          <t>EUR</t>
        </is>
      </c>
      <c r="E600" s="9" t="n">
        <v>39150.65</v>
      </c>
      <c r="F600" s="9" t="n">
        <v>0</v>
      </c>
      <c r="G600" s="9" t="n">
        <v>0</v>
      </c>
      <c r="H600" s="9">
        <f>IF(D600="USD",E600*$L$1,E600)</f>
        <v/>
      </c>
      <c r="I600" s="9">
        <f>IF(D600="USD",F600*$L$1,F600)</f>
        <v/>
      </c>
      <c r="J600" s="9">
        <f>IF(D600="USD",G600*$L$1,G600)</f>
        <v/>
      </c>
    </row>
    <row r="601">
      <c r="A601" s="8" t="n">
        <v>46118</v>
      </c>
      <c r="B601" t="inlineStr">
        <is>
          <t>2026-W15</t>
        </is>
      </c>
      <c r="C601" t="inlineStr">
        <is>
          <t>Nuvei</t>
        </is>
      </c>
      <c r="D601" t="inlineStr">
        <is>
          <t>EUR</t>
        </is>
      </c>
      <c r="E601" s="9" t="n">
        <v>271911.5</v>
      </c>
      <c r="F601" s="9" t="n">
        <v>267009.39</v>
      </c>
      <c r="G601" s="9" t="n">
        <v>-729072.74</v>
      </c>
      <c r="H601" s="9">
        <f>IF(D601="USD",E601*$L$1,E601)</f>
        <v/>
      </c>
      <c r="I601" s="9">
        <f>IF(D601="USD",F601*$L$1,F601)</f>
        <v/>
      </c>
      <c r="J601" s="9">
        <f>IF(D601="USD",G601*$L$1,G601)</f>
        <v/>
      </c>
    </row>
    <row r="602">
      <c r="A602" s="8" t="n">
        <v>46118</v>
      </c>
      <c r="B602" t="inlineStr">
        <is>
          <t>2026-W15</t>
        </is>
      </c>
      <c r="C602" t="inlineStr">
        <is>
          <t>Nuvei</t>
        </is>
      </c>
      <c r="D602" t="inlineStr">
        <is>
          <t>EUR</t>
        </is>
      </c>
      <c r="E602" s="9" t="n">
        <v>115408.72</v>
      </c>
      <c r="F602" s="9" t="n">
        <v>112124.98</v>
      </c>
      <c r="G602" s="9" t="n">
        <v>-349426.85</v>
      </c>
      <c r="H602" s="9">
        <f>IF(D602="USD",E602*$L$1,E602)</f>
        <v/>
      </c>
      <c r="I602" s="9">
        <f>IF(D602="USD",F602*$L$1,F602)</f>
        <v/>
      </c>
      <c r="J602" s="9">
        <f>IF(D602="USD",G602*$L$1,G602)</f>
        <v/>
      </c>
    </row>
    <row r="603">
      <c r="A603" s="8" t="n">
        <v>46118</v>
      </c>
      <c r="B603" t="inlineStr">
        <is>
          <t>2026-W15</t>
        </is>
      </c>
      <c r="C603" t="inlineStr">
        <is>
          <t>Shift4</t>
        </is>
      </c>
      <c r="D603" t="inlineStr">
        <is>
          <t>EUR</t>
        </is>
      </c>
      <c r="E603" s="9" t="n">
        <v>523324.7099999996</v>
      </c>
      <c r="F603" s="9" t="n">
        <v>517663.6069199996</v>
      </c>
      <c r="G603" s="9" t="n">
        <v>-2345196.15</v>
      </c>
      <c r="H603" s="9">
        <f>IF(D603="USD",E603*$L$1,E603)</f>
        <v/>
      </c>
      <c r="I603" s="9">
        <f>IF(D603="USD",F603*$L$1,F603)</f>
        <v/>
      </c>
      <c r="J603" s="9">
        <f>IF(D603="USD",G603*$L$1,G603)</f>
        <v/>
      </c>
    </row>
    <row r="604">
      <c r="A604" s="8" t="n">
        <v>46119</v>
      </c>
      <c r="B604" t="inlineStr">
        <is>
          <t>2026-W15</t>
        </is>
      </c>
      <c r="C604" t="inlineStr">
        <is>
          <t>Adyen</t>
        </is>
      </c>
      <c r="D604" t="inlineStr">
        <is>
          <t>EUR</t>
        </is>
      </c>
      <c r="E604" s="9" t="n">
        <v>574102.7</v>
      </c>
      <c r="F604" s="9" t="n">
        <v>0</v>
      </c>
      <c r="G604" s="9" t="n">
        <v>927169.5100000001</v>
      </c>
      <c r="H604" s="9">
        <f>IF(D604="USD",E604*$L$1,E604)</f>
        <v/>
      </c>
      <c r="I604" s="9">
        <f>IF(D604="USD",F604*$L$1,F604)</f>
        <v/>
      </c>
      <c r="J604" s="9">
        <f>IF(D604="USD",G604*$L$1,G604)</f>
        <v/>
      </c>
    </row>
    <row r="605">
      <c r="A605" s="8" t="n">
        <v>46119</v>
      </c>
      <c r="B605" t="inlineStr">
        <is>
          <t>2026-W15</t>
        </is>
      </c>
      <c r="C605" t="inlineStr">
        <is>
          <t>Adyen</t>
        </is>
      </c>
      <c r="D605" t="inlineStr">
        <is>
          <t>EUR</t>
        </is>
      </c>
      <c r="E605" s="9" t="n">
        <v>81485.75999999999</v>
      </c>
      <c r="F605" s="9" t="n">
        <v>0</v>
      </c>
      <c r="G605" s="9" t="n">
        <v>0</v>
      </c>
      <c r="H605" s="9">
        <f>IF(D605="USD",E605*$L$1,E605)</f>
        <v/>
      </c>
      <c r="I605" s="9">
        <f>IF(D605="USD",F605*$L$1,F605)</f>
        <v/>
      </c>
      <c r="J605" s="9">
        <f>IF(D605="USD",G605*$L$1,G605)</f>
        <v/>
      </c>
    </row>
    <row r="606">
      <c r="A606" s="8" t="n">
        <v>46119</v>
      </c>
      <c r="B606" t="inlineStr">
        <is>
          <t>2026-W15</t>
        </is>
      </c>
      <c r="C606" t="inlineStr">
        <is>
          <t>Nuvei</t>
        </is>
      </c>
      <c r="D606" t="inlineStr">
        <is>
          <t>EUR</t>
        </is>
      </c>
      <c r="E606" s="9" t="n">
        <v>367507.86</v>
      </c>
      <c r="F606" s="9" t="n">
        <v>360254.92</v>
      </c>
      <c r="G606" s="9" t="n">
        <v>-360251.42</v>
      </c>
      <c r="H606" s="9">
        <f>IF(D606="USD",E606*$L$1,E606)</f>
        <v/>
      </c>
      <c r="I606" s="9">
        <f>IF(D606="USD",F606*$L$1,F606)</f>
        <v/>
      </c>
      <c r="J606" s="9">
        <f>IF(D606="USD",G606*$L$1,G606)</f>
        <v/>
      </c>
    </row>
    <row r="607">
      <c r="A607" s="8" t="n">
        <v>46119</v>
      </c>
      <c r="B607" t="inlineStr">
        <is>
          <t>2026-W15</t>
        </is>
      </c>
      <c r="C607" t="inlineStr">
        <is>
          <t>Nuvei</t>
        </is>
      </c>
      <c r="D607" t="inlineStr">
        <is>
          <t>EUR</t>
        </is>
      </c>
      <c r="E607" s="9" t="n">
        <v>162034.47</v>
      </c>
      <c r="F607" s="9" t="n">
        <v>157434.76</v>
      </c>
      <c r="G607" s="9" t="n">
        <v>-157431.26</v>
      </c>
      <c r="H607" s="9">
        <f>IF(D607="USD",E607*$L$1,E607)</f>
        <v/>
      </c>
      <c r="I607" s="9">
        <f>IF(D607="USD",F607*$L$1,F607)</f>
        <v/>
      </c>
      <c r="J607" s="9">
        <f>IF(D607="USD",G607*$L$1,G607)</f>
        <v/>
      </c>
    </row>
    <row r="608">
      <c r="A608" s="8" t="n">
        <v>46119</v>
      </c>
      <c r="B608" t="inlineStr">
        <is>
          <t>2026-W15</t>
        </is>
      </c>
      <c r="C608" t="inlineStr">
        <is>
          <t>Shift4</t>
        </is>
      </c>
      <c r="D608" t="inlineStr">
        <is>
          <t>EUR</t>
        </is>
      </c>
      <c r="E608" s="9" t="n">
        <v>560218.5299999997</v>
      </c>
      <c r="F608" s="9" t="n">
        <v>554035.4522899997</v>
      </c>
      <c r="G608" s="9" t="n">
        <v>-554035.4522899997</v>
      </c>
      <c r="H608" s="9">
        <f>IF(D608="USD",E608*$L$1,E608)</f>
        <v/>
      </c>
      <c r="I608" s="9">
        <f>IF(D608="USD",F608*$L$1,F608)</f>
        <v/>
      </c>
      <c r="J608" s="9">
        <f>IF(D608="USD",G608*$L$1,G608)</f>
        <v/>
      </c>
    </row>
    <row r="609">
      <c r="A609" s="8" t="n">
        <v>46120</v>
      </c>
      <c r="B609" t="inlineStr">
        <is>
          <t>2026-W15</t>
        </is>
      </c>
      <c r="C609" t="inlineStr">
        <is>
          <t>Adyen</t>
        </is>
      </c>
      <c r="D609" t="inlineStr">
        <is>
          <t>EUR</t>
        </is>
      </c>
      <c r="E609" s="9" t="n">
        <v>664467.04</v>
      </c>
      <c r="F609" s="9" t="n">
        <v>0</v>
      </c>
      <c r="G609" s="9" t="n">
        <v>733823.86</v>
      </c>
      <c r="H609" s="9">
        <f>IF(D609="USD",E609*$L$1,E609)</f>
        <v/>
      </c>
      <c r="I609" s="9">
        <f>IF(D609="USD",F609*$L$1,F609)</f>
        <v/>
      </c>
      <c r="J609" s="9">
        <f>IF(D609="USD",G609*$L$1,G609)</f>
        <v/>
      </c>
    </row>
    <row r="610">
      <c r="A610" s="8" t="n">
        <v>46120</v>
      </c>
      <c r="B610" t="inlineStr">
        <is>
          <t>2026-W15</t>
        </is>
      </c>
      <c r="C610" t="inlineStr">
        <is>
          <t>Adyen</t>
        </is>
      </c>
      <c r="D610" t="inlineStr">
        <is>
          <t>EUR</t>
        </is>
      </c>
      <c r="E610" s="9" t="n">
        <v>82822.72</v>
      </c>
      <c r="F610" s="9" t="n">
        <v>0</v>
      </c>
      <c r="G610" s="9" t="n">
        <v>0</v>
      </c>
      <c r="H610" s="9">
        <f>IF(D610="USD",E610*$L$1,E610)</f>
        <v/>
      </c>
      <c r="I610" s="9">
        <f>IF(D610="USD",F610*$L$1,F610)</f>
        <v/>
      </c>
      <c r="J610" s="9">
        <f>IF(D610="USD",G610*$L$1,G610)</f>
        <v/>
      </c>
    </row>
    <row r="611">
      <c r="A611" s="8" t="n">
        <v>46120</v>
      </c>
      <c r="B611" t="inlineStr">
        <is>
          <t>2026-W15</t>
        </is>
      </c>
      <c r="C611" t="inlineStr">
        <is>
          <t>Nuvei</t>
        </is>
      </c>
      <c r="D611" t="inlineStr">
        <is>
          <t>EUR</t>
        </is>
      </c>
      <c r="E611" s="9" t="n">
        <v>301478.29</v>
      </c>
      <c r="F611" s="9" t="n">
        <v>293539.49</v>
      </c>
      <c r="G611" s="9" t="n">
        <v>-293535.98</v>
      </c>
      <c r="H611" s="9">
        <f>IF(D611="USD",E611*$L$1,E611)</f>
        <v/>
      </c>
      <c r="I611" s="9">
        <f>IF(D611="USD",F611*$L$1,F611)</f>
        <v/>
      </c>
      <c r="J611" s="9">
        <f>IF(D611="USD",G611*$L$1,G611)</f>
        <v/>
      </c>
    </row>
    <row r="612">
      <c r="A612" s="8" t="n">
        <v>46120</v>
      </c>
      <c r="B612" t="inlineStr">
        <is>
          <t>2026-W15</t>
        </is>
      </c>
      <c r="C612" t="inlineStr">
        <is>
          <t>Nuvei</t>
        </is>
      </c>
      <c r="D612" t="inlineStr">
        <is>
          <t>EUR</t>
        </is>
      </c>
      <c r="E612" s="9" t="n">
        <v>151817.25</v>
      </c>
      <c r="F612" s="9" t="n">
        <v>147349.32</v>
      </c>
      <c r="G612" s="9" t="n">
        <v>-147345.82</v>
      </c>
      <c r="H612" s="9">
        <f>IF(D612="USD",E612*$L$1,E612)</f>
        <v/>
      </c>
      <c r="I612" s="9">
        <f>IF(D612="USD",F612*$L$1,F612)</f>
        <v/>
      </c>
      <c r="J612" s="9">
        <f>IF(D612="USD",G612*$L$1,G612)</f>
        <v/>
      </c>
    </row>
    <row r="613">
      <c r="A613" s="8" t="n">
        <v>46120</v>
      </c>
      <c r="B613" t="inlineStr">
        <is>
          <t>2026-W15</t>
        </is>
      </c>
      <c r="C613" t="inlineStr">
        <is>
          <t>Shift4</t>
        </is>
      </c>
      <c r="D613" t="inlineStr">
        <is>
          <t>EUR</t>
        </is>
      </c>
      <c r="E613" s="9" t="n">
        <v>589642.6899999999</v>
      </c>
      <c r="F613" s="9" t="n">
        <v>582936.95</v>
      </c>
      <c r="G613" s="9" t="n">
        <v>-582936.95</v>
      </c>
      <c r="H613" s="9">
        <f>IF(D613="USD",E613*$L$1,E613)</f>
        <v/>
      </c>
      <c r="I613" s="9">
        <f>IF(D613="USD",F613*$L$1,F613)</f>
        <v/>
      </c>
      <c r="J613" s="9">
        <f>IF(D613="USD",G613*$L$1,G613)</f>
        <v/>
      </c>
    </row>
    <row r="614">
      <c r="A614" s="8" t="n">
        <v>46121</v>
      </c>
      <c r="B614" t="inlineStr">
        <is>
          <t>2026-W15</t>
        </is>
      </c>
      <c r="C614" t="inlineStr">
        <is>
          <t>Adyen</t>
        </is>
      </c>
      <c r="D614" t="inlineStr">
        <is>
          <t>EUR</t>
        </is>
      </c>
      <c r="E614" s="9" t="n">
        <v>635459.21</v>
      </c>
      <c r="F614" s="9" t="n">
        <v>0</v>
      </c>
      <c r="G614" s="9" t="n">
        <v>700029.6699999999</v>
      </c>
      <c r="H614" s="9">
        <f>IF(D614="USD",E614*$L$1,E614)</f>
        <v/>
      </c>
      <c r="I614" s="9">
        <f>IF(D614="USD",F614*$L$1,F614)</f>
        <v/>
      </c>
      <c r="J614" s="9">
        <f>IF(D614="USD",G614*$L$1,G614)</f>
        <v/>
      </c>
    </row>
    <row r="615">
      <c r="A615" s="8" t="n">
        <v>46121</v>
      </c>
      <c r="B615" t="inlineStr">
        <is>
          <t>2026-W15</t>
        </is>
      </c>
      <c r="C615" t="inlineStr">
        <is>
          <t>Adyen</t>
        </is>
      </c>
      <c r="D615" t="inlineStr">
        <is>
          <t>EUR</t>
        </is>
      </c>
      <c r="E615" s="9" t="n">
        <v>80550.41</v>
      </c>
      <c r="F615" s="9" t="n">
        <v>0</v>
      </c>
      <c r="G615" s="9" t="n">
        <v>0</v>
      </c>
      <c r="H615" s="9">
        <f>IF(D615="USD",E615*$L$1,E615)</f>
        <v/>
      </c>
      <c r="I615" s="9">
        <f>IF(D615="USD",F615*$L$1,F615)</f>
        <v/>
      </c>
      <c r="J615" s="9">
        <f>IF(D615="USD",G615*$L$1,G615)</f>
        <v/>
      </c>
    </row>
    <row r="616">
      <c r="A616" s="8" t="n">
        <v>46121</v>
      </c>
      <c r="B616" t="inlineStr">
        <is>
          <t>2026-W15</t>
        </is>
      </c>
      <c r="C616" t="inlineStr">
        <is>
          <t>Nuvei</t>
        </is>
      </c>
      <c r="D616" t="inlineStr">
        <is>
          <t>EUR</t>
        </is>
      </c>
      <c r="E616" s="9" t="n">
        <v>415585.42</v>
      </c>
      <c r="F616" s="9" t="n">
        <v>407335.49</v>
      </c>
      <c r="G616" s="9" t="n">
        <v>-407331.99</v>
      </c>
      <c r="H616" s="9">
        <f>IF(D616="USD",E616*$L$1,E616)</f>
        <v/>
      </c>
      <c r="I616" s="9">
        <f>IF(D616="USD",F616*$L$1,F616)</f>
        <v/>
      </c>
      <c r="J616" s="9">
        <f>IF(D616="USD",G616*$L$1,G616)</f>
        <v/>
      </c>
    </row>
    <row r="617">
      <c r="A617" s="8" t="n">
        <v>46121</v>
      </c>
      <c r="B617" t="inlineStr">
        <is>
          <t>2026-W15</t>
        </is>
      </c>
      <c r="C617" t="inlineStr">
        <is>
          <t>Nuvei</t>
        </is>
      </c>
      <c r="D617" t="inlineStr">
        <is>
          <t>EUR</t>
        </is>
      </c>
      <c r="E617" s="9" t="n">
        <v>166775.67</v>
      </c>
      <c r="F617" s="9" t="n">
        <v>162031.7</v>
      </c>
      <c r="G617" s="9" t="n">
        <v>-162028.19</v>
      </c>
      <c r="H617" s="9">
        <f>IF(D617="USD",E617*$L$1,E617)</f>
        <v/>
      </c>
      <c r="I617" s="9">
        <f>IF(D617="USD",F617*$L$1,F617)</f>
        <v/>
      </c>
      <c r="J617" s="9">
        <f>IF(D617="USD",G617*$L$1,G617)</f>
        <v/>
      </c>
    </row>
    <row r="618">
      <c r="A618" s="8" t="n">
        <v>46121</v>
      </c>
      <c r="B618" t="inlineStr">
        <is>
          <t>2026-W15</t>
        </is>
      </c>
      <c r="C618" t="inlineStr">
        <is>
          <t>Shift4</t>
        </is>
      </c>
      <c r="D618" t="inlineStr">
        <is>
          <t>EUR</t>
        </is>
      </c>
      <c r="E618" s="9" t="n">
        <v>611628.24</v>
      </c>
      <c r="F618" s="9" t="n">
        <v>605027.5599999999</v>
      </c>
      <c r="G618" s="9" t="n">
        <v>-605027.5600000001</v>
      </c>
      <c r="H618" s="9">
        <f>IF(D618="USD",E618*$L$1,E618)</f>
        <v/>
      </c>
      <c r="I618" s="9">
        <f>IF(D618="USD",F618*$L$1,F618)</f>
        <v/>
      </c>
      <c r="J618" s="9">
        <f>IF(D618="USD",G618*$L$1,G618)</f>
        <v/>
      </c>
    </row>
    <row r="619">
      <c r="A619" s="8" t="n">
        <v>46122</v>
      </c>
      <c r="B619" t="inlineStr">
        <is>
          <t>2026-W15</t>
        </is>
      </c>
      <c r="C619" t="inlineStr">
        <is>
          <t>Adyen</t>
        </is>
      </c>
      <c r="D619" t="inlineStr">
        <is>
          <t>EUR</t>
        </is>
      </c>
      <c r="E619" s="9" t="n">
        <v>559031.79</v>
      </c>
      <c r="F619" s="9" t="n">
        <v>0</v>
      </c>
      <c r="G619" s="9" t="n">
        <v>1524414.82</v>
      </c>
      <c r="H619" s="9">
        <f>IF(D619="USD",E619*$L$1,E619)</f>
        <v/>
      </c>
      <c r="I619" s="9">
        <f>IF(D619="USD",F619*$L$1,F619)</f>
        <v/>
      </c>
      <c r="J619" s="9">
        <f>IF(D619="USD",G619*$L$1,G619)</f>
        <v/>
      </c>
    </row>
    <row r="620">
      <c r="A620" s="8" t="n">
        <v>46122</v>
      </c>
      <c r="B620" t="inlineStr">
        <is>
          <t>2026-W15</t>
        </is>
      </c>
      <c r="C620" t="inlineStr">
        <is>
          <t>Adyen</t>
        </is>
      </c>
      <c r="D620" t="inlineStr">
        <is>
          <t>EUR</t>
        </is>
      </c>
      <c r="E620" s="9" t="n">
        <v>76309.75999999999</v>
      </c>
      <c r="F620" s="9" t="n">
        <v>0</v>
      </c>
      <c r="G620" s="9" t="n">
        <v>0</v>
      </c>
      <c r="H620" s="9">
        <f>IF(D620="USD",E620*$L$1,E620)</f>
        <v/>
      </c>
      <c r="I620" s="9">
        <f>IF(D620="USD",F620*$L$1,F620)</f>
        <v/>
      </c>
      <c r="J620" s="9">
        <f>IF(D620="USD",G620*$L$1,G620)</f>
        <v/>
      </c>
    </row>
    <row r="621">
      <c r="A621" s="8" t="n">
        <v>46122</v>
      </c>
      <c r="B621" t="inlineStr">
        <is>
          <t>2026-W15</t>
        </is>
      </c>
      <c r="C621" t="inlineStr">
        <is>
          <t>Nuvei</t>
        </is>
      </c>
      <c r="D621" t="inlineStr">
        <is>
          <t>EUR</t>
        </is>
      </c>
      <c r="E621" s="9" t="n">
        <v>477721.82</v>
      </c>
      <c r="F621" s="9" t="n">
        <v>467455.12</v>
      </c>
      <c r="G621" s="9" t="n">
        <v>-467441.62</v>
      </c>
      <c r="H621" s="9">
        <f>IF(D621="USD",E621*$L$1,E621)</f>
        <v/>
      </c>
      <c r="I621" s="9">
        <f>IF(D621="USD",F621*$L$1,F621)</f>
        <v/>
      </c>
      <c r="J621" s="9">
        <f>IF(D621="USD",G621*$L$1,G621)</f>
        <v/>
      </c>
    </row>
    <row r="622">
      <c r="A622" s="8" t="n">
        <v>46122</v>
      </c>
      <c r="B622" t="inlineStr">
        <is>
          <t>2026-W15</t>
        </is>
      </c>
      <c r="C622" t="inlineStr">
        <is>
          <t>Nuvei</t>
        </is>
      </c>
      <c r="D622" t="inlineStr">
        <is>
          <t>EUR</t>
        </is>
      </c>
      <c r="E622" s="9" t="n">
        <v>189777.22</v>
      </c>
      <c r="F622" s="9" t="n">
        <v>184426.05</v>
      </c>
      <c r="G622" s="9" t="n">
        <v>-184422.55</v>
      </c>
      <c r="H622" s="9">
        <f>IF(D622="USD",E622*$L$1,E622)</f>
        <v/>
      </c>
      <c r="I622" s="9">
        <f>IF(D622="USD",F622*$L$1,F622)</f>
        <v/>
      </c>
      <c r="J622" s="9">
        <f>IF(D622="USD",G622*$L$1,G622)</f>
        <v/>
      </c>
    </row>
    <row r="623">
      <c r="A623" s="8" t="n">
        <v>46122</v>
      </c>
      <c r="B623" t="inlineStr">
        <is>
          <t>2026-W15</t>
        </is>
      </c>
      <c r="C623" t="inlineStr">
        <is>
          <t>Shift4</t>
        </is>
      </c>
      <c r="D623" t="inlineStr">
        <is>
          <t>EUR</t>
        </is>
      </c>
      <c r="E623" s="9" t="n">
        <v>626036.02</v>
      </c>
      <c r="F623" s="9" t="n">
        <v>618781.3100000001</v>
      </c>
      <c r="G623" s="9" t="n">
        <v>-618781.3100000001</v>
      </c>
      <c r="H623" s="9">
        <f>IF(D623="USD",E623*$L$1,E623)</f>
        <v/>
      </c>
      <c r="I623" s="9">
        <f>IF(D623="USD",F623*$L$1,F623)</f>
        <v/>
      </c>
      <c r="J623" s="9">
        <f>IF(D623="USD",G623*$L$1,G623)</f>
        <v/>
      </c>
    </row>
    <row r="624">
      <c r="A624" s="8" t="n">
        <v>46123</v>
      </c>
      <c r="B624" t="inlineStr">
        <is>
          <t>2026-W15</t>
        </is>
      </c>
      <c r="C624" t="inlineStr">
        <is>
          <t>Adyen</t>
        </is>
      </c>
      <c r="D624" t="inlineStr">
        <is>
          <t>EUR</t>
        </is>
      </c>
      <c r="E624" s="9" t="n">
        <v>383992.87</v>
      </c>
      <c r="F624" s="9" t="n">
        <v>0</v>
      </c>
      <c r="G624" s="9" t="n">
        <v>0</v>
      </c>
      <c r="H624" s="9">
        <f>IF(D624="USD",E624*$L$1,E624)</f>
        <v/>
      </c>
      <c r="I624" s="9">
        <f>IF(D624="USD",F624*$L$1,F624)</f>
        <v/>
      </c>
      <c r="J624" s="9">
        <f>IF(D624="USD",G624*$L$1,G624)</f>
        <v/>
      </c>
    </row>
    <row r="625">
      <c r="A625" s="8" t="n">
        <v>46123</v>
      </c>
      <c r="B625" t="inlineStr">
        <is>
          <t>2026-W15</t>
        </is>
      </c>
      <c r="C625" t="inlineStr">
        <is>
          <t>Adyen</t>
        </is>
      </c>
      <c r="D625" t="inlineStr">
        <is>
          <t>EUR</t>
        </is>
      </c>
      <c r="E625" s="9" t="n">
        <v>55560.92</v>
      </c>
      <c r="F625" s="9" t="n">
        <v>0</v>
      </c>
      <c r="G625" s="9" t="n">
        <v>0</v>
      </c>
      <c r="H625" s="9">
        <f>IF(D625="USD",E625*$L$1,E625)</f>
        <v/>
      </c>
      <c r="I625" s="9">
        <f>IF(D625="USD",F625*$L$1,F625)</f>
        <v/>
      </c>
      <c r="J625" s="9">
        <f>IF(D625="USD",G625*$L$1,G625)</f>
        <v/>
      </c>
    </row>
    <row r="626">
      <c r="A626" s="8" t="n">
        <v>46123</v>
      </c>
      <c r="B626" t="inlineStr">
        <is>
          <t>2026-W15</t>
        </is>
      </c>
      <c r="C626" t="inlineStr">
        <is>
          <t>Nuvei</t>
        </is>
      </c>
      <c r="D626" t="inlineStr">
        <is>
          <t>EUR</t>
        </is>
      </c>
      <c r="E626" s="9" t="n">
        <v>390563.71</v>
      </c>
      <c r="F626" s="9" t="n">
        <v>382868.05</v>
      </c>
      <c r="G626" s="9" t="n">
        <v>0</v>
      </c>
      <c r="H626" s="9">
        <f>IF(D626="USD",E626*$L$1,E626)</f>
        <v/>
      </c>
      <c r="I626" s="9">
        <f>IF(D626="USD",F626*$L$1,F626)</f>
        <v/>
      </c>
      <c r="J626" s="9">
        <f>IF(D626="USD",G626*$L$1,G626)</f>
        <v/>
      </c>
    </row>
    <row r="627">
      <c r="A627" s="8" t="n">
        <v>46123</v>
      </c>
      <c r="B627" t="inlineStr">
        <is>
          <t>2026-W15</t>
        </is>
      </c>
      <c r="C627" t="inlineStr">
        <is>
          <t>Nuvei</t>
        </is>
      </c>
      <c r="D627" t="inlineStr">
        <is>
          <t>EUR</t>
        </is>
      </c>
      <c r="E627" s="9" t="n">
        <v>178794.55</v>
      </c>
      <c r="F627" s="9" t="n">
        <v>173606.11</v>
      </c>
      <c r="G627" s="9" t="n">
        <v>0</v>
      </c>
      <c r="H627" s="9">
        <f>IF(D627="USD",E627*$L$1,E627)</f>
        <v/>
      </c>
      <c r="I627" s="9">
        <f>IF(D627="USD",F627*$L$1,F627)</f>
        <v/>
      </c>
      <c r="J627" s="9">
        <f>IF(D627="USD",G627*$L$1,G627)</f>
        <v/>
      </c>
    </row>
    <row r="628">
      <c r="A628" s="8" t="n">
        <v>46123</v>
      </c>
      <c r="B628" t="inlineStr">
        <is>
          <t>2026-W15</t>
        </is>
      </c>
      <c r="C628" t="inlineStr">
        <is>
          <t>Shift4</t>
        </is>
      </c>
      <c r="D628" t="inlineStr">
        <is>
          <t>EUR</t>
        </is>
      </c>
      <c r="E628" s="9" t="n">
        <v>525525.01</v>
      </c>
      <c r="F628" s="9" t="n">
        <v>520151</v>
      </c>
      <c r="G628" s="9" t="n">
        <v>0</v>
      </c>
      <c r="H628" s="9">
        <f>IF(D628="USD",E628*$L$1,E628)</f>
        <v/>
      </c>
      <c r="I628" s="9">
        <f>IF(D628="USD",F628*$L$1,F628)</f>
        <v/>
      </c>
      <c r="J628" s="9">
        <f>IF(D628="USD",G628*$L$1,G628)</f>
        <v/>
      </c>
    </row>
    <row r="629">
      <c r="A629" s="8" t="n">
        <v>46124</v>
      </c>
      <c r="B629" t="inlineStr">
        <is>
          <t>2026-W15</t>
        </is>
      </c>
      <c r="C629" t="inlineStr">
        <is>
          <t>Adyen</t>
        </is>
      </c>
      <c r="D629" t="inlineStr">
        <is>
          <t>EUR</t>
        </is>
      </c>
      <c r="E629" s="9" t="n">
        <v>405543.09</v>
      </c>
      <c r="F629" s="9" t="n">
        <v>0</v>
      </c>
      <c r="G629" s="9" t="n">
        <v>0</v>
      </c>
      <c r="H629" s="9">
        <f>IF(D629="USD",E629*$L$1,E629)</f>
        <v/>
      </c>
      <c r="I629" s="9">
        <f>IF(D629="USD",F629*$L$1,F629)</f>
        <v/>
      </c>
      <c r="J629" s="9">
        <f>IF(D629="USD",G629*$L$1,G629)</f>
        <v/>
      </c>
    </row>
    <row r="630">
      <c r="A630" s="8" t="n">
        <v>46124</v>
      </c>
      <c r="B630" t="inlineStr">
        <is>
          <t>2026-W15</t>
        </is>
      </c>
      <c r="C630" t="inlineStr">
        <is>
          <t>Adyen</t>
        </is>
      </c>
      <c r="D630" t="inlineStr">
        <is>
          <t>EUR</t>
        </is>
      </c>
      <c r="E630" s="9" t="n">
        <v>55430.8</v>
      </c>
      <c r="F630" s="9" t="n">
        <v>0</v>
      </c>
      <c r="G630" s="9" t="n">
        <v>0</v>
      </c>
      <c r="H630" s="9">
        <f>IF(D630="USD",E630*$L$1,E630)</f>
        <v/>
      </c>
      <c r="I630" s="9">
        <f>IF(D630="USD",F630*$L$1,F630)</f>
        <v/>
      </c>
      <c r="J630" s="9">
        <f>IF(D630="USD",G630*$L$1,G630)</f>
        <v/>
      </c>
    </row>
    <row r="631">
      <c r="A631" s="8" t="n">
        <v>46124</v>
      </c>
      <c r="B631" t="inlineStr">
        <is>
          <t>2026-W15</t>
        </is>
      </c>
      <c r="C631" t="inlineStr">
        <is>
          <t>Nuvei</t>
        </is>
      </c>
      <c r="D631" t="inlineStr">
        <is>
          <t>EUR</t>
        </is>
      </c>
      <c r="E631" s="9" t="n">
        <v>428515.34</v>
      </c>
      <c r="F631" s="9" t="n">
        <v>419863.3</v>
      </c>
      <c r="G631" s="9" t="n">
        <v>0</v>
      </c>
      <c r="H631" s="9">
        <f>IF(D631="USD",E631*$L$1,E631)</f>
        <v/>
      </c>
      <c r="I631" s="9">
        <f>IF(D631="USD",F631*$L$1,F631)</f>
        <v/>
      </c>
      <c r="J631" s="9">
        <f>IF(D631="USD",G631*$L$1,G631)</f>
        <v/>
      </c>
    </row>
    <row r="632">
      <c r="A632" s="8" t="n">
        <v>46124</v>
      </c>
      <c r="B632" t="inlineStr">
        <is>
          <t>2026-W15</t>
        </is>
      </c>
      <c r="C632" t="inlineStr">
        <is>
          <t>Nuvei</t>
        </is>
      </c>
      <c r="D632" t="inlineStr">
        <is>
          <t>EUR</t>
        </is>
      </c>
      <c r="E632" s="9" t="n">
        <v>130073.19</v>
      </c>
      <c r="F632" s="9" t="n">
        <v>126323.78</v>
      </c>
      <c r="G632" s="9" t="n">
        <v>0</v>
      </c>
      <c r="H632" s="9">
        <f>IF(D632="USD",E632*$L$1,E632)</f>
        <v/>
      </c>
      <c r="I632" s="9">
        <f>IF(D632="USD",F632*$L$1,F632)</f>
        <v/>
      </c>
      <c r="J632" s="9">
        <f>IF(D632="USD",G632*$L$1,G632)</f>
        <v/>
      </c>
    </row>
    <row r="633">
      <c r="A633" s="8" t="n">
        <v>46124</v>
      </c>
      <c r="B633" t="inlineStr">
        <is>
          <t>2026-W15</t>
        </is>
      </c>
      <c r="C633" t="inlineStr">
        <is>
          <t>Shift4</t>
        </is>
      </c>
      <c r="D633" t="inlineStr">
        <is>
          <t>EUR</t>
        </is>
      </c>
      <c r="E633" s="9" t="n">
        <v>672385.27</v>
      </c>
      <c r="F633" s="9" t="n">
        <v>665975.85</v>
      </c>
      <c r="G633" s="9" t="n">
        <v>0</v>
      </c>
      <c r="H633" s="9">
        <f>IF(D633="USD",E633*$L$1,E633)</f>
        <v/>
      </c>
      <c r="I633" s="9">
        <f>IF(D633="USD",F633*$L$1,F633)</f>
        <v/>
      </c>
      <c r="J633" s="9">
        <f>IF(D633="USD",G633*$L$1,G633)</f>
        <v/>
      </c>
    </row>
    <row r="634">
      <c r="A634" s="8" t="n">
        <v>46125</v>
      </c>
      <c r="B634" t="inlineStr">
        <is>
          <t>2026-W16</t>
        </is>
      </c>
      <c r="C634" t="inlineStr">
        <is>
          <t>Adyen</t>
        </is>
      </c>
      <c r="D634" t="inlineStr">
        <is>
          <t>EUR</t>
        </is>
      </c>
      <c r="E634" s="9" t="n">
        <v>618425.6899999999</v>
      </c>
      <c r="F634" s="9" t="n">
        <v>0</v>
      </c>
      <c r="G634" s="9" t="n">
        <v>700738.6699999999</v>
      </c>
      <c r="H634" s="9">
        <f>IF(D634="USD",E634*$L$1,E634)</f>
        <v/>
      </c>
      <c r="I634" s="9">
        <f>IF(D634="USD",F634*$L$1,F634)</f>
        <v/>
      </c>
      <c r="J634" s="9">
        <f>IF(D634="USD",G634*$L$1,G634)</f>
        <v/>
      </c>
    </row>
    <row r="635">
      <c r="A635" s="8" t="n">
        <v>46125</v>
      </c>
      <c r="B635" t="inlineStr">
        <is>
          <t>2026-W16</t>
        </is>
      </c>
      <c r="C635" t="inlineStr">
        <is>
          <t>Adyen</t>
        </is>
      </c>
      <c r="D635" t="inlineStr">
        <is>
          <t>EUR</t>
        </is>
      </c>
      <c r="E635" s="9" t="n">
        <v>95939.05</v>
      </c>
      <c r="F635" s="9" t="n">
        <v>0</v>
      </c>
      <c r="G635" s="9" t="n">
        <v>0</v>
      </c>
      <c r="H635" s="9">
        <f>IF(D635="USD",E635*$L$1,E635)</f>
        <v/>
      </c>
      <c r="I635" s="9">
        <f>IF(D635="USD",F635*$L$1,F635)</f>
        <v/>
      </c>
      <c r="J635" s="9">
        <f>IF(D635="USD",G635*$L$1,G635)</f>
        <v/>
      </c>
    </row>
    <row r="636">
      <c r="A636" s="8" t="n">
        <v>46125</v>
      </c>
      <c r="B636" t="inlineStr">
        <is>
          <t>2026-W16</t>
        </is>
      </c>
      <c r="C636" t="inlineStr">
        <is>
          <t>Nuvei</t>
        </is>
      </c>
      <c r="D636" t="inlineStr">
        <is>
          <t>EUR</t>
        </is>
      </c>
      <c r="E636" s="9" t="n">
        <v>468223.37</v>
      </c>
      <c r="F636" s="9" t="n">
        <v>458620.4</v>
      </c>
      <c r="G636" s="9" t="n">
        <v>-1261328.27</v>
      </c>
      <c r="H636" s="9">
        <f>IF(D636="USD",E636*$L$1,E636)</f>
        <v/>
      </c>
      <c r="I636" s="9">
        <f>IF(D636="USD",F636*$L$1,F636)</f>
        <v/>
      </c>
      <c r="J636" s="9">
        <f>IF(D636="USD",G636*$L$1,G636)</f>
        <v/>
      </c>
    </row>
    <row r="637">
      <c r="A637" s="8" t="n">
        <v>46125</v>
      </c>
      <c r="B637" t="inlineStr">
        <is>
          <t>2026-W16</t>
        </is>
      </c>
      <c r="C637" t="inlineStr">
        <is>
          <t>Nuvei</t>
        </is>
      </c>
      <c r="D637" t="inlineStr">
        <is>
          <t>EUR</t>
        </is>
      </c>
      <c r="E637" s="9" t="n">
        <v>198150.65</v>
      </c>
      <c r="F637" s="9" t="n">
        <v>192583.5</v>
      </c>
      <c r="G637" s="9" t="n">
        <v>-492509.89</v>
      </c>
      <c r="H637" s="9">
        <f>IF(D637="USD",E637*$L$1,E637)</f>
        <v/>
      </c>
      <c r="I637" s="9">
        <f>IF(D637="USD",F637*$L$1,F637)</f>
        <v/>
      </c>
      <c r="J637" s="9">
        <f>IF(D637="USD",G637*$L$1,G637)</f>
        <v/>
      </c>
    </row>
    <row r="638">
      <c r="A638" s="8" t="n">
        <v>46125</v>
      </c>
      <c r="B638" t="inlineStr">
        <is>
          <t>2026-W16</t>
        </is>
      </c>
      <c r="C638" t="inlineStr">
        <is>
          <t>Shift4</t>
        </is>
      </c>
      <c r="D638" t="inlineStr">
        <is>
          <t>EUR</t>
        </is>
      </c>
      <c r="E638" s="9" t="n">
        <v>649677.8</v>
      </c>
      <c r="F638" s="9" t="n">
        <v>642219.9</v>
      </c>
      <c r="G638" s="9" t="n">
        <v>-1828343.14</v>
      </c>
      <c r="H638" s="9">
        <f>IF(D638="USD",E638*$L$1,E638)</f>
        <v/>
      </c>
      <c r="I638" s="9">
        <f>IF(D638="USD",F638*$L$1,F638)</f>
        <v/>
      </c>
      <c r="J638" s="9">
        <f>IF(D638="USD",G638*$L$1,G638)</f>
        <v/>
      </c>
    </row>
    <row r="639">
      <c r="A639" s="8" t="n">
        <v>46126</v>
      </c>
      <c r="B639" t="inlineStr">
        <is>
          <t>2026-W16</t>
        </is>
      </c>
      <c r="C639" t="inlineStr">
        <is>
          <t>Adyen</t>
        </is>
      </c>
      <c r="D639" t="inlineStr">
        <is>
          <t>EUR</t>
        </is>
      </c>
      <c r="E639" s="9" t="n">
        <v>618517.38</v>
      </c>
      <c r="F639" s="9" t="n">
        <v>0</v>
      </c>
      <c r="G639" s="9" t="n">
        <v>697107.87</v>
      </c>
      <c r="H639" s="9">
        <f>IF(D639="USD",E639*$L$1,E639)</f>
        <v/>
      </c>
      <c r="I639" s="9">
        <f>IF(D639="USD",F639*$L$1,F639)</f>
        <v/>
      </c>
      <c r="J639" s="9">
        <f>IF(D639="USD",G639*$L$1,G639)</f>
        <v/>
      </c>
    </row>
    <row r="640">
      <c r="A640" s="8" t="n">
        <v>46126</v>
      </c>
      <c r="B640" t="inlineStr">
        <is>
          <t>2026-W16</t>
        </is>
      </c>
      <c r="C640" t="inlineStr">
        <is>
          <t>Adyen</t>
        </is>
      </c>
      <c r="D640" t="inlineStr">
        <is>
          <t>EUR</t>
        </is>
      </c>
      <c r="E640" s="9" t="n">
        <v>93474.03</v>
      </c>
      <c r="F640" s="9" t="n">
        <v>0</v>
      </c>
      <c r="G640" s="9" t="n">
        <v>0</v>
      </c>
      <c r="H640" s="9">
        <f>IF(D640="USD",E640*$L$1,E640)</f>
        <v/>
      </c>
      <c r="I640" s="9">
        <f>IF(D640="USD",F640*$L$1,F640)</f>
        <v/>
      </c>
      <c r="J640" s="9">
        <f>IF(D640="USD",G640*$L$1,G640)</f>
        <v/>
      </c>
    </row>
    <row r="641">
      <c r="A641" s="8" t="n">
        <v>46126</v>
      </c>
      <c r="B641" t="inlineStr">
        <is>
          <t>2026-W16</t>
        </is>
      </c>
      <c r="C641" t="inlineStr">
        <is>
          <t>Nuvei</t>
        </is>
      </c>
      <c r="D641" t="inlineStr">
        <is>
          <t>EUR</t>
        </is>
      </c>
      <c r="E641" s="9" t="n">
        <v>472193.48</v>
      </c>
      <c r="F641" s="9" t="n">
        <v>461857.78</v>
      </c>
      <c r="G641" s="9" t="n">
        <v>-461854.28</v>
      </c>
      <c r="H641" s="9">
        <f>IF(D641="USD",E641*$L$1,E641)</f>
        <v/>
      </c>
      <c r="I641" s="9">
        <f>IF(D641="USD",F641*$L$1,F641)</f>
        <v/>
      </c>
      <c r="J641" s="9">
        <f>IF(D641="USD",G641*$L$1,G641)</f>
        <v/>
      </c>
    </row>
    <row r="642">
      <c r="A642" s="8" t="n">
        <v>46126</v>
      </c>
      <c r="B642" t="inlineStr">
        <is>
          <t>2026-W16</t>
        </is>
      </c>
      <c r="C642" t="inlineStr">
        <is>
          <t>Nuvei</t>
        </is>
      </c>
      <c r="D642" t="inlineStr">
        <is>
          <t>EUR</t>
        </is>
      </c>
      <c r="E642" s="9" t="n">
        <v>206574.42</v>
      </c>
      <c r="F642" s="9" t="n">
        <v>200582.42</v>
      </c>
      <c r="G642" s="9" t="n">
        <v>-200578.93</v>
      </c>
      <c r="H642" s="9">
        <f>IF(D642="USD",E642*$L$1,E642)</f>
        <v/>
      </c>
      <c r="I642" s="9">
        <f>IF(D642="USD",F642*$L$1,F642)</f>
        <v/>
      </c>
      <c r="J642" s="9">
        <f>IF(D642="USD",G642*$L$1,G642)</f>
        <v/>
      </c>
    </row>
    <row r="643">
      <c r="A643" s="8" t="n">
        <v>46126</v>
      </c>
      <c r="B643" t="inlineStr">
        <is>
          <t>2026-W16</t>
        </is>
      </c>
      <c r="C643" t="inlineStr">
        <is>
          <t>Shift4</t>
        </is>
      </c>
      <c r="D643" t="inlineStr">
        <is>
          <t>EUR</t>
        </is>
      </c>
      <c r="E643" s="9" t="n">
        <v>742026.15</v>
      </c>
      <c r="F643" s="9" t="n">
        <v>733581.53</v>
      </c>
      <c r="G643" s="9" t="n">
        <v>-733476.22</v>
      </c>
      <c r="H643" s="9">
        <f>IF(D643="USD",E643*$L$1,E643)</f>
        <v/>
      </c>
      <c r="I643" s="9">
        <f>IF(D643="USD",F643*$L$1,F643)</f>
        <v/>
      </c>
      <c r="J643" s="9">
        <f>IF(D643="USD",G643*$L$1,G643)</f>
        <v/>
      </c>
    </row>
    <row r="644">
      <c r="A644" s="8" t="n">
        <v>46127</v>
      </c>
      <c r="B644" t="inlineStr">
        <is>
          <t>2026-W16</t>
        </is>
      </c>
      <c r="C644" t="inlineStr">
        <is>
          <t>Adyen</t>
        </is>
      </c>
      <c r="D644" t="inlineStr">
        <is>
          <t>EUR</t>
        </is>
      </c>
      <c r="E644" s="9" t="n">
        <v>591633.6800000001</v>
      </c>
      <c r="F644" s="9" t="n">
        <v>0</v>
      </c>
      <c r="G644" s="9" t="n">
        <v>658491.51</v>
      </c>
      <c r="H644" s="9">
        <f>IF(D644="USD",E644*$L$1,E644)</f>
        <v/>
      </c>
      <c r="I644" s="9">
        <f>IF(D644="USD",F644*$L$1,F644)</f>
        <v/>
      </c>
      <c r="J644" s="9">
        <f>IF(D644="USD",G644*$L$1,G644)</f>
        <v/>
      </c>
    </row>
    <row r="645">
      <c r="A645" s="8" t="n">
        <v>46127</v>
      </c>
      <c r="B645" t="inlineStr">
        <is>
          <t>2026-W16</t>
        </is>
      </c>
      <c r="C645" t="inlineStr">
        <is>
          <t>Adyen</t>
        </is>
      </c>
      <c r="D645" t="inlineStr">
        <is>
          <t>EUR</t>
        </is>
      </c>
      <c r="E645" s="9" t="n">
        <v>91563.66</v>
      </c>
      <c r="F645" s="9" t="n">
        <v>0</v>
      </c>
      <c r="G645" s="9" t="n">
        <v>0</v>
      </c>
      <c r="H645" s="9">
        <f>IF(D645="USD",E645*$L$1,E645)</f>
        <v/>
      </c>
      <c r="I645" s="9">
        <f>IF(D645="USD",F645*$L$1,F645)</f>
        <v/>
      </c>
      <c r="J645" s="9">
        <f>IF(D645="USD",G645*$L$1,G645)</f>
        <v/>
      </c>
    </row>
    <row r="646">
      <c r="A646" s="8" t="n">
        <v>46127</v>
      </c>
      <c r="B646" t="inlineStr">
        <is>
          <t>2026-W16</t>
        </is>
      </c>
      <c r="C646" t="inlineStr">
        <is>
          <t>Nuvei</t>
        </is>
      </c>
      <c r="D646" t="inlineStr">
        <is>
          <t>EUR</t>
        </is>
      </c>
      <c r="E646" s="9" t="n">
        <v>414329.61</v>
      </c>
      <c r="F646" s="9" t="n">
        <v>404094.16</v>
      </c>
      <c r="G646" s="9" t="n">
        <v>-404090.67</v>
      </c>
      <c r="H646" s="9">
        <f>IF(D646="USD",E646*$L$1,E646)</f>
        <v/>
      </c>
      <c r="I646" s="9">
        <f>IF(D646="USD",F646*$L$1,F646)</f>
        <v/>
      </c>
      <c r="J646" s="9">
        <f>IF(D646="USD",G646*$L$1,G646)</f>
        <v/>
      </c>
    </row>
    <row r="647">
      <c r="A647" s="8" t="n">
        <v>46127</v>
      </c>
      <c r="B647" t="inlineStr">
        <is>
          <t>2026-W16</t>
        </is>
      </c>
      <c r="C647" t="inlineStr">
        <is>
          <t>Nuvei</t>
        </is>
      </c>
      <c r="D647" t="inlineStr">
        <is>
          <t>EUR</t>
        </is>
      </c>
      <c r="E647" s="9" t="n">
        <v>156838.61</v>
      </c>
      <c r="F647" s="9" t="n">
        <v>151919.85</v>
      </c>
      <c r="G647" s="9" t="n">
        <v>-151916.34</v>
      </c>
      <c r="H647" s="9">
        <f>IF(D647="USD",E647*$L$1,E647)</f>
        <v/>
      </c>
      <c r="I647" s="9">
        <f>IF(D647="USD",F647*$L$1,F647)</f>
        <v/>
      </c>
      <c r="J647" s="9">
        <f>IF(D647="USD",G647*$L$1,G647)</f>
        <v/>
      </c>
    </row>
    <row r="648">
      <c r="A648" s="8" t="n">
        <v>46127</v>
      </c>
      <c r="B648" t="inlineStr">
        <is>
          <t>2026-W16</t>
        </is>
      </c>
      <c r="C648" t="inlineStr">
        <is>
          <t>Shift4</t>
        </is>
      </c>
      <c r="D648" t="inlineStr">
        <is>
          <t>EUR</t>
        </is>
      </c>
      <c r="E648" s="9" t="n">
        <v>689126.47</v>
      </c>
      <c r="F648" s="9" t="n">
        <v>681006.49</v>
      </c>
      <c r="G648" s="9" t="n">
        <v>-681006.49</v>
      </c>
      <c r="H648" s="9">
        <f>IF(D648="USD",E648*$L$1,E648)</f>
        <v/>
      </c>
      <c r="I648" s="9">
        <f>IF(D648="USD",F648*$L$1,F648)</f>
        <v/>
      </c>
      <c r="J648" s="9">
        <f>IF(D648="USD",G648*$L$1,G648)</f>
        <v/>
      </c>
    </row>
    <row r="649">
      <c r="A649" s="8" t="n">
        <v>46128</v>
      </c>
      <c r="B649" t="inlineStr">
        <is>
          <t>2026-W16</t>
        </is>
      </c>
      <c r="C649" t="inlineStr">
        <is>
          <t>Adyen</t>
        </is>
      </c>
      <c r="D649" t="inlineStr">
        <is>
          <t>EUR</t>
        </is>
      </c>
      <c r="E649" s="9" t="n">
        <v>440166</v>
      </c>
      <c r="F649" s="9" t="n">
        <v>0</v>
      </c>
      <c r="G649" s="9" t="n">
        <v>504186.66</v>
      </c>
      <c r="H649" s="9">
        <f>IF(D649="USD",E649*$L$1,E649)</f>
        <v/>
      </c>
      <c r="I649" s="9">
        <f>IF(D649="USD",F649*$L$1,F649)</f>
        <v/>
      </c>
      <c r="J649" s="9">
        <f>IF(D649="USD",G649*$L$1,G649)</f>
        <v/>
      </c>
    </row>
    <row r="650">
      <c r="A650" s="8" t="n">
        <v>46128</v>
      </c>
      <c r="B650" t="inlineStr">
        <is>
          <t>2026-W16</t>
        </is>
      </c>
      <c r="C650" t="inlineStr">
        <is>
          <t>Adyen</t>
        </is>
      </c>
      <c r="D650" t="inlineStr">
        <is>
          <t>EUR</t>
        </is>
      </c>
      <c r="E650" s="9" t="n">
        <v>67676.07000000001</v>
      </c>
      <c r="F650" s="9" t="n">
        <v>0</v>
      </c>
      <c r="G650" s="9" t="n">
        <v>0</v>
      </c>
      <c r="H650" s="9">
        <f>IF(D650="USD",E650*$L$1,E650)</f>
        <v/>
      </c>
      <c r="I650" s="9">
        <f>IF(D650="USD",F650*$L$1,F650)</f>
        <v/>
      </c>
      <c r="J650" s="9">
        <f>IF(D650="USD",G650*$L$1,G650)</f>
        <v/>
      </c>
    </row>
    <row r="651">
      <c r="A651" s="8" t="n">
        <v>46128</v>
      </c>
      <c r="B651" t="inlineStr">
        <is>
          <t>2026-W16</t>
        </is>
      </c>
      <c r="C651" t="inlineStr">
        <is>
          <t>Nuvei</t>
        </is>
      </c>
      <c r="D651" t="inlineStr">
        <is>
          <t>EUR</t>
        </is>
      </c>
      <c r="E651" s="9" t="n">
        <v>340534.3</v>
      </c>
      <c r="F651" s="9" t="n">
        <v>333919.62</v>
      </c>
      <c r="G651" s="9" t="n">
        <v>-333896.13</v>
      </c>
      <c r="H651" s="9">
        <f>IF(D651="USD",E651*$L$1,E651)</f>
        <v/>
      </c>
      <c r="I651" s="9">
        <f>IF(D651="USD",F651*$L$1,F651)</f>
        <v/>
      </c>
      <c r="J651" s="9">
        <f>IF(D651="USD",G651*$L$1,G651)</f>
        <v/>
      </c>
    </row>
    <row r="652">
      <c r="A652" s="8" t="n">
        <v>46128</v>
      </c>
      <c r="B652" t="inlineStr">
        <is>
          <t>2026-W16</t>
        </is>
      </c>
      <c r="C652" t="inlineStr">
        <is>
          <t>Nuvei</t>
        </is>
      </c>
      <c r="D652" t="inlineStr">
        <is>
          <t>EUR</t>
        </is>
      </c>
      <c r="E652" s="9" t="n">
        <v>147292.19</v>
      </c>
      <c r="F652" s="9" t="n">
        <v>143103.84</v>
      </c>
      <c r="G652" s="9" t="n">
        <v>-143100.33</v>
      </c>
      <c r="H652" s="9">
        <f>IF(D652="USD",E652*$L$1,E652)</f>
        <v/>
      </c>
      <c r="I652" s="9">
        <f>IF(D652="USD",F652*$L$1,F652)</f>
        <v/>
      </c>
      <c r="J652" s="9">
        <f>IF(D652="USD",G652*$L$1,G652)</f>
        <v/>
      </c>
    </row>
    <row r="653">
      <c r="A653" s="8" t="n">
        <v>46128</v>
      </c>
      <c r="B653" t="inlineStr">
        <is>
          <t>2026-W16</t>
        </is>
      </c>
      <c r="C653" t="inlineStr">
        <is>
          <t>Shift4</t>
        </is>
      </c>
      <c r="D653" t="inlineStr">
        <is>
          <t>EUR</t>
        </is>
      </c>
      <c r="E653" s="9" t="n">
        <v>422116.8</v>
      </c>
      <c r="F653" s="9" t="n">
        <v>417446.85</v>
      </c>
      <c r="G653" s="9" t="n">
        <v>-417446.85</v>
      </c>
      <c r="H653" s="9">
        <f>IF(D653="USD",E653*$L$1,E653)</f>
        <v/>
      </c>
      <c r="I653" s="9">
        <f>IF(D653="USD",F653*$L$1,F653)</f>
        <v/>
      </c>
      <c r="J653" s="9">
        <f>IF(D653="USD",G653*$L$1,G653)</f>
        <v/>
      </c>
    </row>
    <row r="654">
      <c r="A654" s="8" t="n">
        <v>46129</v>
      </c>
      <c r="B654" t="inlineStr">
        <is>
          <t>2026-W16</t>
        </is>
      </c>
      <c r="C654" t="inlineStr">
        <is>
          <t>Adyen</t>
        </is>
      </c>
      <c r="D654" t="inlineStr">
        <is>
          <t>EUR</t>
        </is>
      </c>
      <c r="E654" s="9" t="n">
        <v>599199.72</v>
      </c>
      <c r="F654" s="9" t="n">
        <v>0</v>
      </c>
      <c r="G654" s="9" t="n">
        <v>1654838.89</v>
      </c>
      <c r="H654" s="9">
        <f>IF(D654="USD",E654*$L$1,E654)</f>
        <v/>
      </c>
      <c r="I654" s="9">
        <f>IF(D654="USD",F654*$L$1,F654)</f>
        <v/>
      </c>
      <c r="J654" s="9">
        <f>IF(D654="USD",G654*$L$1,G654)</f>
        <v/>
      </c>
    </row>
    <row r="655">
      <c r="A655" s="8" t="n">
        <v>46129</v>
      </c>
      <c r="B655" t="inlineStr">
        <is>
          <t>2026-W16</t>
        </is>
      </c>
      <c r="C655" t="inlineStr">
        <is>
          <t>Adyen</t>
        </is>
      </c>
      <c r="D655" t="inlineStr">
        <is>
          <t>EUR</t>
        </is>
      </c>
      <c r="E655" s="9" t="n">
        <v>175048.66</v>
      </c>
      <c r="F655" s="9" t="n">
        <v>0</v>
      </c>
      <c r="G655" s="9" t="n">
        <v>0</v>
      </c>
      <c r="H655" s="9">
        <f>IF(D655="USD",E655*$L$1,E655)</f>
        <v/>
      </c>
      <c r="I655" s="9">
        <f>IF(D655="USD",F655*$L$1,F655)</f>
        <v/>
      </c>
      <c r="J655" s="9">
        <f>IF(D655="USD",G655*$L$1,G655)</f>
        <v/>
      </c>
    </row>
    <row r="656">
      <c r="A656" s="8" t="n">
        <v>46129</v>
      </c>
      <c r="B656" t="inlineStr">
        <is>
          <t>2026-W16</t>
        </is>
      </c>
      <c r="C656" t="inlineStr">
        <is>
          <t>Nuvei</t>
        </is>
      </c>
      <c r="D656" t="inlineStr">
        <is>
          <t>EUR</t>
        </is>
      </c>
      <c r="E656" s="9" t="n">
        <v>407765.88</v>
      </c>
      <c r="F656" s="9" t="n">
        <v>399441.01</v>
      </c>
      <c r="G656" s="9" t="n">
        <v>-399437.5</v>
      </c>
      <c r="H656" s="9">
        <f>IF(D656="USD",E656*$L$1,E656)</f>
        <v/>
      </c>
      <c r="I656" s="9">
        <f>IF(D656="USD",F656*$L$1,F656)</f>
        <v/>
      </c>
      <c r="J656" s="9">
        <f>IF(D656="USD",G656*$L$1,G656)</f>
        <v/>
      </c>
    </row>
    <row r="657">
      <c r="A657" s="8" t="n">
        <v>46129</v>
      </c>
      <c r="B657" t="inlineStr">
        <is>
          <t>2026-W16</t>
        </is>
      </c>
      <c r="C657" t="inlineStr">
        <is>
          <t>Nuvei</t>
        </is>
      </c>
      <c r="D657" t="inlineStr">
        <is>
          <t>EUR</t>
        </is>
      </c>
      <c r="E657" s="9" t="n">
        <v>179633.93</v>
      </c>
      <c r="F657" s="9" t="n">
        <v>174646.47</v>
      </c>
      <c r="G657" s="9" t="n">
        <v>-174642.97</v>
      </c>
      <c r="H657" s="9">
        <f>IF(D657="USD",E657*$L$1,E657)</f>
        <v/>
      </c>
      <c r="I657" s="9">
        <f>IF(D657="USD",F657*$L$1,F657)</f>
        <v/>
      </c>
      <c r="J657" s="9">
        <f>IF(D657="USD",G657*$L$1,G657)</f>
        <v/>
      </c>
    </row>
    <row r="658">
      <c r="A658" s="8" t="n">
        <v>46129</v>
      </c>
      <c r="B658" t="inlineStr">
        <is>
          <t>2026-W16</t>
        </is>
      </c>
      <c r="C658" t="inlineStr">
        <is>
          <t>Shift4</t>
        </is>
      </c>
      <c r="D658" t="inlineStr">
        <is>
          <t>EUR</t>
        </is>
      </c>
      <c r="E658" s="9" t="n">
        <v>497315.09</v>
      </c>
      <c r="F658" s="9" t="n">
        <v>491878</v>
      </c>
      <c r="G658" s="9" t="n">
        <v>-491878</v>
      </c>
      <c r="H658" s="9">
        <f>IF(D658="USD",E658*$L$1,E658)</f>
        <v/>
      </c>
      <c r="I658" s="9">
        <f>IF(D658="USD",F658*$L$1,F658)</f>
        <v/>
      </c>
      <c r="J658" s="9">
        <f>IF(D658="USD",G658*$L$1,G658)</f>
        <v/>
      </c>
    </row>
    <row r="659">
      <c r="A659" s="8" t="n">
        <v>46130</v>
      </c>
      <c r="B659" t="inlineStr">
        <is>
          <t>2026-W16</t>
        </is>
      </c>
      <c r="C659" t="inlineStr">
        <is>
          <t>Adyen</t>
        </is>
      </c>
      <c r="D659" t="inlineStr">
        <is>
          <t>EUR</t>
        </is>
      </c>
      <c r="E659" s="9" t="n">
        <v>371588.02</v>
      </c>
      <c r="F659" s="9" t="n">
        <v>0</v>
      </c>
      <c r="G659" s="9" t="n">
        <v>0</v>
      </c>
      <c r="H659" s="9">
        <f>IF(D659="USD",E659*$L$1,E659)</f>
        <v/>
      </c>
      <c r="I659" s="9">
        <f>IF(D659="USD",F659*$L$1,F659)</f>
        <v/>
      </c>
      <c r="J659" s="9">
        <f>IF(D659="USD",G659*$L$1,G659)</f>
        <v/>
      </c>
    </row>
    <row r="660">
      <c r="A660" s="8" t="n">
        <v>46130</v>
      </c>
      <c r="B660" t="inlineStr">
        <is>
          <t>2026-W16</t>
        </is>
      </c>
      <c r="C660" t="inlineStr">
        <is>
          <t>Adyen</t>
        </is>
      </c>
      <c r="D660" t="inlineStr">
        <is>
          <t>EUR</t>
        </is>
      </c>
      <c r="E660" s="9" t="n">
        <v>83990.24000000001</v>
      </c>
      <c r="F660" s="9" t="n">
        <v>0</v>
      </c>
      <c r="G660" s="9" t="n">
        <v>0</v>
      </c>
      <c r="H660" s="9">
        <f>IF(D660="USD",E660*$L$1,E660)</f>
        <v/>
      </c>
      <c r="I660" s="9">
        <f>IF(D660="USD",F660*$L$1,F660)</f>
        <v/>
      </c>
      <c r="J660" s="9">
        <f>IF(D660="USD",G660*$L$1,G660)</f>
        <v/>
      </c>
    </row>
    <row r="661">
      <c r="A661" s="8" t="n">
        <v>46130</v>
      </c>
      <c r="B661" t="inlineStr">
        <is>
          <t>2026-W16</t>
        </is>
      </c>
      <c r="C661" t="inlineStr">
        <is>
          <t>Nuvei</t>
        </is>
      </c>
      <c r="D661" t="inlineStr">
        <is>
          <t>EUR</t>
        </is>
      </c>
      <c r="E661" s="9" t="n">
        <v>310019.23</v>
      </c>
      <c r="F661" s="9" t="n">
        <v>303830.47</v>
      </c>
      <c r="G661" s="9" t="n">
        <v>0</v>
      </c>
      <c r="H661" s="9">
        <f>IF(D661="USD",E661*$L$1,E661)</f>
        <v/>
      </c>
      <c r="I661" s="9">
        <f>IF(D661="USD",F661*$L$1,F661)</f>
        <v/>
      </c>
      <c r="J661" s="9">
        <f>IF(D661="USD",G661*$L$1,G661)</f>
        <v/>
      </c>
    </row>
    <row r="662">
      <c r="A662" s="8" t="n">
        <v>46130</v>
      </c>
      <c r="B662" t="inlineStr">
        <is>
          <t>2026-W16</t>
        </is>
      </c>
      <c r="C662" t="inlineStr">
        <is>
          <t>Nuvei</t>
        </is>
      </c>
      <c r="D662" t="inlineStr">
        <is>
          <t>EUR</t>
        </is>
      </c>
      <c r="E662" s="9" t="n">
        <v>150516.45</v>
      </c>
      <c r="F662" s="9" t="n">
        <v>146204.94</v>
      </c>
      <c r="G662" s="9" t="n">
        <v>0</v>
      </c>
      <c r="H662" s="9">
        <f>IF(D662="USD",E662*$L$1,E662)</f>
        <v/>
      </c>
      <c r="I662" s="9">
        <f>IF(D662="USD",F662*$L$1,F662)</f>
        <v/>
      </c>
      <c r="J662" s="9">
        <f>IF(D662="USD",G662*$L$1,G662)</f>
        <v/>
      </c>
    </row>
    <row r="663">
      <c r="A663" s="8" t="n">
        <v>46130</v>
      </c>
      <c r="B663" t="inlineStr">
        <is>
          <t>2026-W16</t>
        </is>
      </c>
      <c r="C663" t="inlineStr">
        <is>
          <t>Shift4</t>
        </is>
      </c>
      <c r="D663" t="inlineStr">
        <is>
          <t>EUR</t>
        </is>
      </c>
      <c r="E663" s="9" t="n">
        <v>418632.35</v>
      </c>
      <c r="F663" s="9" t="n">
        <v>414491.52</v>
      </c>
      <c r="G663" s="9" t="n">
        <v>0</v>
      </c>
      <c r="H663" s="9">
        <f>IF(D663="USD",E663*$L$1,E663)</f>
        <v/>
      </c>
      <c r="I663" s="9">
        <f>IF(D663="USD",F663*$L$1,F663)</f>
        <v/>
      </c>
      <c r="J663" s="9">
        <f>IF(D663="USD",G663*$L$1,G663)</f>
        <v/>
      </c>
    </row>
    <row r="664">
      <c r="A664" s="8" t="n">
        <v>46131</v>
      </c>
      <c r="B664" t="inlineStr">
        <is>
          <t>2026-W16</t>
        </is>
      </c>
      <c r="C664" t="inlineStr">
        <is>
          <t>Adyen</t>
        </is>
      </c>
      <c r="D664" t="inlineStr">
        <is>
          <t>EUR</t>
        </is>
      </c>
      <c r="E664" s="9" t="n">
        <v>379164.49</v>
      </c>
      <c r="F664" s="9" t="n">
        <v>0</v>
      </c>
      <c r="G664" s="9" t="n">
        <v>0</v>
      </c>
      <c r="H664" s="9">
        <f>IF(D664="USD",E664*$L$1,E664)</f>
        <v/>
      </c>
      <c r="I664" s="9">
        <f>IF(D664="USD",F664*$L$1,F664)</f>
        <v/>
      </c>
      <c r="J664" s="9">
        <f>IF(D664="USD",G664*$L$1,G664)</f>
        <v/>
      </c>
    </row>
    <row r="665">
      <c r="A665" s="8" t="n">
        <v>46131</v>
      </c>
      <c r="B665" t="inlineStr">
        <is>
          <t>2026-W16</t>
        </is>
      </c>
      <c r="C665" t="inlineStr">
        <is>
          <t>Adyen</t>
        </is>
      </c>
      <c r="D665" t="inlineStr">
        <is>
          <t>EUR</t>
        </is>
      </c>
      <c r="E665" s="9" t="n">
        <v>60679.04</v>
      </c>
      <c r="F665" s="9" t="n">
        <v>0</v>
      </c>
      <c r="G665" s="9" t="n">
        <v>0</v>
      </c>
      <c r="H665" s="9">
        <f>IF(D665="USD",E665*$L$1,E665)</f>
        <v/>
      </c>
      <c r="I665" s="9">
        <f>IF(D665="USD",F665*$L$1,F665)</f>
        <v/>
      </c>
      <c r="J665" s="9">
        <f>IF(D665="USD",G665*$L$1,G665)</f>
        <v/>
      </c>
    </row>
    <row r="666">
      <c r="A666" s="8" t="n">
        <v>46131</v>
      </c>
      <c r="B666" t="inlineStr">
        <is>
          <t>2026-W16</t>
        </is>
      </c>
      <c r="C666" t="inlineStr">
        <is>
          <t>Nuvei</t>
        </is>
      </c>
      <c r="D666" t="inlineStr">
        <is>
          <t>EUR</t>
        </is>
      </c>
      <c r="E666" s="9" t="n">
        <v>350769.43</v>
      </c>
      <c r="F666" s="9" t="n">
        <v>343995.92</v>
      </c>
      <c r="G666" s="9" t="n">
        <v>0</v>
      </c>
      <c r="H666" s="9">
        <f>IF(D666="USD",E666*$L$1,E666)</f>
        <v/>
      </c>
      <c r="I666" s="9">
        <f>IF(D666="USD",F666*$L$1,F666)</f>
        <v/>
      </c>
      <c r="J666" s="9">
        <f>IF(D666="USD",G666*$L$1,G666)</f>
        <v/>
      </c>
    </row>
    <row r="667">
      <c r="A667" s="8" t="n">
        <v>46131</v>
      </c>
      <c r="B667" t="inlineStr">
        <is>
          <t>2026-W16</t>
        </is>
      </c>
      <c r="C667" t="inlineStr">
        <is>
          <t>Nuvei</t>
        </is>
      </c>
      <c r="D667" t="inlineStr">
        <is>
          <t>EUR</t>
        </is>
      </c>
      <c r="E667" s="9" t="n">
        <v>121030.67</v>
      </c>
      <c r="F667" s="9" t="n">
        <v>117606.93</v>
      </c>
      <c r="G667" s="9" t="n">
        <v>0</v>
      </c>
      <c r="H667" s="9">
        <f>IF(D667="USD",E667*$L$1,E667)</f>
        <v/>
      </c>
      <c r="I667" s="9">
        <f>IF(D667="USD",F667*$L$1,F667)</f>
        <v/>
      </c>
      <c r="J667" s="9">
        <f>IF(D667="USD",G667*$L$1,G667)</f>
        <v/>
      </c>
    </row>
    <row r="668">
      <c r="A668" s="8" t="n">
        <v>46131</v>
      </c>
      <c r="B668" t="inlineStr">
        <is>
          <t>2026-W16</t>
        </is>
      </c>
      <c r="C668" t="inlineStr">
        <is>
          <t>Shift4</t>
        </is>
      </c>
      <c r="D668" t="inlineStr">
        <is>
          <t>EUR</t>
        </is>
      </c>
      <c r="E668" s="9" t="n">
        <v>580326.77</v>
      </c>
      <c r="F668" s="9" t="n">
        <v>574555.87</v>
      </c>
      <c r="G668" s="9" t="n">
        <v>0</v>
      </c>
      <c r="H668" s="9">
        <f>IF(D668="USD",E668*$L$1,E668)</f>
        <v/>
      </c>
      <c r="I668" s="9">
        <f>IF(D668="USD",F668*$L$1,F668)</f>
        <v/>
      </c>
      <c r="J668" s="9">
        <f>IF(D668="USD",G668*$L$1,G668)</f>
        <v/>
      </c>
    </row>
    <row r="669">
      <c r="A669" s="8" t="n">
        <v>46132</v>
      </c>
      <c r="B669" t="inlineStr">
        <is>
          <t>2026-W17</t>
        </is>
      </c>
      <c r="C669" t="inlineStr">
        <is>
          <t>Adyen</t>
        </is>
      </c>
      <c r="D669" t="inlineStr">
        <is>
          <t>EUR</t>
        </is>
      </c>
      <c r="E669" s="9" t="n">
        <v>703391.4399999999</v>
      </c>
      <c r="F669" s="9" t="n">
        <v>0</v>
      </c>
      <c r="G669" s="9" t="n">
        <v>800721.35</v>
      </c>
      <c r="H669" s="9">
        <f>IF(D669="USD",E669*$L$1,E669)</f>
        <v/>
      </c>
      <c r="I669" s="9">
        <f>IF(D669="USD",F669*$L$1,F669)</f>
        <v/>
      </c>
      <c r="J669" s="9">
        <f>IF(D669="USD",G669*$L$1,G669)</f>
        <v/>
      </c>
    </row>
    <row r="670">
      <c r="A670" s="8" t="n">
        <v>46132</v>
      </c>
      <c r="B670" t="inlineStr">
        <is>
          <t>2026-W17</t>
        </is>
      </c>
      <c r="C670" t="inlineStr">
        <is>
          <t>Adyen</t>
        </is>
      </c>
      <c r="D670" t="inlineStr">
        <is>
          <t>EUR</t>
        </is>
      </c>
      <c r="E670" s="9" t="n">
        <v>105305.77</v>
      </c>
      <c r="F670" s="9" t="n">
        <v>0</v>
      </c>
      <c r="G670" s="9" t="n">
        <v>0</v>
      </c>
      <c r="H670" s="9">
        <f>IF(D670="USD",E670*$L$1,E670)</f>
        <v/>
      </c>
      <c r="I670" s="9">
        <f>IF(D670="USD",F670*$L$1,F670)</f>
        <v/>
      </c>
      <c r="J670" s="9">
        <f>IF(D670="USD",G670*$L$1,G670)</f>
        <v/>
      </c>
    </row>
    <row r="671">
      <c r="A671" s="8" t="n">
        <v>46132</v>
      </c>
      <c r="B671" t="inlineStr">
        <is>
          <t>2026-W17</t>
        </is>
      </c>
      <c r="C671" t="inlineStr">
        <is>
          <t>Nuvei</t>
        </is>
      </c>
      <c r="D671" t="inlineStr">
        <is>
          <t>EUR</t>
        </is>
      </c>
      <c r="E671" s="9" t="n">
        <v>448301.98</v>
      </c>
      <c r="F671" s="9" t="n">
        <v>439161.33</v>
      </c>
      <c r="G671" s="9" t="n">
        <v>-1086974.23</v>
      </c>
      <c r="H671" s="9">
        <f>IF(D671="USD",E671*$L$1,E671)</f>
        <v/>
      </c>
      <c r="I671" s="9">
        <f>IF(D671="USD",F671*$L$1,F671)</f>
        <v/>
      </c>
      <c r="J671" s="9">
        <f>IF(D671="USD",G671*$L$1,G671)</f>
        <v/>
      </c>
    </row>
    <row r="672">
      <c r="A672" s="8" t="n">
        <v>46132</v>
      </c>
      <c r="B672" t="inlineStr">
        <is>
          <t>2026-W17</t>
        </is>
      </c>
      <c r="C672" t="inlineStr">
        <is>
          <t>Nuvei</t>
        </is>
      </c>
      <c r="D672" t="inlineStr">
        <is>
          <t>EUR</t>
        </is>
      </c>
      <c r="E672" s="9" t="n">
        <v>184148.56</v>
      </c>
      <c r="F672" s="9" t="n">
        <v>179007.7</v>
      </c>
      <c r="G672" s="9" t="n">
        <v>-442816.06</v>
      </c>
      <c r="H672" s="9">
        <f>IF(D672="USD",E672*$L$1,E672)</f>
        <v/>
      </c>
      <c r="I672" s="9">
        <f>IF(D672="USD",F672*$L$1,F672)</f>
        <v/>
      </c>
      <c r="J672" s="9">
        <f>IF(D672="USD",G672*$L$1,G672)</f>
        <v/>
      </c>
    </row>
    <row r="673">
      <c r="A673" s="8" t="n">
        <v>46132</v>
      </c>
      <c r="B673" t="inlineStr">
        <is>
          <t>2026-W17</t>
        </is>
      </c>
      <c r="C673" t="inlineStr">
        <is>
          <t>Shift4</t>
        </is>
      </c>
      <c r="D673" t="inlineStr">
        <is>
          <t>EUR</t>
        </is>
      </c>
      <c r="E673" s="9" t="n">
        <v>591116.75</v>
      </c>
      <c r="F673" s="9" t="n">
        <v>584616.21</v>
      </c>
      <c r="G673" s="9" t="n">
        <v>-1573663.6</v>
      </c>
      <c r="H673" s="9">
        <f>IF(D673="USD",E673*$L$1,E673)</f>
        <v/>
      </c>
      <c r="I673" s="9">
        <f>IF(D673="USD",F673*$L$1,F673)</f>
        <v/>
      </c>
      <c r="J673" s="9">
        <f>IF(D673="USD",G673*$L$1,G673)</f>
        <v/>
      </c>
    </row>
    <row r="674">
      <c r="A674" s="8" t="n">
        <v>46133</v>
      </c>
      <c r="B674" t="inlineStr">
        <is>
          <t>2026-W17</t>
        </is>
      </c>
      <c r="C674" t="inlineStr">
        <is>
          <t>Adyen</t>
        </is>
      </c>
      <c r="D674" t="inlineStr">
        <is>
          <t>EUR</t>
        </is>
      </c>
      <c r="E674" s="9" t="n">
        <v>652500.74</v>
      </c>
      <c r="F674" s="9" t="n">
        <v>0</v>
      </c>
      <c r="G674" s="9" t="n">
        <v>720549.01</v>
      </c>
      <c r="H674" s="9">
        <f>IF(D674="USD",E674*$L$1,E674)</f>
        <v/>
      </c>
      <c r="I674" s="9">
        <f>IF(D674="USD",F674*$L$1,F674)</f>
        <v/>
      </c>
      <c r="J674" s="9">
        <f>IF(D674="USD",G674*$L$1,G674)</f>
        <v/>
      </c>
    </row>
    <row r="675">
      <c r="A675" s="8" t="n">
        <v>46133</v>
      </c>
      <c r="B675" t="inlineStr">
        <is>
          <t>2026-W17</t>
        </is>
      </c>
      <c r="C675" t="inlineStr">
        <is>
          <t>Adyen</t>
        </is>
      </c>
      <c r="D675" t="inlineStr">
        <is>
          <t>EUR</t>
        </is>
      </c>
      <c r="E675" s="9" t="n">
        <v>105130.66</v>
      </c>
      <c r="F675" s="9" t="n">
        <v>0</v>
      </c>
      <c r="G675" s="9" t="n">
        <v>0</v>
      </c>
      <c r="H675" s="9">
        <f>IF(D675="USD",E675*$L$1,E675)</f>
        <v/>
      </c>
      <c r="I675" s="9">
        <f>IF(D675="USD",F675*$L$1,F675)</f>
        <v/>
      </c>
      <c r="J675" s="9">
        <f>IF(D675="USD",G675*$L$1,G675)</f>
        <v/>
      </c>
    </row>
    <row r="676">
      <c r="A676" s="8" t="n">
        <v>46133</v>
      </c>
      <c r="B676" t="inlineStr">
        <is>
          <t>2026-W17</t>
        </is>
      </c>
      <c r="C676" t="inlineStr">
        <is>
          <t>Nuvei</t>
        </is>
      </c>
      <c r="D676" t="inlineStr">
        <is>
          <t>EUR</t>
        </is>
      </c>
      <c r="E676" s="9" t="n">
        <v>407356.04</v>
      </c>
      <c r="F676" s="9" t="n">
        <v>397828.52</v>
      </c>
      <c r="G676" s="9" t="n">
        <v>-397815.02</v>
      </c>
      <c r="H676" s="9">
        <f>IF(D676="USD",E676*$L$1,E676)</f>
        <v/>
      </c>
      <c r="I676" s="9">
        <f>IF(D676="USD",F676*$L$1,F676)</f>
        <v/>
      </c>
      <c r="J676" s="9">
        <f>IF(D676="USD",G676*$L$1,G676)</f>
        <v/>
      </c>
    </row>
    <row r="677">
      <c r="A677" s="8" t="n">
        <v>46133</v>
      </c>
      <c r="B677" t="inlineStr">
        <is>
          <t>2026-W17</t>
        </is>
      </c>
      <c r="C677" t="inlineStr">
        <is>
          <t>Nuvei</t>
        </is>
      </c>
      <c r="D677" t="inlineStr">
        <is>
          <t>EUR</t>
        </is>
      </c>
      <c r="E677" s="9" t="n">
        <v>165139.03</v>
      </c>
      <c r="F677" s="9" t="n">
        <v>160533.78</v>
      </c>
      <c r="G677" s="9" t="n">
        <v>-160530.28</v>
      </c>
      <c r="H677" s="9">
        <f>IF(D677="USD",E677*$L$1,E677)</f>
        <v/>
      </c>
      <c r="I677" s="9">
        <f>IF(D677="USD",F677*$L$1,F677)</f>
        <v/>
      </c>
      <c r="J677" s="9">
        <f>IF(D677="USD",G677*$L$1,G677)</f>
        <v/>
      </c>
    </row>
    <row r="678">
      <c r="A678" s="8" t="n">
        <v>46133</v>
      </c>
      <c r="B678" t="inlineStr">
        <is>
          <t>2026-W17</t>
        </is>
      </c>
      <c r="C678" t="inlineStr">
        <is>
          <t>Shift4</t>
        </is>
      </c>
      <c r="D678" t="inlineStr">
        <is>
          <t>EUR</t>
        </is>
      </c>
      <c r="E678" s="9" t="n">
        <v>630570.01</v>
      </c>
      <c r="F678" s="9" t="n">
        <v>623651.17</v>
      </c>
      <c r="G678" s="9" t="n">
        <v>-623651.17</v>
      </c>
      <c r="H678" s="9">
        <f>IF(D678="USD",E678*$L$1,E678)</f>
        <v/>
      </c>
      <c r="I678" s="9">
        <f>IF(D678="USD",F678*$L$1,F678)</f>
        <v/>
      </c>
      <c r="J678" s="9">
        <f>IF(D678="USD",G678*$L$1,G678)</f>
        <v/>
      </c>
    </row>
    <row r="679">
      <c r="A679" s="8" t="n">
        <v>46134</v>
      </c>
      <c r="B679" t="inlineStr">
        <is>
          <t>2026-W17</t>
        </is>
      </c>
      <c r="C679" t="inlineStr">
        <is>
          <t>Adyen</t>
        </is>
      </c>
      <c r="D679" t="inlineStr">
        <is>
          <t>EUR</t>
        </is>
      </c>
      <c r="E679" s="9" t="n">
        <v>644445.47</v>
      </c>
      <c r="F679" s="9" t="n">
        <v>0</v>
      </c>
      <c r="G679" s="9" t="n">
        <v>732515.0199999999</v>
      </c>
      <c r="H679" s="9">
        <f>IF(D679="USD",E679*$L$1,E679)</f>
        <v/>
      </c>
      <c r="I679" s="9">
        <f>IF(D679="USD",F679*$L$1,F679)</f>
        <v/>
      </c>
      <c r="J679" s="9">
        <f>IF(D679="USD",G679*$L$1,G679)</f>
        <v/>
      </c>
    </row>
    <row r="680">
      <c r="A680" s="8" t="n">
        <v>46134</v>
      </c>
      <c r="B680" t="inlineStr">
        <is>
          <t>2026-W17</t>
        </is>
      </c>
      <c r="C680" t="inlineStr">
        <is>
          <t>Adyen</t>
        </is>
      </c>
      <c r="D680" t="inlineStr">
        <is>
          <t>EUR</t>
        </is>
      </c>
      <c r="E680" s="9" t="n">
        <v>97555.22</v>
      </c>
      <c r="F680" s="9" t="n">
        <v>0</v>
      </c>
      <c r="G680" s="9" t="n">
        <v>0</v>
      </c>
      <c r="H680" s="9">
        <f>IF(D680="USD",E680*$L$1,E680)</f>
        <v/>
      </c>
      <c r="I680" s="9">
        <f>IF(D680="USD",F680*$L$1,F680)</f>
        <v/>
      </c>
      <c r="J680" s="9">
        <f>IF(D680="USD",G680*$L$1,G680)</f>
        <v/>
      </c>
    </row>
    <row r="681">
      <c r="A681" s="8" t="n">
        <v>46134</v>
      </c>
      <c r="B681" t="inlineStr">
        <is>
          <t>2026-W17</t>
        </is>
      </c>
      <c r="C681" t="inlineStr">
        <is>
          <t>Nuvei</t>
        </is>
      </c>
      <c r="D681" t="inlineStr">
        <is>
          <t>EUR</t>
        </is>
      </c>
      <c r="E681" s="9" t="n">
        <v>317875.9</v>
      </c>
      <c r="F681" s="9" t="n">
        <v>308072.24</v>
      </c>
      <c r="G681" s="9" t="n">
        <v>-308038.74</v>
      </c>
      <c r="H681" s="9">
        <f>IF(D681="USD",E681*$L$1,E681)</f>
        <v/>
      </c>
      <c r="I681" s="9">
        <f>IF(D681="USD",F681*$L$1,F681)</f>
        <v/>
      </c>
      <c r="J681" s="9">
        <f>IF(D681="USD",G681*$L$1,G681)</f>
        <v/>
      </c>
    </row>
    <row r="682">
      <c r="A682" s="8" t="n">
        <v>46134</v>
      </c>
      <c r="B682" t="inlineStr">
        <is>
          <t>2026-W17</t>
        </is>
      </c>
      <c r="C682" t="inlineStr">
        <is>
          <t>Nuvei</t>
        </is>
      </c>
      <c r="D682" t="inlineStr">
        <is>
          <t>EUR</t>
        </is>
      </c>
      <c r="E682" s="9" t="n">
        <v>172409.43</v>
      </c>
      <c r="F682" s="9" t="n">
        <v>167241.6</v>
      </c>
      <c r="G682" s="9" t="n">
        <v>-167238.09</v>
      </c>
      <c r="H682" s="9">
        <f>IF(D682="USD",E682*$L$1,E682)</f>
        <v/>
      </c>
      <c r="I682" s="9">
        <f>IF(D682="USD",F682*$L$1,F682)</f>
        <v/>
      </c>
      <c r="J682" s="9">
        <f>IF(D682="USD",G682*$L$1,G682)</f>
        <v/>
      </c>
    </row>
    <row r="683">
      <c r="A683" s="8" t="n">
        <v>46134</v>
      </c>
      <c r="B683" t="inlineStr">
        <is>
          <t>2026-W17</t>
        </is>
      </c>
      <c r="C683" t="inlineStr">
        <is>
          <t>Shift4</t>
        </is>
      </c>
      <c r="D683" t="inlineStr">
        <is>
          <t>EUR</t>
        </is>
      </c>
      <c r="E683" s="9" t="n">
        <v>639006.03</v>
      </c>
      <c r="F683" s="9" t="n">
        <v>632025.61</v>
      </c>
      <c r="G683" s="9" t="n">
        <v>-632025.62</v>
      </c>
      <c r="H683" s="9">
        <f>IF(D683="USD",E683*$L$1,E683)</f>
        <v/>
      </c>
      <c r="I683" s="9">
        <f>IF(D683="USD",F683*$L$1,F683)</f>
        <v/>
      </c>
      <c r="J683" s="9">
        <f>IF(D683="USD",G683*$L$1,G683)</f>
        <v/>
      </c>
    </row>
    <row r="684">
      <c r="A684" s="8" t="n">
        <v>46135</v>
      </c>
      <c r="B684" t="inlineStr">
        <is>
          <t>2026-W17</t>
        </is>
      </c>
      <c r="C684" t="inlineStr">
        <is>
          <t>Adyen</t>
        </is>
      </c>
      <c r="D684" t="inlineStr">
        <is>
          <t>EUR</t>
        </is>
      </c>
      <c r="E684" s="9" t="n">
        <v>582389.14</v>
      </c>
      <c r="F684" s="9" t="n">
        <v>0</v>
      </c>
      <c r="G684" s="9" t="n">
        <v>611457.8199999999</v>
      </c>
      <c r="H684" s="9">
        <f>IF(D684="USD",E684*$L$1,E684)</f>
        <v/>
      </c>
      <c r="I684" s="9">
        <f>IF(D684="USD",F684*$L$1,F684)</f>
        <v/>
      </c>
      <c r="J684" s="9">
        <f>IF(D684="USD",G684*$L$1,G684)</f>
        <v/>
      </c>
    </row>
    <row r="685">
      <c r="A685" s="8" t="n">
        <v>46135</v>
      </c>
      <c r="B685" t="inlineStr">
        <is>
          <t>2026-W17</t>
        </is>
      </c>
      <c r="C685" t="inlineStr">
        <is>
          <t>Adyen</t>
        </is>
      </c>
      <c r="D685" t="inlineStr">
        <is>
          <t>EUR</t>
        </is>
      </c>
      <c r="E685" s="9" t="n">
        <v>96697.89999999999</v>
      </c>
      <c r="F685" s="9" t="n">
        <v>0</v>
      </c>
      <c r="G685" s="9" t="n">
        <v>0</v>
      </c>
      <c r="H685" s="9">
        <f>IF(D685="USD",E685*$L$1,E685)</f>
        <v/>
      </c>
      <c r="I685" s="9">
        <f>IF(D685="USD",F685*$L$1,F685)</f>
        <v/>
      </c>
      <c r="J685" s="9">
        <f>IF(D685="USD",G685*$L$1,G685)</f>
        <v/>
      </c>
    </row>
    <row r="686">
      <c r="A686" s="8" t="n">
        <v>46135</v>
      </c>
      <c r="B686" t="inlineStr">
        <is>
          <t>2026-W17</t>
        </is>
      </c>
      <c r="C686" t="inlineStr">
        <is>
          <t>Nuvei</t>
        </is>
      </c>
      <c r="D686" t="inlineStr">
        <is>
          <t>EUR</t>
        </is>
      </c>
      <c r="E686" s="9" t="n">
        <v>356406.71</v>
      </c>
      <c r="F686" s="9" t="n">
        <v>358451.04</v>
      </c>
      <c r="G686" s="9" t="n">
        <v>-358451.05</v>
      </c>
      <c r="H686" s="9">
        <f>IF(D686="USD",E686*$L$1,E686)</f>
        <v/>
      </c>
      <c r="I686" s="9">
        <f>IF(D686="USD",F686*$L$1,F686)</f>
        <v/>
      </c>
      <c r="J686" s="9">
        <f>IF(D686="USD",G686*$L$1,G686)</f>
        <v/>
      </c>
    </row>
    <row r="687">
      <c r="A687" s="8" t="n">
        <v>46135</v>
      </c>
      <c r="B687" t="inlineStr">
        <is>
          <t>2026-W17</t>
        </is>
      </c>
      <c r="C687" t="inlineStr">
        <is>
          <t>Nuvei</t>
        </is>
      </c>
      <c r="D687" t="inlineStr">
        <is>
          <t>EUR</t>
        </is>
      </c>
      <c r="E687" s="9" t="n">
        <v>196683.72</v>
      </c>
      <c r="F687" s="9" t="n">
        <v>192023.21</v>
      </c>
      <c r="G687" s="9" t="n">
        <v>-192023.21</v>
      </c>
      <c r="H687" s="9">
        <f>IF(D687="USD",E687*$L$1,E687)</f>
        <v/>
      </c>
      <c r="I687" s="9">
        <f>IF(D687="USD",F687*$L$1,F687)</f>
        <v/>
      </c>
      <c r="J687" s="9">
        <f>IF(D687="USD",G687*$L$1,G687)</f>
        <v/>
      </c>
    </row>
    <row r="688">
      <c r="A688" s="8" t="n">
        <v>46135</v>
      </c>
      <c r="B688" t="inlineStr">
        <is>
          <t>2026-W17</t>
        </is>
      </c>
      <c r="C688" t="inlineStr">
        <is>
          <t>Shift4</t>
        </is>
      </c>
      <c r="D688" t="inlineStr">
        <is>
          <t>EUR</t>
        </is>
      </c>
      <c r="E688" s="9" t="n">
        <v>515576.22</v>
      </c>
      <c r="F688" s="9" t="n">
        <v>510080.0699999999</v>
      </c>
      <c r="G688" s="9" t="n">
        <v>-510080.07</v>
      </c>
      <c r="H688" s="9">
        <f>IF(D688="USD",E688*$L$1,E688)</f>
        <v/>
      </c>
      <c r="I688" s="9">
        <f>IF(D688="USD",F688*$L$1,F688)</f>
        <v/>
      </c>
      <c r="J688" s="9">
        <f>IF(D688="USD",G688*$L$1,G688)</f>
        <v/>
      </c>
    </row>
    <row r="689">
      <c r="A689" s="8" t="n">
        <v>46136</v>
      </c>
      <c r="B689" t="inlineStr">
        <is>
          <t>2026-W17</t>
        </is>
      </c>
      <c r="C689" t="inlineStr">
        <is>
          <t>Adyen</t>
        </is>
      </c>
      <c r="D689" t="inlineStr">
        <is>
          <t>EUR</t>
        </is>
      </c>
      <c r="E689" s="9" t="n">
        <v>492052.88</v>
      </c>
      <c r="F689" s="9" t="n">
        <v>0</v>
      </c>
      <c r="G689" s="9" t="n">
        <v>1413285.17</v>
      </c>
      <c r="H689" s="9">
        <f>IF(D689="USD",E689*$L$1,E689)</f>
        <v/>
      </c>
      <c r="I689" s="9">
        <f>IF(D689="USD",F689*$L$1,F689)</f>
        <v/>
      </c>
      <c r="J689" s="9">
        <f>IF(D689="USD",G689*$L$1,G689)</f>
        <v/>
      </c>
    </row>
    <row r="690">
      <c r="A690" s="8" t="n">
        <v>46136</v>
      </c>
      <c r="B690" t="inlineStr">
        <is>
          <t>2026-W17</t>
        </is>
      </c>
      <c r="C690" t="inlineStr">
        <is>
          <t>Adyen</t>
        </is>
      </c>
      <c r="D690" t="inlineStr">
        <is>
          <t>EUR</t>
        </is>
      </c>
      <c r="E690" s="9" t="n">
        <v>97614.06</v>
      </c>
      <c r="F690" s="9" t="n">
        <v>0</v>
      </c>
      <c r="G690" s="9" t="n">
        <v>0</v>
      </c>
      <c r="H690" s="9">
        <f>IF(D690="USD",E690*$L$1,E690)</f>
        <v/>
      </c>
      <c r="I690" s="9">
        <f>IF(D690="USD",F690*$L$1,F690)</f>
        <v/>
      </c>
      <c r="J690" s="9">
        <f>IF(D690="USD",G690*$L$1,G690)</f>
        <v/>
      </c>
    </row>
    <row r="691">
      <c r="A691" s="8" t="n">
        <v>46136</v>
      </c>
      <c r="B691" t="inlineStr">
        <is>
          <t>2026-W17</t>
        </is>
      </c>
      <c r="C691" t="inlineStr">
        <is>
          <t>Nuvei</t>
        </is>
      </c>
      <c r="D691" t="inlineStr">
        <is>
          <t>EUR</t>
        </is>
      </c>
      <c r="E691" s="9" t="n">
        <v>122254.28</v>
      </c>
      <c r="F691" s="9" t="n">
        <v>115001.09</v>
      </c>
      <c r="G691" s="9" t="n">
        <v>-114987.6</v>
      </c>
      <c r="H691" s="9">
        <f>IF(D691="USD",E691*$L$1,E691)</f>
        <v/>
      </c>
      <c r="I691" s="9">
        <f>IF(D691="USD",F691*$L$1,F691)</f>
        <v/>
      </c>
      <c r="J691" s="9">
        <f>IF(D691="USD",G691*$L$1,G691)</f>
        <v/>
      </c>
    </row>
    <row r="692">
      <c r="A692" s="8" t="n">
        <v>46136</v>
      </c>
      <c r="B692" t="inlineStr">
        <is>
          <t>2026-W17</t>
        </is>
      </c>
      <c r="C692" t="inlineStr">
        <is>
          <t>Nuvei</t>
        </is>
      </c>
      <c r="D692" t="inlineStr">
        <is>
          <t>EUR</t>
        </is>
      </c>
      <c r="E692" s="9" t="n">
        <v>171849.28</v>
      </c>
      <c r="F692" s="9" t="n">
        <v>165834.05</v>
      </c>
      <c r="G692" s="9" t="n">
        <v>-165830.55</v>
      </c>
      <c r="H692" s="9">
        <f>IF(D692="USD",E692*$L$1,E692)</f>
        <v/>
      </c>
      <c r="I692" s="9">
        <f>IF(D692="USD",F692*$L$1,F692)</f>
        <v/>
      </c>
      <c r="J692" s="9">
        <f>IF(D692="USD",G692*$L$1,G692)</f>
        <v/>
      </c>
    </row>
    <row r="693">
      <c r="A693" s="8" t="n">
        <v>46136</v>
      </c>
      <c r="B693" t="inlineStr">
        <is>
          <t>2026-W17</t>
        </is>
      </c>
      <c r="C693" t="inlineStr">
        <is>
          <t>Shift4</t>
        </is>
      </c>
      <c r="D693" t="inlineStr">
        <is>
          <t>EUR</t>
        </is>
      </c>
      <c r="E693" s="9" t="n">
        <v>433899.46</v>
      </c>
      <c r="F693" s="9" t="n">
        <v>429113.27</v>
      </c>
      <c r="G693" s="9" t="n">
        <v>-429113.27</v>
      </c>
      <c r="H693" s="9">
        <f>IF(D693="USD",E693*$L$1,E693)</f>
        <v/>
      </c>
      <c r="I693" s="9">
        <f>IF(D693="USD",F693*$L$1,F693)</f>
        <v/>
      </c>
      <c r="J693" s="9">
        <f>IF(D693="USD",G693*$L$1,G693)</f>
        <v/>
      </c>
    </row>
    <row r="694">
      <c r="A694" s="8" t="n">
        <v>46137</v>
      </c>
      <c r="B694" t="inlineStr">
        <is>
          <t>2026-W17</t>
        </is>
      </c>
      <c r="C694" t="inlineStr">
        <is>
          <t>Adyen</t>
        </is>
      </c>
      <c r="D694" t="inlineStr">
        <is>
          <t>EUR</t>
        </is>
      </c>
      <c r="E694" s="9" t="n">
        <v>390931.5</v>
      </c>
      <c r="F694" s="9" t="n">
        <v>0</v>
      </c>
      <c r="G694" s="9" t="n">
        <v>0</v>
      </c>
      <c r="H694" s="9">
        <f>IF(D694="USD",E694*$L$1,E694)</f>
        <v/>
      </c>
      <c r="I694" s="9">
        <f>IF(D694="USD",F694*$L$1,F694)</f>
        <v/>
      </c>
      <c r="J694" s="9">
        <f>IF(D694="USD",G694*$L$1,G694)</f>
        <v/>
      </c>
    </row>
    <row r="695">
      <c r="A695" s="8" t="n">
        <v>46137</v>
      </c>
      <c r="B695" t="inlineStr">
        <is>
          <t>2026-W17</t>
        </is>
      </c>
      <c r="C695" t="inlineStr">
        <is>
          <t>Adyen</t>
        </is>
      </c>
      <c r="D695" t="inlineStr">
        <is>
          <t>EUR</t>
        </is>
      </c>
      <c r="E695" s="9" t="n">
        <v>86528.12</v>
      </c>
      <c r="F695" s="9" t="n">
        <v>0</v>
      </c>
      <c r="G695" s="9" t="n">
        <v>0</v>
      </c>
      <c r="H695" s="9">
        <f>IF(D695="USD",E695*$L$1,E695)</f>
        <v/>
      </c>
      <c r="I695" s="9">
        <f>IF(D695="USD",F695*$L$1,F695)</f>
        <v/>
      </c>
      <c r="J695" s="9">
        <f>IF(D695="USD",G695*$L$1,G695)</f>
        <v/>
      </c>
    </row>
    <row r="696">
      <c r="A696" s="8" t="n">
        <v>46137</v>
      </c>
      <c r="B696" t="inlineStr">
        <is>
          <t>2026-W17</t>
        </is>
      </c>
      <c r="C696" t="inlineStr">
        <is>
          <t>Nuvei</t>
        </is>
      </c>
      <c r="D696" t="inlineStr">
        <is>
          <t>EUR</t>
        </is>
      </c>
      <c r="E696" s="9" t="n">
        <v>263768.08</v>
      </c>
      <c r="F696" s="9" t="n">
        <v>259084.7</v>
      </c>
      <c r="G696" s="9" t="n">
        <v>0</v>
      </c>
      <c r="H696" s="9">
        <f>IF(D696="USD",E696*$L$1,E696)</f>
        <v/>
      </c>
      <c r="I696" s="9">
        <f>IF(D696="USD",F696*$L$1,F696)</f>
        <v/>
      </c>
      <c r="J696" s="9">
        <f>IF(D696="USD",G696*$L$1,G696)</f>
        <v/>
      </c>
    </row>
    <row r="697">
      <c r="A697" s="8" t="n">
        <v>46137</v>
      </c>
      <c r="B697" t="inlineStr">
        <is>
          <t>2026-W17</t>
        </is>
      </c>
      <c r="C697" t="inlineStr">
        <is>
          <t>Nuvei</t>
        </is>
      </c>
      <c r="D697" t="inlineStr">
        <is>
          <t>EUR</t>
        </is>
      </c>
      <c r="E697" s="9" t="n">
        <v>222351.96</v>
      </c>
      <c r="F697" s="9" t="n">
        <v>215921.56</v>
      </c>
      <c r="G697" s="9" t="n">
        <v>0</v>
      </c>
      <c r="H697" s="9">
        <f>IF(D697="USD",E697*$L$1,E697)</f>
        <v/>
      </c>
      <c r="I697" s="9">
        <f>IF(D697="USD",F697*$L$1,F697)</f>
        <v/>
      </c>
      <c r="J697" s="9">
        <f>IF(D697="USD",G697*$L$1,G697)</f>
        <v/>
      </c>
    </row>
    <row r="698">
      <c r="A698" s="8" t="n">
        <v>46137</v>
      </c>
      <c r="B698" t="inlineStr">
        <is>
          <t>2026-W17</t>
        </is>
      </c>
      <c r="C698" t="inlineStr">
        <is>
          <t>Shift4</t>
        </is>
      </c>
      <c r="D698" t="inlineStr">
        <is>
          <t>EUR</t>
        </is>
      </c>
      <c r="E698" s="9" t="n">
        <v>390685.6</v>
      </c>
      <c r="F698" s="9" t="n">
        <v>387230.06</v>
      </c>
      <c r="G698" s="9" t="n">
        <v>0</v>
      </c>
      <c r="H698" s="9">
        <f>IF(D698="USD",E698*$L$1,E698)</f>
        <v/>
      </c>
      <c r="I698" s="9">
        <f>IF(D698="USD",F698*$L$1,F698)</f>
        <v/>
      </c>
      <c r="J698" s="9">
        <f>IF(D698="USD",G698*$L$1,G698)</f>
        <v/>
      </c>
    </row>
    <row r="699">
      <c r="A699" s="8" t="n">
        <v>46138</v>
      </c>
      <c r="B699" t="inlineStr">
        <is>
          <t>2026-W17</t>
        </is>
      </c>
      <c r="C699" t="inlineStr">
        <is>
          <t>Adyen</t>
        </is>
      </c>
      <c r="D699" t="inlineStr">
        <is>
          <t>EUR</t>
        </is>
      </c>
      <c r="E699" s="9" t="n">
        <v>403599.02</v>
      </c>
      <c r="F699" s="9" t="n">
        <v>0</v>
      </c>
      <c r="G699" s="9" t="n">
        <v>0</v>
      </c>
      <c r="H699" s="9">
        <f>IF(D699="USD",E699*$L$1,E699)</f>
        <v/>
      </c>
      <c r="I699" s="9">
        <f>IF(D699="USD",F699*$L$1,F699)</f>
        <v/>
      </c>
      <c r="J699" s="9">
        <f>IF(D699="USD",G699*$L$1,G699)</f>
        <v/>
      </c>
    </row>
    <row r="700">
      <c r="A700" s="8" t="n">
        <v>46138</v>
      </c>
      <c r="B700" t="inlineStr">
        <is>
          <t>2026-W17</t>
        </is>
      </c>
      <c r="C700" t="inlineStr">
        <is>
          <t>Adyen</t>
        </is>
      </c>
      <c r="D700" t="inlineStr">
        <is>
          <t>EUR</t>
        </is>
      </c>
      <c r="E700" s="9" t="n">
        <v>64682.59</v>
      </c>
      <c r="F700" s="9" t="n">
        <v>0</v>
      </c>
      <c r="G700" s="9" t="n">
        <v>0</v>
      </c>
      <c r="H700" s="9">
        <f>IF(D700="USD",E700*$L$1,E700)</f>
        <v/>
      </c>
      <c r="I700" s="9">
        <f>IF(D700="USD",F700*$L$1,F700)</f>
        <v/>
      </c>
      <c r="J700" s="9">
        <f>IF(D700="USD",G700*$L$1,G700)</f>
        <v/>
      </c>
    </row>
    <row r="701">
      <c r="A701" s="8" t="n">
        <v>46138</v>
      </c>
      <c r="B701" t="inlineStr">
        <is>
          <t>2026-W17</t>
        </is>
      </c>
      <c r="C701" t="inlineStr">
        <is>
          <t>Nuvei</t>
        </is>
      </c>
      <c r="D701" t="inlineStr">
        <is>
          <t>EUR</t>
        </is>
      </c>
      <c r="E701" s="9" t="n">
        <v>313855.24</v>
      </c>
      <c r="F701" s="9" t="n">
        <v>308671.38</v>
      </c>
      <c r="G701" s="9" t="n">
        <v>0</v>
      </c>
      <c r="H701" s="9">
        <f>IF(D701="USD",E701*$L$1,E701)</f>
        <v/>
      </c>
      <c r="I701" s="9">
        <f>IF(D701="USD",F701*$L$1,F701)</f>
        <v/>
      </c>
      <c r="J701" s="9">
        <f>IF(D701="USD",G701*$L$1,G701)</f>
        <v/>
      </c>
    </row>
    <row r="702">
      <c r="A702" s="8" t="n">
        <v>46138</v>
      </c>
      <c r="B702" t="inlineStr">
        <is>
          <t>2026-W17</t>
        </is>
      </c>
      <c r="C702" t="inlineStr">
        <is>
          <t>Nuvei</t>
        </is>
      </c>
      <c r="D702" t="inlineStr">
        <is>
          <t>EUR</t>
        </is>
      </c>
      <c r="E702" s="9" t="n">
        <v>181941.15</v>
      </c>
      <c r="F702" s="9" t="n">
        <v>176743.47</v>
      </c>
      <c r="G702" s="9" t="n">
        <v>0</v>
      </c>
      <c r="H702" s="9">
        <f>IF(D702="USD",E702*$L$1,E702)</f>
        <v/>
      </c>
      <c r="I702" s="9">
        <f>IF(D702="USD",F702*$L$1,F702)</f>
        <v/>
      </c>
      <c r="J702" s="9">
        <f>IF(D702="USD",G702*$L$1,G702)</f>
        <v/>
      </c>
    </row>
    <row r="703">
      <c r="A703" s="8" t="n">
        <v>46138</v>
      </c>
      <c r="B703" t="inlineStr">
        <is>
          <t>2026-W17</t>
        </is>
      </c>
      <c r="C703" t="inlineStr">
        <is>
          <t>Shift4</t>
        </is>
      </c>
      <c r="D703" t="inlineStr">
        <is>
          <t>EUR</t>
        </is>
      </c>
      <c r="E703" s="9" t="n">
        <v>517931.47</v>
      </c>
      <c r="F703" s="9" t="n">
        <v>513493.83</v>
      </c>
      <c r="G703" s="9" t="n">
        <v>0</v>
      </c>
      <c r="H703" s="9">
        <f>IF(D703="USD",E703*$L$1,E703)</f>
        <v/>
      </c>
      <c r="I703" s="9">
        <f>IF(D703="USD",F703*$L$1,F703)</f>
        <v/>
      </c>
      <c r="J703" s="9">
        <f>IF(D703="USD",G703*$L$1,G703)</f>
        <v/>
      </c>
    </row>
    <row r="704">
      <c r="A704" s="8" t="n">
        <v>46139</v>
      </c>
      <c r="B704" t="inlineStr">
        <is>
          <t>2026-W18</t>
        </is>
      </c>
      <c r="C704" t="inlineStr">
        <is>
          <t>Adyen</t>
        </is>
      </c>
      <c r="D704" t="inlineStr">
        <is>
          <t>EUR</t>
        </is>
      </c>
      <c r="E704" s="9" t="n">
        <v>696906.61</v>
      </c>
      <c r="F704" s="9" t="n">
        <v>0</v>
      </c>
      <c r="G704" s="9" t="n">
        <v>894651.1699999999</v>
      </c>
      <c r="H704" s="9">
        <f>IF(D704="USD",E704*$L$1,E704)</f>
        <v/>
      </c>
      <c r="I704" s="9">
        <f>IF(D704="USD",F704*$L$1,F704)</f>
        <v/>
      </c>
      <c r="J704" s="9">
        <f>IF(D704="USD",G704*$L$1,G704)</f>
        <v/>
      </c>
    </row>
    <row r="705">
      <c r="A705" s="8" t="n">
        <v>46139</v>
      </c>
      <c r="B705" t="inlineStr">
        <is>
          <t>2026-W18</t>
        </is>
      </c>
      <c r="C705" t="inlineStr">
        <is>
          <t>Adyen</t>
        </is>
      </c>
      <c r="D705" t="inlineStr">
        <is>
          <t>EUR</t>
        </is>
      </c>
      <c r="E705" s="9" t="n">
        <v>93297.12</v>
      </c>
      <c r="F705" s="9" t="n">
        <v>0</v>
      </c>
      <c r="G705" s="9" t="n">
        <v>0</v>
      </c>
      <c r="H705" s="9">
        <f>IF(D705="USD",E705*$L$1,E705)</f>
        <v/>
      </c>
      <c r="I705" s="9">
        <f>IF(D705="USD",F705*$L$1,F705)</f>
        <v/>
      </c>
      <c r="J705" s="9">
        <f>IF(D705="USD",G705*$L$1,G705)</f>
        <v/>
      </c>
    </row>
    <row r="706">
      <c r="A706" s="8" t="n">
        <v>46139</v>
      </c>
      <c r="B706" t="inlineStr">
        <is>
          <t>2026-W18</t>
        </is>
      </c>
      <c r="C706" t="inlineStr">
        <is>
          <t>Nuvei</t>
        </is>
      </c>
      <c r="D706" t="inlineStr">
        <is>
          <t>EUR</t>
        </is>
      </c>
      <c r="E706" s="9" t="n">
        <v>430293.36</v>
      </c>
      <c r="F706" s="9" t="n">
        <v>422622.61</v>
      </c>
      <c r="G706" s="9" t="n">
        <v>-990345.21</v>
      </c>
      <c r="H706" s="9">
        <f>IF(D706="USD",E706*$L$1,E706)</f>
        <v/>
      </c>
      <c r="I706" s="9">
        <f>IF(D706="USD",F706*$L$1,F706)</f>
        <v/>
      </c>
      <c r="J706" s="9">
        <f>IF(D706="USD",G706*$L$1,G706)</f>
        <v/>
      </c>
    </row>
    <row r="707">
      <c r="A707" s="8" t="n">
        <v>46139</v>
      </c>
      <c r="B707" t="inlineStr">
        <is>
          <t>2026-W18</t>
        </is>
      </c>
      <c r="C707" t="inlineStr">
        <is>
          <t>Nuvei</t>
        </is>
      </c>
      <c r="D707" t="inlineStr">
        <is>
          <t>EUR</t>
        </is>
      </c>
      <c r="E707" s="9" t="n">
        <v>202781.86</v>
      </c>
      <c r="F707" s="9" t="n">
        <v>197013.76</v>
      </c>
      <c r="G707" s="9" t="n">
        <v>-589675.3</v>
      </c>
      <c r="H707" s="9">
        <f>IF(D707="USD",E707*$L$1,E707)</f>
        <v/>
      </c>
      <c r="I707" s="9">
        <f>IF(D707="USD",F707*$L$1,F707)</f>
        <v/>
      </c>
      <c r="J707" s="9">
        <f>IF(D707="USD",G707*$L$1,G707)</f>
        <v/>
      </c>
    </row>
    <row r="708">
      <c r="A708" s="8" t="n">
        <v>46139</v>
      </c>
      <c r="B708" t="inlineStr">
        <is>
          <t>2026-W18</t>
        </is>
      </c>
      <c r="C708" t="inlineStr">
        <is>
          <t>Shift4</t>
        </is>
      </c>
      <c r="D708" t="inlineStr">
        <is>
          <t>EUR</t>
        </is>
      </c>
      <c r="E708" s="9" t="n">
        <v>570764.49</v>
      </c>
      <c r="F708" s="9" t="n">
        <v>565326.02</v>
      </c>
      <c r="G708" s="9" t="n">
        <v>-1466049.9</v>
      </c>
      <c r="H708" s="9">
        <f>IF(D708="USD",E708*$L$1,E708)</f>
        <v/>
      </c>
      <c r="I708" s="9">
        <f>IF(D708="USD",F708*$L$1,F708)</f>
        <v/>
      </c>
      <c r="J708" s="9">
        <f>IF(D708="USD",G708*$L$1,G708)</f>
        <v/>
      </c>
    </row>
    <row r="709">
      <c r="A709" s="8" t="n">
        <v>46140</v>
      </c>
      <c r="B709" t="inlineStr">
        <is>
          <t>2026-W18</t>
        </is>
      </c>
      <c r="C709" t="inlineStr">
        <is>
          <t>Adyen</t>
        </is>
      </c>
      <c r="D709" t="inlineStr">
        <is>
          <t>EUR</t>
        </is>
      </c>
      <c r="E709" s="9" t="n">
        <v>661820.7</v>
      </c>
      <c r="F709" s="9" t="n">
        <v>0</v>
      </c>
      <c r="G709" s="9" t="n">
        <v>752450.6899999999</v>
      </c>
      <c r="H709" s="9">
        <f>IF(D709="USD",E709*$L$1,E709)</f>
        <v/>
      </c>
      <c r="I709" s="9">
        <f>IF(D709="USD",F709*$L$1,F709)</f>
        <v/>
      </c>
      <c r="J709" s="9">
        <f>IF(D709="USD",G709*$L$1,G709)</f>
        <v/>
      </c>
    </row>
    <row r="710">
      <c r="A710" s="8" t="n">
        <v>46140</v>
      </c>
      <c r="B710" t="inlineStr">
        <is>
          <t>2026-W18</t>
        </is>
      </c>
      <c r="C710" t="inlineStr">
        <is>
          <t>Adyen</t>
        </is>
      </c>
      <c r="D710" t="inlineStr">
        <is>
          <t>EUR</t>
        </is>
      </c>
      <c r="E710" s="9" t="n">
        <v>97418.12</v>
      </c>
      <c r="F710" s="9" t="n">
        <v>0</v>
      </c>
      <c r="G710" s="9" t="n">
        <v>0</v>
      </c>
      <c r="H710" s="9">
        <f>IF(D710="USD",E710*$L$1,E710)</f>
        <v/>
      </c>
      <c r="I710" s="9">
        <f>IF(D710="USD",F710*$L$1,F710)</f>
        <v/>
      </c>
      <c r="J710" s="9">
        <f>IF(D710="USD",G710*$L$1,G710)</f>
        <v/>
      </c>
    </row>
    <row r="711">
      <c r="A711" s="8" t="n">
        <v>46140</v>
      </c>
      <c r="B711" t="inlineStr">
        <is>
          <t>2026-W18</t>
        </is>
      </c>
      <c r="C711" t="inlineStr">
        <is>
          <t>Nuvei</t>
        </is>
      </c>
      <c r="D711" t="inlineStr">
        <is>
          <t>EUR</t>
        </is>
      </c>
      <c r="E711" s="9" t="n">
        <v>444144.44</v>
      </c>
      <c r="F711" s="9" t="n">
        <v>435913.4</v>
      </c>
      <c r="G711" s="9" t="n">
        <v>-435889.9</v>
      </c>
      <c r="H711" s="9">
        <f>IF(D711="USD",E711*$L$1,E711)</f>
        <v/>
      </c>
      <c r="I711" s="9">
        <f>IF(D711="USD",F711*$L$1,F711)</f>
        <v/>
      </c>
      <c r="J711" s="9">
        <f>IF(D711="USD",G711*$L$1,G711)</f>
        <v/>
      </c>
    </row>
    <row r="712">
      <c r="A712" s="8" t="n">
        <v>46140</v>
      </c>
      <c r="B712" t="inlineStr">
        <is>
          <t>2026-W18</t>
        </is>
      </c>
      <c r="C712" t="inlineStr">
        <is>
          <t>Nuvei</t>
        </is>
      </c>
      <c r="D712" t="inlineStr">
        <is>
          <t>EUR</t>
        </is>
      </c>
      <c r="E712" s="9" t="n">
        <v>190706.51</v>
      </c>
      <c r="F712" s="9" t="n">
        <v>185332.47</v>
      </c>
      <c r="G712" s="9" t="n">
        <v>-185328.97</v>
      </c>
      <c r="H712" s="9">
        <f>IF(D712="USD",E712*$L$1,E712)</f>
        <v/>
      </c>
      <c r="I712" s="9">
        <f>IF(D712="USD",F712*$L$1,F712)</f>
        <v/>
      </c>
      <c r="J712" s="9">
        <f>IF(D712="USD",G712*$L$1,G712)</f>
        <v/>
      </c>
    </row>
    <row r="713">
      <c r="A713" s="8" t="n">
        <v>46140</v>
      </c>
      <c r="B713" t="inlineStr">
        <is>
          <t>2026-W18</t>
        </is>
      </c>
      <c r="C713" t="inlineStr">
        <is>
          <t>Shift4</t>
        </is>
      </c>
      <c r="D713" t="inlineStr">
        <is>
          <t>EUR</t>
        </is>
      </c>
      <c r="E713" s="9" t="n">
        <v>631968.95</v>
      </c>
      <c r="F713" s="9" t="n">
        <v>625490.0499999999</v>
      </c>
      <c r="G713" s="9" t="n">
        <v>-625341.1899999999</v>
      </c>
      <c r="H713" s="9">
        <f>IF(D713="USD",E713*$L$1,E713)</f>
        <v/>
      </c>
      <c r="I713" s="9">
        <f>IF(D713="USD",F713*$L$1,F713)</f>
        <v/>
      </c>
      <c r="J713" s="9">
        <f>IF(D713="USD",G713*$L$1,G713)</f>
        <v/>
      </c>
    </row>
    <row r="714">
      <c r="A714" s="8" t="n">
        <v>46141</v>
      </c>
      <c r="B714" t="inlineStr">
        <is>
          <t>2026-W18</t>
        </is>
      </c>
      <c r="C714" t="inlineStr">
        <is>
          <t>Adyen</t>
        </is>
      </c>
      <c r="D714" t="inlineStr">
        <is>
          <t>EUR</t>
        </is>
      </c>
      <c r="E714" s="9" t="n">
        <v>652489.71</v>
      </c>
      <c r="F714" s="9" t="n">
        <v>0</v>
      </c>
      <c r="G714" s="9" t="n">
        <v>719488.99</v>
      </c>
      <c r="H714" s="9">
        <f>IF(D714="USD",E714*$L$1,E714)</f>
        <v/>
      </c>
      <c r="I714" s="9">
        <f>IF(D714="USD",F714*$L$1,F714)</f>
        <v/>
      </c>
      <c r="J714" s="9">
        <f>IF(D714="USD",G714*$L$1,G714)</f>
        <v/>
      </c>
    </row>
    <row r="715">
      <c r="A715" s="8" t="n">
        <v>46141</v>
      </c>
      <c r="B715" t="inlineStr">
        <is>
          <t>2026-W18</t>
        </is>
      </c>
      <c r="C715" t="inlineStr">
        <is>
          <t>Adyen</t>
        </is>
      </c>
      <c r="D715" t="inlineStr">
        <is>
          <t>EUR</t>
        </is>
      </c>
      <c r="E715" s="9" t="n">
        <v>81281.99000000001</v>
      </c>
      <c r="F715" s="9" t="n">
        <v>0</v>
      </c>
      <c r="G715" s="9" t="n">
        <v>0</v>
      </c>
      <c r="H715" s="9">
        <f>IF(D715="USD",E715*$L$1,E715)</f>
        <v/>
      </c>
      <c r="I715" s="9">
        <f>IF(D715="USD",F715*$L$1,F715)</f>
        <v/>
      </c>
      <c r="J715" s="9">
        <f>IF(D715="USD",G715*$L$1,G715)</f>
        <v/>
      </c>
    </row>
    <row r="716">
      <c r="A716" s="8" t="n">
        <v>46141</v>
      </c>
      <c r="B716" t="inlineStr">
        <is>
          <t>2026-W18</t>
        </is>
      </c>
      <c r="C716" t="inlineStr">
        <is>
          <t>Nuvei</t>
        </is>
      </c>
      <c r="D716" t="inlineStr">
        <is>
          <t>EUR</t>
        </is>
      </c>
      <c r="E716" s="9" t="n">
        <v>456564.5</v>
      </c>
      <c r="F716" s="9" t="n">
        <v>448221.57</v>
      </c>
      <c r="G716" s="9" t="n">
        <v>-448218.08</v>
      </c>
      <c r="H716" s="9">
        <f>IF(D716="USD",E716*$L$1,E716)</f>
        <v/>
      </c>
      <c r="I716" s="9">
        <f>IF(D716="USD",F716*$L$1,F716)</f>
        <v/>
      </c>
      <c r="J716" s="9">
        <f>IF(D716="USD",G716*$L$1,G716)</f>
        <v/>
      </c>
    </row>
    <row r="717">
      <c r="A717" s="8" t="n">
        <v>46141</v>
      </c>
      <c r="B717" t="inlineStr">
        <is>
          <t>2026-W18</t>
        </is>
      </c>
      <c r="C717" t="inlineStr">
        <is>
          <t>Nuvei</t>
        </is>
      </c>
      <c r="D717" t="inlineStr">
        <is>
          <t>EUR</t>
        </is>
      </c>
      <c r="E717" s="9" t="n">
        <v>165857.98</v>
      </c>
      <c r="F717" s="9" t="n">
        <v>161309.75</v>
      </c>
      <c r="G717" s="9" t="n">
        <v>-161306.24</v>
      </c>
      <c r="H717" s="9">
        <f>IF(D717="USD",E717*$L$1,E717)</f>
        <v/>
      </c>
      <c r="I717" s="9">
        <f>IF(D717="USD",F717*$L$1,F717)</f>
        <v/>
      </c>
      <c r="J717" s="9">
        <f>IF(D717="USD",G717*$L$1,G717)</f>
        <v/>
      </c>
    </row>
    <row r="718">
      <c r="A718" s="8" t="n">
        <v>46141</v>
      </c>
      <c r="B718" t="inlineStr">
        <is>
          <t>2026-W18</t>
        </is>
      </c>
      <c r="C718" t="inlineStr">
        <is>
          <t>Shift4</t>
        </is>
      </c>
      <c r="D718" t="inlineStr">
        <is>
          <t>EUR</t>
        </is>
      </c>
      <c r="E718" s="9" t="n">
        <v>593217.22</v>
      </c>
      <c r="F718" s="9" t="n">
        <v>587475.71</v>
      </c>
      <c r="G718" s="9" t="n">
        <v>-587320.54</v>
      </c>
      <c r="H718" s="9">
        <f>IF(D718="USD",E718*$L$1,E718)</f>
        <v/>
      </c>
      <c r="I718" s="9">
        <f>IF(D718="USD",F718*$L$1,F718)</f>
        <v/>
      </c>
      <c r="J718" s="9">
        <f>IF(D718="USD",G718*$L$1,G718)</f>
        <v/>
      </c>
    </row>
    <row r="719">
      <c r="A719" s="8" t="n">
        <v>46142</v>
      </c>
      <c r="B719" t="inlineStr">
        <is>
          <t>2026-W18</t>
        </is>
      </c>
      <c r="C719" t="inlineStr">
        <is>
          <t>Adyen</t>
        </is>
      </c>
      <c r="D719" t="inlineStr">
        <is>
          <t>EUR</t>
        </is>
      </c>
      <c r="E719" s="9" t="n">
        <v>624242.5</v>
      </c>
      <c r="F719" s="9" t="n">
        <v>0</v>
      </c>
      <c r="G719" s="9" t="n">
        <v>0</v>
      </c>
      <c r="H719" s="9">
        <f>IF(D719="USD",E719*$L$1,E719)</f>
        <v/>
      </c>
      <c r="I719" s="9">
        <f>IF(D719="USD",F719*$L$1,F719)</f>
        <v/>
      </c>
      <c r="J719" s="9">
        <f>IF(D719="USD",G719*$L$1,G719)</f>
        <v/>
      </c>
    </row>
    <row r="720">
      <c r="A720" s="8" t="n">
        <v>46142</v>
      </c>
      <c r="B720" t="inlineStr">
        <is>
          <t>2026-W18</t>
        </is>
      </c>
      <c r="C720" t="inlineStr">
        <is>
          <t>Adyen</t>
        </is>
      </c>
      <c r="D720" t="inlineStr">
        <is>
          <t>EUR</t>
        </is>
      </c>
      <c r="E720" s="9" t="n">
        <v>109305.31</v>
      </c>
      <c r="F720" s="9" t="n">
        <v>0</v>
      </c>
      <c r="G720" s="9" t="n">
        <v>0</v>
      </c>
      <c r="H720" s="9">
        <f>IF(D720="USD",E720*$L$1,E720)</f>
        <v/>
      </c>
      <c r="I720" s="9">
        <f>IF(D720="USD",F720*$L$1,F720)</f>
        <v/>
      </c>
      <c r="J720" s="9">
        <f>IF(D720="USD",G720*$L$1,G720)</f>
        <v/>
      </c>
    </row>
    <row r="721">
      <c r="A721" s="8" t="n">
        <v>46142</v>
      </c>
      <c r="B721" t="inlineStr">
        <is>
          <t>2026-W18</t>
        </is>
      </c>
      <c r="C721" t="inlineStr">
        <is>
          <t>Nuvei</t>
        </is>
      </c>
      <c r="D721" t="inlineStr">
        <is>
          <t>EUR</t>
        </is>
      </c>
      <c r="E721" s="9" t="n">
        <v>414491.92</v>
      </c>
      <c r="F721" s="9" t="n">
        <v>406659.73</v>
      </c>
      <c r="G721" s="9" t="n">
        <v>-406656.23</v>
      </c>
      <c r="H721" s="9">
        <f>IF(D721="USD",E721*$L$1,E721)</f>
        <v/>
      </c>
      <c r="I721" s="9">
        <f>IF(D721="USD",F721*$L$1,F721)</f>
        <v/>
      </c>
      <c r="J721" s="9">
        <f>IF(D721="USD",G721*$L$1,G721)</f>
        <v/>
      </c>
    </row>
    <row r="722">
      <c r="A722" s="8" t="n">
        <v>46142</v>
      </c>
      <c r="B722" t="inlineStr">
        <is>
          <t>2026-W18</t>
        </is>
      </c>
      <c r="C722" t="inlineStr">
        <is>
          <t>Nuvei</t>
        </is>
      </c>
      <c r="D722" t="inlineStr">
        <is>
          <t>EUR</t>
        </is>
      </c>
      <c r="E722" s="9" t="n">
        <v>220393.99</v>
      </c>
      <c r="F722" s="9" t="n">
        <v>214217.98</v>
      </c>
      <c r="G722" s="9" t="n">
        <v>-214214.49</v>
      </c>
      <c r="H722" s="9">
        <f>IF(D722="USD",E722*$L$1,E722)</f>
        <v/>
      </c>
      <c r="I722" s="9">
        <f>IF(D722="USD",F722*$L$1,F722)</f>
        <v/>
      </c>
      <c r="J722" s="9">
        <f>IF(D722="USD",G722*$L$1,G722)</f>
        <v/>
      </c>
    </row>
    <row r="723">
      <c r="A723" s="8" t="n">
        <v>46142</v>
      </c>
      <c r="B723" t="inlineStr">
        <is>
          <t>2026-W18</t>
        </is>
      </c>
      <c r="C723" t="inlineStr">
        <is>
          <t>Shift4</t>
        </is>
      </c>
      <c r="D723" t="inlineStr">
        <is>
          <t>EUR</t>
        </is>
      </c>
      <c r="E723" s="9" t="n">
        <v>555274.4300000001</v>
      </c>
      <c r="F723" s="9" t="n">
        <v>549331.2000000001</v>
      </c>
      <c r="G723" s="9" t="n">
        <v>0</v>
      </c>
      <c r="H723" s="9">
        <f>IF(D723="USD",E723*$L$1,E723)</f>
        <v/>
      </c>
      <c r="I723" s="9">
        <f>IF(D723="USD",F723*$L$1,F723)</f>
        <v/>
      </c>
      <c r="J723" s="9">
        <f>IF(D723="USD",G723*$L$1,G723)</f>
        <v/>
      </c>
    </row>
    <row r="724">
      <c r="A724" s="8" t="n">
        <v>46143</v>
      </c>
      <c r="B724" t="inlineStr">
        <is>
          <t>2026-W18</t>
        </is>
      </c>
      <c r="C724" t="inlineStr">
        <is>
          <t>Adyen</t>
        </is>
      </c>
      <c r="D724" t="inlineStr">
        <is>
          <t>EUR</t>
        </is>
      </c>
      <c r="E724" s="9" t="n">
        <v>421221.19</v>
      </c>
      <c r="F724" s="9" t="n">
        <v>0</v>
      </c>
      <c r="G724" s="9" t="n">
        <v>1176204.32</v>
      </c>
      <c r="H724" s="9">
        <f>IF(D724="USD",E724*$L$1,E724)</f>
        <v/>
      </c>
      <c r="I724" s="9">
        <f>IF(D724="USD",F724*$L$1,F724)</f>
        <v/>
      </c>
      <c r="J724" s="9">
        <f>IF(D724="USD",G724*$L$1,G724)</f>
        <v/>
      </c>
    </row>
    <row r="725">
      <c r="A725" s="8" t="n">
        <v>46143</v>
      </c>
      <c r="B725" t="inlineStr">
        <is>
          <t>2026-W18</t>
        </is>
      </c>
      <c r="C725" t="inlineStr">
        <is>
          <t>Adyen</t>
        </is>
      </c>
      <c r="D725" t="inlineStr">
        <is>
          <t>EUR</t>
        </is>
      </c>
      <c r="E725" s="9" t="n">
        <v>68243.09</v>
      </c>
      <c r="F725" s="9" t="n">
        <v>0</v>
      </c>
      <c r="G725" s="9" t="n">
        <v>0</v>
      </c>
      <c r="H725" s="9">
        <f>IF(D725="USD",E725*$L$1,E725)</f>
        <v/>
      </c>
      <c r="I725" s="9">
        <f>IF(D725="USD",F725*$L$1,F725)</f>
        <v/>
      </c>
      <c r="J725" s="9">
        <f>IF(D725="USD",G725*$L$1,G725)</f>
        <v/>
      </c>
    </row>
    <row r="726">
      <c r="A726" s="8" t="n">
        <v>46143</v>
      </c>
      <c r="B726" t="inlineStr">
        <is>
          <t>2026-W18</t>
        </is>
      </c>
      <c r="C726" t="inlineStr">
        <is>
          <t>Nuvei</t>
        </is>
      </c>
      <c r="D726" t="inlineStr">
        <is>
          <t>EUR</t>
        </is>
      </c>
      <c r="E726" s="9" t="n">
        <v>339740.13</v>
      </c>
      <c r="F726" s="9" t="n">
        <v>334273.97</v>
      </c>
      <c r="G726" s="9" t="n">
        <v>-334260.47</v>
      </c>
      <c r="H726" s="9">
        <f>IF(D726="USD",E726*$L$1,E726)</f>
        <v/>
      </c>
      <c r="I726" s="9">
        <f>IF(D726="USD",F726*$L$1,F726)</f>
        <v/>
      </c>
      <c r="J726" s="9">
        <f>IF(D726="USD",G726*$L$1,G726)</f>
        <v/>
      </c>
    </row>
    <row r="727">
      <c r="A727" s="8" t="n">
        <v>46143</v>
      </c>
      <c r="B727" t="inlineStr">
        <is>
          <t>2026-W18</t>
        </is>
      </c>
      <c r="C727" t="inlineStr">
        <is>
          <t>Nuvei</t>
        </is>
      </c>
      <c r="D727" t="inlineStr">
        <is>
          <t>EUR</t>
        </is>
      </c>
      <c r="E727" s="9" t="n">
        <v>161946.51</v>
      </c>
      <c r="F727" s="9" t="n">
        <v>157337.09</v>
      </c>
      <c r="G727" s="9" t="n">
        <v>-157333.58</v>
      </c>
      <c r="H727" s="9">
        <f>IF(D727="USD",E727*$L$1,E727)</f>
        <v/>
      </c>
      <c r="I727" s="9">
        <f>IF(D727="USD",F727*$L$1,F727)</f>
        <v/>
      </c>
      <c r="J727" s="9">
        <f>IF(D727="USD",G727*$L$1,G727)</f>
        <v/>
      </c>
    </row>
    <row r="728">
      <c r="A728" s="8" t="n">
        <v>46143</v>
      </c>
      <c r="B728" t="inlineStr">
        <is>
          <t>2026-W18</t>
        </is>
      </c>
      <c r="C728" t="inlineStr">
        <is>
          <t>Shift4</t>
        </is>
      </c>
      <c r="D728" t="inlineStr">
        <is>
          <t>EUR</t>
        </is>
      </c>
      <c r="E728" s="9" t="n">
        <v>515586.4</v>
      </c>
      <c r="F728" s="9" t="n">
        <v>511021.78</v>
      </c>
      <c r="G728" s="9" t="n">
        <v>-1060145.05</v>
      </c>
      <c r="H728" s="9">
        <f>IF(D728="USD",E728*$L$1,E728)</f>
        <v/>
      </c>
      <c r="I728" s="9">
        <f>IF(D728="USD",F728*$L$1,F728)</f>
        <v/>
      </c>
      <c r="J728" s="9">
        <f>IF(D728="USD",G728*$L$1,G728)</f>
        <v/>
      </c>
    </row>
    <row r="729">
      <c r="A729" s="8" t="n">
        <v>46144</v>
      </c>
      <c r="B729" t="inlineStr">
        <is>
          <t>2026-W18</t>
        </is>
      </c>
      <c r="C729" t="inlineStr">
        <is>
          <t>Adyen</t>
        </is>
      </c>
      <c r="D729" t="inlineStr">
        <is>
          <t>EUR</t>
        </is>
      </c>
      <c r="E729" s="9" t="n">
        <v>374055.84</v>
      </c>
      <c r="F729" s="9" t="n">
        <v>0</v>
      </c>
      <c r="G729" s="9" t="n">
        <v>0</v>
      </c>
      <c r="H729" s="9">
        <f>IF(D729="USD",E729*$L$1,E729)</f>
        <v/>
      </c>
      <c r="I729" s="9">
        <f>IF(D729="USD",F729*$L$1,F729)</f>
        <v/>
      </c>
      <c r="J729" s="9">
        <f>IF(D729="USD",G729*$L$1,G729)</f>
        <v/>
      </c>
    </row>
    <row r="730">
      <c r="A730" s="8" t="n">
        <v>46144</v>
      </c>
      <c r="B730" t="inlineStr">
        <is>
          <t>2026-W18</t>
        </is>
      </c>
      <c r="C730" t="inlineStr">
        <is>
          <t>Adyen</t>
        </is>
      </c>
      <c r="D730" t="inlineStr">
        <is>
          <t>EUR</t>
        </is>
      </c>
      <c r="E730" s="9" t="n">
        <v>76391.19</v>
      </c>
      <c r="F730" s="9" t="n">
        <v>0</v>
      </c>
      <c r="G730" s="9" t="n">
        <v>0</v>
      </c>
      <c r="H730" s="9">
        <f>IF(D730="USD",E730*$L$1,E730)</f>
        <v/>
      </c>
      <c r="I730" s="9">
        <f>IF(D730="USD",F730*$L$1,F730)</f>
        <v/>
      </c>
      <c r="J730" s="9">
        <f>IF(D730="USD",G730*$L$1,G730)</f>
        <v/>
      </c>
    </row>
    <row r="731">
      <c r="A731" s="8" t="n">
        <v>46144</v>
      </c>
      <c r="B731" t="inlineStr">
        <is>
          <t>2026-W18</t>
        </is>
      </c>
      <c r="C731" t="inlineStr">
        <is>
          <t>Nuvei</t>
        </is>
      </c>
      <c r="D731" t="inlineStr">
        <is>
          <t>EUR</t>
        </is>
      </c>
      <c r="E731" s="9" t="n">
        <v>272057.24</v>
      </c>
      <c r="F731" s="9" t="n">
        <v>267467.25</v>
      </c>
      <c r="G731" s="9" t="n">
        <v>0</v>
      </c>
      <c r="H731" s="9">
        <f>IF(D731="USD",E731*$L$1,E731)</f>
        <v/>
      </c>
      <c r="I731" s="9">
        <f>IF(D731="USD",F731*$L$1,F731)</f>
        <v/>
      </c>
      <c r="J731" s="9">
        <f>IF(D731="USD",G731*$L$1,G731)</f>
        <v/>
      </c>
    </row>
    <row r="732">
      <c r="A732" s="8" t="n">
        <v>46144</v>
      </c>
      <c r="B732" t="inlineStr">
        <is>
          <t>2026-W18</t>
        </is>
      </c>
      <c r="C732" t="inlineStr">
        <is>
          <t>Nuvei</t>
        </is>
      </c>
      <c r="D732" t="inlineStr">
        <is>
          <t>EUR</t>
        </is>
      </c>
      <c r="E732" s="9" t="n">
        <v>200209.39</v>
      </c>
      <c r="F732" s="9" t="n">
        <v>194510.87</v>
      </c>
      <c r="G732" s="9" t="n">
        <v>0</v>
      </c>
      <c r="H732" s="9">
        <f>IF(D732="USD",E732*$L$1,E732)</f>
        <v/>
      </c>
      <c r="I732" s="9">
        <f>IF(D732="USD",F732*$L$1,F732)</f>
        <v/>
      </c>
      <c r="J732" s="9">
        <f>IF(D732="USD",G732*$L$1,G732)</f>
        <v/>
      </c>
    </row>
    <row r="733">
      <c r="A733" s="8" t="n">
        <v>46144</v>
      </c>
      <c r="B733" t="inlineStr">
        <is>
          <t>2026-W18</t>
        </is>
      </c>
      <c r="C733" t="inlineStr">
        <is>
          <t>Shift4</t>
        </is>
      </c>
      <c r="D733" t="inlineStr">
        <is>
          <t>EUR</t>
        </is>
      </c>
      <c r="E733" s="9" t="n">
        <v>418115.95</v>
      </c>
      <c r="F733" s="9" t="n">
        <v>414394.59</v>
      </c>
      <c r="G733" s="9" t="n">
        <v>0</v>
      </c>
      <c r="H733" s="9">
        <f>IF(D733="USD",E733*$L$1,E733)</f>
        <v/>
      </c>
      <c r="I733" s="9">
        <f>IF(D733="USD",F733*$L$1,F733)</f>
        <v/>
      </c>
      <c r="J733" s="9">
        <f>IF(D733="USD",G733*$L$1,G733)</f>
        <v/>
      </c>
    </row>
    <row r="734">
      <c r="A734" s="8" t="n">
        <v>46145</v>
      </c>
      <c r="B734" t="inlineStr">
        <is>
          <t>2026-W18</t>
        </is>
      </c>
      <c r="C734" t="inlineStr">
        <is>
          <t>Adyen</t>
        </is>
      </c>
      <c r="D734" t="inlineStr">
        <is>
          <t>EUR</t>
        </is>
      </c>
      <c r="E734" s="9" t="n">
        <v>441835.28</v>
      </c>
      <c r="F734" s="9" t="n">
        <v>0</v>
      </c>
      <c r="G734" s="9" t="n">
        <v>0</v>
      </c>
      <c r="H734" s="9">
        <f>IF(D734="USD",E734*$L$1,E734)</f>
        <v/>
      </c>
      <c r="I734" s="9">
        <f>IF(D734="USD",F734*$L$1,F734)</f>
        <v/>
      </c>
      <c r="J734" s="9">
        <f>IF(D734="USD",G734*$L$1,G734)</f>
        <v/>
      </c>
    </row>
    <row r="735">
      <c r="A735" s="8" t="n">
        <v>46145</v>
      </c>
      <c r="B735" t="inlineStr">
        <is>
          <t>2026-W18</t>
        </is>
      </c>
      <c r="C735" t="inlineStr">
        <is>
          <t>Adyen</t>
        </is>
      </c>
      <c r="D735" t="inlineStr">
        <is>
          <t>EUR</t>
        </is>
      </c>
      <c r="E735" s="9" t="n">
        <v>24853.7</v>
      </c>
      <c r="F735" s="9" t="n">
        <v>0</v>
      </c>
      <c r="G735" s="9" t="n">
        <v>0</v>
      </c>
      <c r="H735" s="9">
        <f>IF(D735="USD",E735*$L$1,E735)</f>
        <v/>
      </c>
      <c r="I735" s="9">
        <f>IF(D735="USD",F735*$L$1,F735)</f>
        <v/>
      </c>
      <c r="J735" s="9">
        <f>IF(D735="USD",G735*$L$1,G735)</f>
        <v/>
      </c>
    </row>
    <row r="736">
      <c r="A736" s="8" t="n">
        <v>46145</v>
      </c>
      <c r="B736" t="inlineStr">
        <is>
          <t>2026-W18</t>
        </is>
      </c>
      <c r="C736" t="inlineStr">
        <is>
          <t>Nuvei</t>
        </is>
      </c>
      <c r="D736" t="inlineStr">
        <is>
          <t>EUR</t>
        </is>
      </c>
      <c r="E736" s="9" t="n">
        <v>351534.86</v>
      </c>
      <c r="F736" s="9" t="n">
        <v>345973.57</v>
      </c>
      <c r="G736" s="9" t="n">
        <v>0</v>
      </c>
      <c r="H736" s="9">
        <f>IF(D736="USD",E736*$L$1,E736)</f>
        <v/>
      </c>
      <c r="I736" s="9">
        <f>IF(D736="USD",F736*$L$1,F736)</f>
        <v/>
      </c>
      <c r="J736" s="9">
        <f>IF(D736="USD",G736*$L$1,G736)</f>
        <v/>
      </c>
    </row>
    <row r="737">
      <c r="A737" s="8" t="n">
        <v>46145</v>
      </c>
      <c r="B737" t="inlineStr">
        <is>
          <t>2026-W18</t>
        </is>
      </c>
      <c r="C737" t="inlineStr">
        <is>
          <t>Nuvei</t>
        </is>
      </c>
      <c r="D737" t="inlineStr">
        <is>
          <t>EUR</t>
        </is>
      </c>
      <c r="E737" s="9" t="n">
        <v>74037.91</v>
      </c>
      <c r="F737" s="9" t="n">
        <v>71961.91</v>
      </c>
      <c r="G737" s="9" t="n">
        <v>0</v>
      </c>
      <c r="H737" s="9">
        <f>IF(D737="USD",E737*$L$1,E737)</f>
        <v/>
      </c>
      <c r="I737" s="9">
        <f>IF(D737="USD",F737*$L$1,F737)</f>
        <v/>
      </c>
      <c r="J737" s="9">
        <f>IF(D737="USD",G737*$L$1,G737)</f>
        <v/>
      </c>
    </row>
    <row r="738">
      <c r="A738" s="8" t="n">
        <v>46145</v>
      </c>
      <c r="B738" t="inlineStr">
        <is>
          <t>2026-W18</t>
        </is>
      </c>
      <c r="C738" t="inlineStr">
        <is>
          <t>Shift4</t>
        </is>
      </c>
      <c r="D738" t="inlineStr">
        <is>
          <t>EUR</t>
        </is>
      </c>
      <c r="E738" s="9" t="n">
        <v>570854.72</v>
      </c>
      <c r="F738" s="9" t="n">
        <v>566225.9099999999</v>
      </c>
      <c r="G738" s="9" t="n">
        <v>0</v>
      </c>
      <c r="H738" s="9">
        <f>IF(D738="USD",E738*$L$1,E738)</f>
        <v/>
      </c>
      <c r="I738" s="9">
        <f>IF(D738="USD",F738*$L$1,F738)</f>
        <v/>
      </c>
      <c r="J738" s="9">
        <f>IF(D738="USD",G738*$L$1,G738)</f>
        <v/>
      </c>
    </row>
    <row r="739">
      <c r="A739" s="8" t="n">
        <v>46146</v>
      </c>
      <c r="B739" t="inlineStr">
        <is>
          <t>2026-W19</t>
        </is>
      </c>
      <c r="C739" t="inlineStr">
        <is>
          <t>Adyen</t>
        </is>
      </c>
      <c r="D739" t="inlineStr">
        <is>
          <t>EUR</t>
        </is>
      </c>
      <c r="E739" s="9" t="n">
        <v>769539.02</v>
      </c>
      <c r="F739" s="9" t="n">
        <v>0</v>
      </c>
      <c r="G739" s="9" t="n">
        <v>1762302.93</v>
      </c>
      <c r="H739" s="9">
        <f>IF(D739="USD",E739*$L$1,E739)</f>
        <v/>
      </c>
      <c r="I739" s="9">
        <f>IF(D739="USD",F739*$L$1,F739)</f>
        <v/>
      </c>
      <c r="J739" s="9">
        <f>IF(D739="USD",G739*$L$1,G739)</f>
        <v/>
      </c>
    </row>
    <row r="740">
      <c r="A740" s="8" t="n">
        <v>46146</v>
      </c>
      <c r="B740" t="inlineStr">
        <is>
          <t>2026-W19</t>
        </is>
      </c>
      <c r="C740" t="inlineStr">
        <is>
          <t>Adyen</t>
        </is>
      </c>
      <c r="D740" t="inlineStr">
        <is>
          <t>EUR</t>
        </is>
      </c>
      <c r="E740" s="9" t="n">
        <v>70228.85000000001</v>
      </c>
      <c r="F740" s="9" t="n">
        <v>0</v>
      </c>
      <c r="G740" s="9" t="n">
        <v>0</v>
      </c>
      <c r="H740" s="9">
        <f>IF(D740="USD",E740*$L$1,E740)</f>
        <v/>
      </c>
      <c r="I740" s="9">
        <f>IF(D740="USD",F740*$L$1,F740)</f>
        <v/>
      </c>
      <c r="J740" s="9">
        <f>IF(D740="USD",G740*$L$1,G740)</f>
        <v/>
      </c>
    </row>
    <row r="741">
      <c r="A741" s="8" t="n">
        <v>46146</v>
      </c>
      <c r="B741" t="inlineStr">
        <is>
          <t>2026-W19</t>
        </is>
      </c>
      <c r="C741" t="inlineStr">
        <is>
          <t>Nuvei</t>
        </is>
      </c>
      <c r="D741" t="inlineStr">
        <is>
          <t>EUR</t>
        </is>
      </c>
      <c r="E741" s="9" t="n">
        <v>418662.99</v>
      </c>
      <c r="F741" s="9" t="n">
        <v>409930.85</v>
      </c>
      <c r="G741" s="9" t="n">
        <v>-1023328.17</v>
      </c>
      <c r="H741" s="9">
        <f>IF(D741="USD",E741*$L$1,E741)</f>
        <v/>
      </c>
      <c r="I741" s="9">
        <f>IF(D741="USD",F741*$L$1,F741)</f>
        <v/>
      </c>
      <c r="J741" s="9">
        <f>IF(D741="USD",G741*$L$1,G741)</f>
        <v/>
      </c>
    </row>
    <row r="742">
      <c r="A742" s="8" t="n">
        <v>46146</v>
      </c>
      <c r="B742" t="inlineStr">
        <is>
          <t>2026-W19</t>
        </is>
      </c>
      <c r="C742" t="inlineStr">
        <is>
          <t>Nuvei</t>
        </is>
      </c>
      <c r="D742" t="inlineStr">
        <is>
          <t>EUR</t>
        </is>
      </c>
      <c r="E742" s="9" t="n">
        <v>129750.25</v>
      </c>
      <c r="F742" s="9" t="n">
        <v>125992.58</v>
      </c>
      <c r="G742" s="9" t="n">
        <v>-392461.85</v>
      </c>
      <c r="H742" s="9">
        <f>IF(D742="USD",E742*$L$1,E742)</f>
        <v/>
      </c>
      <c r="I742" s="9">
        <f>IF(D742="USD",F742*$L$1,F742)</f>
        <v/>
      </c>
      <c r="J742" s="9">
        <f>IF(D742="USD",G742*$L$1,G742)</f>
        <v/>
      </c>
    </row>
    <row r="743">
      <c r="A743" s="8" t="n">
        <v>46146</v>
      </c>
      <c r="B743" t="inlineStr">
        <is>
          <t>2026-W19</t>
        </is>
      </c>
      <c r="C743" t="inlineStr">
        <is>
          <t>Shift4</t>
        </is>
      </c>
      <c r="D743" t="inlineStr">
        <is>
          <t>EUR</t>
        </is>
      </c>
      <c r="E743" s="9" t="n">
        <v>619114.08</v>
      </c>
      <c r="F743" s="9" t="n">
        <v>612886.4399999999</v>
      </c>
      <c r="G743" s="9" t="n">
        <v>-1593536.94</v>
      </c>
      <c r="H743" s="9">
        <f>IF(D743="USD",E743*$L$1,E743)</f>
        <v/>
      </c>
      <c r="I743" s="9">
        <f>IF(D743="USD",F743*$L$1,F743)</f>
        <v/>
      </c>
      <c r="J743" s="9">
        <f>IF(D743="USD",G743*$L$1,G743)</f>
        <v/>
      </c>
    </row>
    <row r="744">
      <c r="A744" s="8" t="n">
        <v>46147</v>
      </c>
      <c r="B744" t="inlineStr">
        <is>
          <t>2026-W19</t>
        </is>
      </c>
      <c r="C744" t="inlineStr">
        <is>
          <t>Adyen</t>
        </is>
      </c>
      <c r="D744" t="inlineStr">
        <is>
          <t>EUR</t>
        </is>
      </c>
      <c r="E744" s="9" t="n">
        <v>787089.76</v>
      </c>
      <c r="F744" s="9" t="n">
        <v>0</v>
      </c>
      <c r="G744" s="9" t="n">
        <v>852916.45</v>
      </c>
      <c r="H744" s="9">
        <f>IF(D744="USD",E744*$L$1,E744)</f>
        <v/>
      </c>
      <c r="I744" s="9">
        <f>IF(D744="USD",F744*$L$1,F744)</f>
        <v/>
      </c>
      <c r="J744" s="9">
        <f>IF(D744="USD",G744*$L$1,G744)</f>
        <v/>
      </c>
    </row>
    <row r="745">
      <c r="A745" s="8" t="n">
        <v>46147</v>
      </c>
      <c r="B745" t="inlineStr">
        <is>
          <t>2026-W19</t>
        </is>
      </c>
      <c r="C745" t="inlineStr">
        <is>
          <t>Adyen</t>
        </is>
      </c>
      <c r="D745" t="inlineStr">
        <is>
          <t>EUR</t>
        </is>
      </c>
      <c r="E745" s="9" t="n">
        <v>74739.25</v>
      </c>
      <c r="F745" s="9" t="n">
        <v>0</v>
      </c>
      <c r="G745" s="9" t="n">
        <v>0</v>
      </c>
      <c r="H745" s="9">
        <f>IF(D745="USD",E745*$L$1,E745)</f>
        <v/>
      </c>
      <c r="I745" s="9">
        <f>IF(D745="USD",F745*$L$1,F745)</f>
        <v/>
      </c>
      <c r="J745" s="9">
        <f>IF(D745="USD",G745*$L$1,G745)</f>
        <v/>
      </c>
    </row>
    <row r="746">
      <c r="A746" s="8" t="n">
        <v>46147</v>
      </c>
      <c r="B746" t="inlineStr">
        <is>
          <t>2026-W19</t>
        </is>
      </c>
      <c r="C746" t="inlineStr">
        <is>
          <t>Nuvei</t>
        </is>
      </c>
      <c r="D746" t="inlineStr">
        <is>
          <t>EUR</t>
        </is>
      </c>
      <c r="E746" s="9" t="n">
        <v>311045.79</v>
      </c>
      <c r="F746" s="9" t="n">
        <v>302414.07</v>
      </c>
      <c r="G746" s="9" t="n">
        <v>-302410.57</v>
      </c>
      <c r="H746" s="9">
        <f>IF(D746="USD",E746*$L$1,E746)</f>
        <v/>
      </c>
      <c r="I746" s="9">
        <f>IF(D746="USD",F746*$L$1,F746)</f>
        <v/>
      </c>
      <c r="J746" s="9">
        <f>IF(D746="USD",G746*$L$1,G746)</f>
        <v/>
      </c>
    </row>
    <row r="747">
      <c r="A747" s="8" t="n">
        <v>46147</v>
      </c>
      <c r="B747" t="inlineStr">
        <is>
          <t>2026-W19</t>
        </is>
      </c>
      <c r="C747" t="inlineStr">
        <is>
          <t>Nuvei</t>
        </is>
      </c>
      <c r="D747" t="inlineStr">
        <is>
          <t>EUR</t>
        </is>
      </c>
      <c r="E747" s="9" t="n">
        <v>107899.86</v>
      </c>
      <c r="F747" s="9" t="n">
        <v>104316.17</v>
      </c>
      <c r="G747" s="9" t="n">
        <v>-104312.67</v>
      </c>
      <c r="H747" s="9">
        <f>IF(D747="USD",E747*$L$1,E747)</f>
        <v/>
      </c>
      <c r="I747" s="9">
        <f>IF(D747="USD",F747*$L$1,F747)</f>
        <v/>
      </c>
      <c r="J747" s="9">
        <f>IF(D747="USD",G747*$L$1,G747)</f>
        <v/>
      </c>
    </row>
    <row r="748">
      <c r="A748" s="8" t="n">
        <v>46147</v>
      </c>
      <c r="B748" t="inlineStr">
        <is>
          <t>2026-W19</t>
        </is>
      </c>
      <c r="C748" t="inlineStr">
        <is>
          <t>Shift4</t>
        </is>
      </c>
      <c r="D748" t="inlineStr">
        <is>
          <t>EUR</t>
        </is>
      </c>
      <c r="E748" s="9" t="n">
        <v>626457.35</v>
      </c>
      <c r="F748" s="9" t="n">
        <v>619932.0499999999</v>
      </c>
      <c r="G748" s="9" t="n">
        <v>-619929.6899999999</v>
      </c>
      <c r="H748" s="9">
        <f>IF(D748="USD",E748*$L$1,E748)</f>
        <v/>
      </c>
      <c r="I748" s="9">
        <f>IF(D748="USD",F748*$L$1,F748)</f>
        <v/>
      </c>
      <c r="J748" s="9">
        <f>IF(D748="USD",G748*$L$1,G748)</f>
        <v/>
      </c>
    </row>
    <row r="749">
      <c r="A749" s="8" t="n">
        <v>46148</v>
      </c>
      <c r="B749" t="inlineStr">
        <is>
          <t>2026-W19</t>
        </is>
      </c>
      <c r="C749" t="inlineStr">
        <is>
          <t>Adyen</t>
        </is>
      </c>
      <c r="D749" t="inlineStr">
        <is>
          <t>EUR</t>
        </is>
      </c>
      <c r="E749" s="9" t="n">
        <v>716318.6800000001</v>
      </c>
      <c r="F749" s="9" t="n">
        <v>0</v>
      </c>
      <c r="G749" s="9" t="n">
        <v>781055.54</v>
      </c>
      <c r="H749" s="9">
        <f>IF(D749="USD",E749*$L$1,E749)</f>
        <v/>
      </c>
      <c r="I749" s="9">
        <f>IF(D749="USD",F749*$L$1,F749)</f>
        <v/>
      </c>
      <c r="J749" s="9">
        <f>IF(D749="USD",G749*$L$1,G749)</f>
        <v/>
      </c>
    </row>
    <row r="750">
      <c r="A750" s="8" t="n">
        <v>46148</v>
      </c>
      <c r="B750" t="inlineStr">
        <is>
          <t>2026-W19</t>
        </is>
      </c>
      <c r="C750" t="inlineStr">
        <is>
          <t>Adyen</t>
        </is>
      </c>
      <c r="D750" t="inlineStr">
        <is>
          <t>EUR</t>
        </is>
      </c>
      <c r="E750" s="9" t="n">
        <v>70184.05</v>
      </c>
      <c r="F750" s="9" t="n">
        <v>0</v>
      </c>
      <c r="G750" s="9" t="n">
        <v>0</v>
      </c>
      <c r="H750" s="9">
        <f>IF(D750="USD",E750*$L$1,E750)</f>
        <v/>
      </c>
      <c r="I750" s="9">
        <f>IF(D750="USD",F750*$L$1,F750)</f>
        <v/>
      </c>
      <c r="J750" s="9">
        <f>IF(D750="USD",G750*$L$1,G750)</f>
        <v/>
      </c>
    </row>
    <row r="751">
      <c r="A751" s="8" t="n">
        <v>46148</v>
      </c>
      <c r="B751" t="inlineStr">
        <is>
          <t>2026-W19</t>
        </is>
      </c>
      <c r="C751" t="inlineStr">
        <is>
          <t>Nuvei</t>
        </is>
      </c>
      <c r="D751" t="inlineStr">
        <is>
          <t>EUR</t>
        </is>
      </c>
      <c r="E751" s="9" t="n">
        <v>288673.65</v>
      </c>
      <c r="F751" s="9" t="n">
        <v>280277.82</v>
      </c>
      <c r="G751" s="9" t="n">
        <v>-280274.29</v>
      </c>
      <c r="H751" s="9">
        <f>IF(D751="USD",E751*$L$1,E751)</f>
        <v/>
      </c>
      <c r="I751" s="9">
        <f>IF(D751="USD",F751*$L$1,F751)</f>
        <v/>
      </c>
      <c r="J751" s="9">
        <f>IF(D751="USD",G751*$L$1,G751)</f>
        <v/>
      </c>
    </row>
    <row r="752">
      <c r="A752" s="8" t="n">
        <v>46148</v>
      </c>
      <c r="B752" t="inlineStr">
        <is>
          <t>2026-W19</t>
        </is>
      </c>
      <c r="C752" t="inlineStr">
        <is>
          <t>Nuvei</t>
        </is>
      </c>
      <c r="D752" t="inlineStr">
        <is>
          <t>EUR</t>
        </is>
      </c>
      <c r="E752" s="9" t="n">
        <v>114264.63</v>
      </c>
      <c r="F752" s="9" t="n">
        <v>110801.67</v>
      </c>
      <c r="G752" s="9" t="n">
        <v>-110798.14</v>
      </c>
      <c r="H752" s="9">
        <f>IF(D752="USD",E752*$L$1,E752)</f>
        <v/>
      </c>
      <c r="I752" s="9">
        <f>IF(D752="USD",F752*$L$1,F752)</f>
        <v/>
      </c>
      <c r="J752" s="9">
        <f>IF(D752="USD",G752*$L$1,G752)</f>
        <v/>
      </c>
    </row>
    <row r="753">
      <c r="A753" s="8" t="n">
        <v>46148</v>
      </c>
      <c r="B753" t="inlineStr">
        <is>
          <t>2026-W19</t>
        </is>
      </c>
      <c r="C753" t="inlineStr">
        <is>
          <t>Shift4</t>
        </is>
      </c>
      <c r="D753" t="inlineStr">
        <is>
          <t>EUR</t>
        </is>
      </c>
      <c r="E753" s="9" t="n">
        <v>583474.48</v>
      </c>
      <c r="F753" s="9" t="n">
        <v>577911.64</v>
      </c>
      <c r="G753" s="9" t="n">
        <v>-577911.64</v>
      </c>
      <c r="H753" s="9">
        <f>IF(D753="USD",E753*$L$1,E753)</f>
        <v/>
      </c>
      <c r="I753" s="9">
        <f>IF(D753="USD",F753*$L$1,F753)</f>
        <v/>
      </c>
      <c r="J753" s="9">
        <f>IF(D753="USD",G753*$L$1,G753)</f>
        <v/>
      </c>
    </row>
    <row r="754">
      <c r="A754" s="8" t="n">
        <v>46149</v>
      </c>
      <c r="B754" t="inlineStr">
        <is>
          <t>2026-W19</t>
        </is>
      </c>
      <c r="C754" t="inlineStr">
        <is>
          <t>Adyen</t>
        </is>
      </c>
      <c r="D754" t="inlineStr">
        <is>
          <t>EUR</t>
        </is>
      </c>
      <c r="E754" s="9" t="n">
        <v>690071.6</v>
      </c>
      <c r="F754" s="9" t="n">
        <v>0</v>
      </c>
      <c r="G754" s="9" t="n">
        <v>755079.95</v>
      </c>
      <c r="H754" s="9">
        <f>IF(D754="USD",E754*$L$1,E754)</f>
        <v/>
      </c>
      <c r="I754" s="9">
        <f>IF(D754="USD",F754*$L$1,F754)</f>
        <v/>
      </c>
      <c r="J754" s="9">
        <f>IF(D754="USD",G754*$L$1,G754)</f>
        <v/>
      </c>
    </row>
    <row r="755">
      <c r="A755" s="8" t="n">
        <v>46149</v>
      </c>
      <c r="B755" t="inlineStr">
        <is>
          <t>2026-W19</t>
        </is>
      </c>
      <c r="C755" t="inlineStr">
        <is>
          <t>Adyen</t>
        </is>
      </c>
      <c r="D755" t="inlineStr">
        <is>
          <t>EUR</t>
        </is>
      </c>
      <c r="E755" s="9" t="n">
        <v>71215.60000000001</v>
      </c>
      <c r="F755" s="9" t="n">
        <v>0</v>
      </c>
      <c r="G755" s="9" t="n">
        <v>0</v>
      </c>
      <c r="H755" s="9">
        <f>IF(D755="USD",E755*$L$1,E755)</f>
        <v/>
      </c>
      <c r="I755" s="9">
        <f>IF(D755="USD",F755*$L$1,F755)</f>
        <v/>
      </c>
      <c r="J755" s="9">
        <f>IF(D755="USD",G755*$L$1,G755)</f>
        <v/>
      </c>
    </row>
    <row r="756">
      <c r="A756" s="8" t="n">
        <v>46149</v>
      </c>
      <c r="B756" t="inlineStr">
        <is>
          <t>2026-W19</t>
        </is>
      </c>
      <c r="C756" t="inlineStr">
        <is>
          <t>Nuvei</t>
        </is>
      </c>
      <c r="D756" t="inlineStr">
        <is>
          <t>EUR</t>
        </is>
      </c>
      <c r="E756" s="9" t="n">
        <v>415762.09</v>
      </c>
      <c r="F756" s="9" t="n">
        <v>407938.53</v>
      </c>
      <c r="G756" s="9" t="n">
        <v>-407935.03</v>
      </c>
      <c r="H756" s="9">
        <f>IF(D756="USD",E756*$L$1,E756)</f>
        <v/>
      </c>
      <c r="I756" s="9">
        <f>IF(D756="USD",F756*$L$1,F756)</f>
        <v/>
      </c>
      <c r="J756" s="9">
        <f>IF(D756="USD",G756*$L$1,G756)</f>
        <v/>
      </c>
    </row>
    <row r="757">
      <c r="A757" s="8" t="n">
        <v>46149</v>
      </c>
      <c r="B757" t="inlineStr">
        <is>
          <t>2026-W19</t>
        </is>
      </c>
      <c r="C757" t="inlineStr">
        <is>
          <t>Nuvei</t>
        </is>
      </c>
      <c r="D757" t="inlineStr">
        <is>
          <t>EUR</t>
        </is>
      </c>
      <c r="E757" s="9" t="n">
        <v>128276.96</v>
      </c>
      <c r="F757" s="9" t="n">
        <v>124672.82</v>
      </c>
      <c r="G757" s="9" t="n">
        <v>-124669.32</v>
      </c>
      <c r="H757" s="9">
        <f>IF(D757="USD",E757*$L$1,E757)</f>
        <v/>
      </c>
      <c r="I757" s="9">
        <f>IF(D757="USD",F757*$L$1,F757)</f>
        <v/>
      </c>
      <c r="J757" s="9">
        <f>IF(D757="USD",G757*$L$1,G757)</f>
        <v/>
      </c>
    </row>
    <row r="758">
      <c r="A758" s="8" t="n">
        <v>46149</v>
      </c>
      <c r="B758" t="inlineStr">
        <is>
          <t>2026-W19</t>
        </is>
      </c>
      <c r="C758" t="inlineStr">
        <is>
          <t>Shift4</t>
        </is>
      </c>
      <c r="D758" t="inlineStr">
        <is>
          <t>EUR</t>
        </is>
      </c>
      <c r="E758" s="9" t="n">
        <v>519280.8</v>
      </c>
      <c r="F758" s="9" t="n">
        <v>514159.12</v>
      </c>
      <c r="G758" s="9" t="n">
        <v>-514159.13</v>
      </c>
      <c r="H758" s="9">
        <f>IF(D758="USD",E758*$L$1,E758)</f>
        <v/>
      </c>
      <c r="I758" s="9">
        <f>IF(D758="USD",F758*$L$1,F758)</f>
        <v/>
      </c>
      <c r="J758" s="9">
        <f>IF(D758="USD",G758*$L$1,G758)</f>
        <v/>
      </c>
    </row>
    <row r="759">
      <c r="A759" s="8" t="n">
        <v>46150</v>
      </c>
      <c r="B759" t="inlineStr">
        <is>
          <t>2026-W19</t>
        </is>
      </c>
      <c r="C759" t="inlineStr">
        <is>
          <t>Adyen</t>
        </is>
      </c>
      <c r="D759" t="inlineStr">
        <is>
          <t>EUR</t>
        </is>
      </c>
      <c r="E759" s="9" t="n">
        <v>598738.2</v>
      </c>
      <c r="F759" s="9" t="n">
        <v>0</v>
      </c>
      <c r="G759" s="9" t="n">
        <v>924255.48</v>
      </c>
      <c r="H759" s="9">
        <f>IF(D759="USD",E759*$L$1,E759)</f>
        <v/>
      </c>
      <c r="I759" s="9">
        <f>IF(D759="USD",F759*$L$1,F759)</f>
        <v/>
      </c>
      <c r="J759" s="9">
        <f>IF(D759="USD",G759*$L$1,G759)</f>
        <v/>
      </c>
    </row>
    <row r="760">
      <c r="A760" s="8" t="n">
        <v>46150</v>
      </c>
      <c r="B760" t="inlineStr">
        <is>
          <t>2026-W19</t>
        </is>
      </c>
      <c r="C760" t="inlineStr">
        <is>
          <t>Adyen</t>
        </is>
      </c>
      <c r="D760" t="inlineStr">
        <is>
          <t>EUR</t>
        </is>
      </c>
      <c r="E760" s="9" t="n">
        <v>52808.64</v>
      </c>
      <c r="F760" s="9" t="n">
        <v>0</v>
      </c>
      <c r="G760" s="9" t="n">
        <v>0</v>
      </c>
      <c r="H760" s="9">
        <f>IF(D760="USD",E760*$L$1,E760)</f>
        <v/>
      </c>
      <c r="I760" s="9">
        <f>IF(D760="USD",F760*$L$1,F760)</f>
        <v/>
      </c>
      <c r="J760" s="9">
        <f>IF(D760="USD",G760*$L$1,G760)</f>
        <v/>
      </c>
    </row>
    <row r="761">
      <c r="A761" s="8" t="n">
        <v>46150</v>
      </c>
      <c r="B761" t="inlineStr">
        <is>
          <t>2026-W19</t>
        </is>
      </c>
      <c r="C761" t="inlineStr">
        <is>
          <t>Nuvei</t>
        </is>
      </c>
      <c r="D761" t="inlineStr">
        <is>
          <t>EUR</t>
        </is>
      </c>
      <c r="E761" s="9" t="n">
        <v>395528.95</v>
      </c>
      <c r="F761" s="9" t="n">
        <v>388361.13</v>
      </c>
      <c r="G761" s="9" t="n">
        <v>-388361.13</v>
      </c>
      <c r="H761" s="9">
        <f>IF(D761="USD",E761*$L$1,E761)</f>
        <v/>
      </c>
      <c r="I761" s="9">
        <f>IF(D761="USD",F761*$L$1,F761)</f>
        <v/>
      </c>
      <c r="J761" s="9">
        <f>IF(D761="USD",G761*$L$1,G761)</f>
        <v/>
      </c>
    </row>
    <row r="762">
      <c r="A762" s="8" t="n">
        <v>46150</v>
      </c>
      <c r="B762" t="inlineStr">
        <is>
          <t>2026-W19</t>
        </is>
      </c>
      <c r="C762" t="inlineStr">
        <is>
          <t>Nuvei</t>
        </is>
      </c>
      <c r="D762" t="inlineStr">
        <is>
          <t>EUR</t>
        </is>
      </c>
      <c r="E762" s="9" t="n">
        <v>101420.89</v>
      </c>
      <c r="F762" s="9" t="n">
        <v>98548.67</v>
      </c>
      <c r="G762" s="9" t="n">
        <v>-98548.67999999999</v>
      </c>
      <c r="H762" s="9">
        <f>IF(D762="USD",E762*$L$1,E762)</f>
        <v/>
      </c>
      <c r="I762" s="9">
        <f>IF(D762="USD",F762*$L$1,F762)</f>
        <v/>
      </c>
      <c r="J762" s="9">
        <f>IF(D762="USD",G762*$L$1,G762)</f>
        <v/>
      </c>
    </row>
    <row r="763">
      <c r="A763" s="8" t="n">
        <v>46150</v>
      </c>
      <c r="B763" t="inlineStr">
        <is>
          <t>2026-W19</t>
        </is>
      </c>
      <c r="C763" t="inlineStr">
        <is>
          <t>Shift4</t>
        </is>
      </c>
      <c r="D763" t="inlineStr">
        <is>
          <t>EUR</t>
        </is>
      </c>
      <c r="E763" s="9" t="n">
        <v>485500.64</v>
      </c>
      <c r="F763" s="9" t="n">
        <v>480903.37</v>
      </c>
      <c r="G763" s="9" t="n">
        <v>-480903.37</v>
      </c>
      <c r="H763" s="9">
        <f>IF(D763="USD",E763*$L$1,E763)</f>
        <v/>
      </c>
      <c r="I763" s="9">
        <f>IF(D763="USD",F763*$L$1,F763)</f>
        <v/>
      </c>
      <c r="J763" s="9">
        <f>IF(D763="USD",G763*$L$1,G763)</f>
        <v/>
      </c>
    </row>
    <row r="764">
      <c r="A764" s="8" t="n">
        <v>46151</v>
      </c>
      <c r="B764" t="inlineStr">
        <is>
          <t>2026-W19</t>
        </is>
      </c>
      <c r="C764" t="inlineStr">
        <is>
          <t>Adyen</t>
        </is>
      </c>
      <c r="D764" t="inlineStr">
        <is>
          <t>EUR</t>
        </is>
      </c>
      <c r="E764" s="9" t="n">
        <v>414233.68</v>
      </c>
      <c r="F764" s="9" t="n">
        <v>0</v>
      </c>
      <c r="G764" s="9" t="n">
        <v>0</v>
      </c>
      <c r="H764" s="9">
        <f>IF(D764="USD",E764*$L$1,E764)</f>
        <v/>
      </c>
      <c r="I764" s="9">
        <f>IF(D764="USD",F764*$L$1,F764)</f>
        <v/>
      </c>
      <c r="J764" s="9">
        <f>IF(D764="USD",G764*$L$1,G764)</f>
        <v/>
      </c>
    </row>
    <row r="765">
      <c r="A765" s="8" t="n">
        <v>46151</v>
      </c>
      <c r="B765" t="inlineStr">
        <is>
          <t>2026-W19</t>
        </is>
      </c>
      <c r="C765" t="inlineStr">
        <is>
          <t>Adyen</t>
        </is>
      </c>
      <c r="D765" t="inlineStr">
        <is>
          <t>EUR</t>
        </is>
      </c>
      <c r="E765" s="9" t="n">
        <v>39439.44</v>
      </c>
      <c r="F765" s="9" t="n">
        <v>0</v>
      </c>
      <c r="G765" s="9" t="n">
        <v>0</v>
      </c>
      <c r="H765" s="9">
        <f>IF(D765="USD",E765*$L$1,E765)</f>
        <v/>
      </c>
      <c r="I765" s="9">
        <f>IF(D765="USD",F765*$L$1,F765)</f>
        <v/>
      </c>
      <c r="J765" s="9">
        <f>IF(D765="USD",G765*$L$1,G765)</f>
        <v/>
      </c>
    </row>
    <row r="766">
      <c r="A766" s="8" t="n">
        <v>46151</v>
      </c>
      <c r="B766" t="inlineStr">
        <is>
          <t>2026-W19</t>
        </is>
      </c>
      <c r="C766" t="inlineStr">
        <is>
          <t>Nuvei</t>
        </is>
      </c>
      <c r="D766" t="inlineStr">
        <is>
          <t>EUR</t>
        </is>
      </c>
      <c r="E766" s="9" t="n">
        <v>287059.53</v>
      </c>
      <c r="F766" s="9" t="n">
        <v>281946.9</v>
      </c>
      <c r="G766" s="9" t="n">
        <v>0</v>
      </c>
      <c r="H766" s="9">
        <f>IF(D766="USD",E766*$L$1,E766)</f>
        <v/>
      </c>
      <c r="I766" s="9">
        <f>IF(D766="USD",F766*$L$1,F766)</f>
        <v/>
      </c>
      <c r="J766" s="9">
        <f>IF(D766="USD",G766*$L$1,G766)</f>
        <v/>
      </c>
    </row>
    <row r="767">
      <c r="A767" s="8" t="n">
        <v>46151</v>
      </c>
      <c r="B767" t="inlineStr">
        <is>
          <t>2026-W19</t>
        </is>
      </c>
      <c r="C767" t="inlineStr">
        <is>
          <t>Nuvei</t>
        </is>
      </c>
      <c r="D767" t="inlineStr">
        <is>
          <t>EUR</t>
        </is>
      </c>
      <c r="E767" s="9" t="n">
        <v>116842.92</v>
      </c>
      <c r="F767" s="9" t="n">
        <v>113464.36</v>
      </c>
      <c r="G767" s="9" t="n">
        <v>0</v>
      </c>
      <c r="H767" s="9">
        <f>IF(D767="USD",E767*$L$1,E767)</f>
        <v/>
      </c>
      <c r="I767" s="9">
        <f>IF(D767="USD",F767*$L$1,F767)</f>
        <v/>
      </c>
      <c r="J767" s="9">
        <f>IF(D767="USD",G767*$L$1,G767)</f>
        <v/>
      </c>
    </row>
    <row r="768">
      <c r="A768" s="8" t="n">
        <v>46151</v>
      </c>
      <c r="B768" t="inlineStr">
        <is>
          <t>2026-W19</t>
        </is>
      </c>
      <c r="C768" t="inlineStr">
        <is>
          <t>Shift4</t>
        </is>
      </c>
      <c r="D768" t="inlineStr">
        <is>
          <t>EUR</t>
        </is>
      </c>
      <c r="E768" s="9" t="n">
        <v>414331.91</v>
      </c>
      <c r="F768" s="9" t="n">
        <v>410578.23</v>
      </c>
      <c r="G768" s="9" t="n">
        <v>0</v>
      </c>
      <c r="H768" s="9">
        <f>IF(D768="USD",E768*$L$1,E768)</f>
        <v/>
      </c>
      <c r="I768" s="9">
        <f>IF(D768="USD",F768*$L$1,F768)</f>
        <v/>
      </c>
      <c r="J768" s="9">
        <f>IF(D768="USD",G768*$L$1,G768)</f>
        <v/>
      </c>
    </row>
    <row r="769">
      <c r="A769" s="8" t="n">
        <v>46152</v>
      </c>
      <c r="B769" t="inlineStr">
        <is>
          <t>2026-W19</t>
        </is>
      </c>
      <c r="C769" t="inlineStr">
        <is>
          <t>Adyen</t>
        </is>
      </c>
      <c r="D769" t="inlineStr">
        <is>
          <t>EUR</t>
        </is>
      </c>
      <c r="E769" s="9" t="n">
        <v>445351.8</v>
      </c>
      <c r="F769" s="9" t="n">
        <v>0</v>
      </c>
      <c r="G769" s="9" t="n">
        <v>0</v>
      </c>
      <c r="H769" s="9">
        <f>IF(D769="USD",E769*$L$1,E769)</f>
        <v/>
      </c>
      <c r="I769" s="9">
        <f>IF(D769="USD",F769*$L$1,F769)</f>
        <v/>
      </c>
      <c r="J769" s="9">
        <f>IF(D769="USD",G769*$L$1,G769)</f>
        <v/>
      </c>
    </row>
    <row r="770">
      <c r="A770" s="8" t="n">
        <v>46152</v>
      </c>
      <c r="B770" t="inlineStr">
        <is>
          <t>2026-W19</t>
        </is>
      </c>
      <c r="C770" t="inlineStr">
        <is>
          <t>Adyen</t>
        </is>
      </c>
      <c r="D770" t="inlineStr">
        <is>
          <t>EUR</t>
        </is>
      </c>
      <c r="E770" s="9" t="n">
        <v>33771.76</v>
      </c>
      <c r="F770" s="9" t="n">
        <v>0</v>
      </c>
      <c r="G770" s="9" t="n">
        <v>0</v>
      </c>
      <c r="H770" s="9">
        <f>IF(D770="USD",E770*$L$1,E770)</f>
        <v/>
      </c>
      <c r="I770" s="9">
        <f>IF(D770="USD",F770*$L$1,F770)</f>
        <v/>
      </c>
      <c r="J770" s="9">
        <f>IF(D770="USD",G770*$L$1,G770)</f>
        <v/>
      </c>
    </row>
    <row r="771">
      <c r="A771" s="8" t="n">
        <v>46152</v>
      </c>
      <c r="B771" t="inlineStr">
        <is>
          <t>2026-W19</t>
        </is>
      </c>
      <c r="C771" t="inlineStr">
        <is>
          <t>Nuvei</t>
        </is>
      </c>
      <c r="D771" t="inlineStr">
        <is>
          <t>EUR</t>
        </is>
      </c>
      <c r="E771" s="9" t="n">
        <v>359565.36</v>
      </c>
      <c r="F771" s="9" t="n">
        <v>353306.48</v>
      </c>
      <c r="G771" s="9" t="n">
        <v>0</v>
      </c>
      <c r="H771" s="9">
        <f>IF(D771="USD",E771*$L$1,E771)</f>
        <v/>
      </c>
      <c r="I771" s="9">
        <f>IF(D771="USD",F771*$L$1,F771)</f>
        <v/>
      </c>
      <c r="J771" s="9">
        <f>IF(D771="USD",G771*$L$1,G771)</f>
        <v/>
      </c>
    </row>
    <row r="772">
      <c r="A772" s="8" t="n">
        <v>46152</v>
      </c>
      <c r="B772" t="inlineStr">
        <is>
          <t>2026-W19</t>
        </is>
      </c>
      <c r="C772" t="inlineStr">
        <is>
          <t>Nuvei</t>
        </is>
      </c>
      <c r="D772" t="inlineStr">
        <is>
          <t>EUR</t>
        </is>
      </c>
      <c r="E772" s="9" t="n">
        <v>103286.67</v>
      </c>
      <c r="F772" s="9" t="n">
        <v>100317.01</v>
      </c>
      <c r="G772" s="9" t="n">
        <v>0</v>
      </c>
      <c r="H772" s="9">
        <f>IF(D772="USD",E772*$L$1,E772)</f>
        <v/>
      </c>
      <c r="I772" s="9">
        <f>IF(D772="USD",F772*$L$1,F772)</f>
        <v/>
      </c>
      <c r="J772" s="9">
        <f>IF(D772="USD",G772*$L$1,G772)</f>
        <v/>
      </c>
    </row>
    <row r="773">
      <c r="A773" s="8" t="n">
        <v>46152</v>
      </c>
      <c r="B773" t="inlineStr">
        <is>
          <t>2026-W19</t>
        </is>
      </c>
      <c r="C773" t="inlineStr">
        <is>
          <t>Shift4</t>
        </is>
      </c>
      <c r="D773" t="inlineStr">
        <is>
          <t>EUR</t>
        </is>
      </c>
      <c r="E773" s="9" t="n">
        <v>586739.22</v>
      </c>
      <c r="F773" s="9" t="n">
        <v>581722.73</v>
      </c>
      <c r="G773" s="9" t="n">
        <v>0</v>
      </c>
      <c r="H773" s="9">
        <f>IF(D773="USD",E773*$L$1,E773)</f>
        <v/>
      </c>
      <c r="I773" s="9">
        <f>IF(D773="USD",F773*$L$1,F773)</f>
        <v/>
      </c>
      <c r="J773" s="9">
        <f>IF(D773="USD",G773*$L$1,G773)</f>
        <v/>
      </c>
    </row>
    <row r="774">
      <c r="A774" s="8" t="n">
        <v>46153</v>
      </c>
      <c r="B774" t="inlineStr">
        <is>
          <t>2026-W20</t>
        </is>
      </c>
      <c r="C774" t="inlineStr">
        <is>
          <t>Adyen</t>
        </is>
      </c>
      <c r="D774" t="inlineStr">
        <is>
          <t>EUR</t>
        </is>
      </c>
      <c r="E774" s="9" t="n">
        <v>684254.27</v>
      </c>
      <c r="F774" s="9" t="n">
        <v>0</v>
      </c>
      <c r="G774" s="9" t="n">
        <v>1415662.65</v>
      </c>
      <c r="H774" s="9">
        <f>IF(D774="USD",E774*$L$1,E774)</f>
        <v/>
      </c>
      <c r="I774" s="9">
        <f>IF(D774="USD",F774*$L$1,F774)</f>
        <v/>
      </c>
      <c r="J774" s="9">
        <f>IF(D774="USD",G774*$L$1,G774)</f>
        <v/>
      </c>
    </row>
    <row r="775">
      <c r="A775" s="8" t="n">
        <v>46153</v>
      </c>
      <c r="B775" t="inlineStr">
        <is>
          <t>2026-W20</t>
        </is>
      </c>
      <c r="C775" t="inlineStr">
        <is>
          <t>Adyen</t>
        </is>
      </c>
      <c r="D775" t="inlineStr">
        <is>
          <t>EUR</t>
        </is>
      </c>
      <c r="E775" s="9" t="n">
        <v>87412.67999999999</v>
      </c>
      <c r="F775" s="9" t="n">
        <v>0</v>
      </c>
      <c r="G775" s="9" t="n">
        <v>0</v>
      </c>
      <c r="H775" s="9">
        <f>IF(D775="USD",E775*$L$1,E775)</f>
        <v/>
      </c>
      <c r="I775" s="9">
        <f>IF(D775="USD",F775*$L$1,F775)</f>
        <v/>
      </c>
      <c r="J775" s="9">
        <f>IF(D775="USD",G775*$L$1,G775)</f>
        <v/>
      </c>
    </row>
    <row r="776">
      <c r="A776" s="8" t="n">
        <v>46153</v>
      </c>
      <c r="B776" t="inlineStr">
        <is>
          <t>2026-W20</t>
        </is>
      </c>
      <c r="C776" t="inlineStr">
        <is>
          <t>Nuvei</t>
        </is>
      </c>
      <c r="D776" t="inlineStr">
        <is>
          <t>EUR</t>
        </is>
      </c>
      <c r="E776" s="9" t="n">
        <v>407453.74</v>
      </c>
      <c r="F776" s="9" t="n">
        <v>399780.4</v>
      </c>
      <c r="G776" s="9" t="n">
        <v>-1034612.79</v>
      </c>
      <c r="H776" s="9">
        <f>IF(D776="USD",E776*$L$1,E776)</f>
        <v/>
      </c>
      <c r="I776" s="9">
        <f>IF(D776="USD",F776*$L$1,F776)</f>
        <v/>
      </c>
      <c r="J776" s="9">
        <f>IF(D776="USD",G776*$L$1,G776)</f>
        <v/>
      </c>
    </row>
    <row r="777">
      <c r="A777" s="8" t="n">
        <v>46153</v>
      </c>
      <c r="B777" t="inlineStr">
        <is>
          <t>2026-W20</t>
        </is>
      </c>
      <c r="C777" t="inlineStr">
        <is>
          <t>Nuvei</t>
        </is>
      </c>
      <c r="D777" t="inlineStr">
        <is>
          <t>EUR</t>
        </is>
      </c>
      <c r="E777" s="9" t="n">
        <v>147648.08</v>
      </c>
      <c r="F777" s="9" t="n">
        <v>143386.9</v>
      </c>
      <c r="G777" s="9" t="n">
        <v>-357164.83</v>
      </c>
      <c r="H777" s="9">
        <f>IF(D777="USD",E777*$L$1,E777)</f>
        <v/>
      </c>
      <c r="I777" s="9">
        <f>IF(D777="USD",F777*$L$1,F777)</f>
        <v/>
      </c>
      <c r="J777" s="9">
        <f>IF(D777="USD",G777*$L$1,G777)</f>
        <v/>
      </c>
    </row>
    <row r="778">
      <c r="A778" s="8" t="n">
        <v>46153</v>
      </c>
      <c r="B778" t="inlineStr">
        <is>
          <t>2026-W20</t>
        </is>
      </c>
      <c r="C778" t="inlineStr">
        <is>
          <t>Shift4</t>
        </is>
      </c>
      <c r="D778" t="inlineStr">
        <is>
          <t>EUR</t>
        </is>
      </c>
      <c r="E778" s="9" t="n">
        <v>578116.73</v>
      </c>
      <c r="F778" s="9" t="n">
        <v>572267.7999999999</v>
      </c>
      <c r="G778" s="9" t="n">
        <v>-1563451.75</v>
      </c>
      <c r="H778" s="9">
        <f>IF(D778="USD",E778*$L$1,E778)</f>
        <v/>
      </c>
      <c r="I778" s="9">
        <f>IF(D778="USD",F778*$L$1,F778)</f>
        <v/>
      </c>
      <c r="J778" s="9">
        <f>IF(D778="USD",G778*$L$1,G778)</f>
        <v/>
      </c>
    </row>
    <row r="779">
      <c r="A779" s="8" t="n">
        <v>46154</v>
      </c>
      <c r="B779" t="inlineStr">
        <is>
          <t>2026-W20</t>
        </is>
      </c>
      <c r="C779" t="inlineStr">
        <is>
          <t>Adyen</t>
        </is>
      </c>
      <c r="D779" t="inlineStr">
        <is>
          <t>EUR</t>
        </is>
      </c>
      <c r="E779" s="9" t="n">
        <v>755693.21</v>
      </c>
      <c r="F779" s="9" t="n">
        <v>0</v>
      </c>
      <c r="G779" s="9" t="n">
        <v>827407.7899999999</v>
      </c>
      <c r="H779" s="9">
        <f>IF(D779="USD",E779*$L$1,E779)</f>
        <v/>
      </c>
      <c r="I779" s="9">
        <f>IF(D779="USD",F779*$L$1,F779)</f>
        <v/>
      </c>
      <c r="J779" s="9">
        <f>IF(D779="USD",G779*$L$1,G779)</f>
        <v/>
      </c>
    </row>
    <row r="780">
      <c r="A780" s="8" t="n">
        <v>46154</v>
      </c>
      <c r="B780" t="inlineStr">
        <is>
          <t>2026-W20</t>
        </is>
      </c>
      <c r="C780" t="inlineStr">
        <is>
          <t>Adyen</t>
        </is>
      </c>
      <c r="D780" t="inlineStr">
        <is>
          <t>EUR</t>
        </is>
      </c>
      <c r="E780" s="9" t="n">
        <v>84680.8</v>
      </c>
      <c r="F780" s="9" t="n">
        <v>0</v>
      </c>
      <c r="G780" s="9" t="n">
        <v>0</v>
      </c>
      <c r="H780" s="9">
        <f>IF(D780="USD",E780*$L$1,E780)</f>
        <v/>
      </c>
      <c r="I780" s="9">
        <f>IF(D780="USD",F780*$L$1,F780)</f>
        <v/>
      </c>
      <c r="J780" s="9">
        <f>IF(D780="USD",G780*$L$1,G780)</f>
        <v/>
      </c>
    </row>
    <row r="781">
      <c r="A781" s="8" t="n">
        <v>46154</v>
      </c>
      <c r="B781" t="inlineStr">
        <is>
          <t>2026-W20</t>
        </is>
      </c>
      <c r="C781" t="inlineStr">
        <is>
          <t>Nuvei</t>
        </is>
      </c>
      <c r="D781" t="inlineStr">
        <is>
          <t>EUR</t>
        </is>
      </c>
      <c r="E781" s="9" t="n">
        <v>339129.36</v>
      </c>
      <c r="F781" s="9" t="n">
        <v>331082.43</v>
      </c>
      <c r="G781" s="9" t="n">
        <v>-330913.1</v>
      </c>
      <c r="H781" s="9">
        <f>IF(D781="USD",E781*$L$1,E781)</f>
        <v/>
      </c>
      <c r="I781" s="9">
        <f>IF(D781="USD",F781*$L$1,F781)</f>
        <v/>
      </c>
      <c r="J781" s="9">
        <f>IF(D781="USD",G781*$L$1,G781)</f>
        <v/>
      </c>
    </row>
    <row r="782">
      <c r="A782" s="8" t="n">
        <v>46154</v>
      </c>
      <c r="B782" t="inlineStr">
        <is>
          <t>2026-W20</t>
        </is>
      </c>
      <c r="C782" t="inlineStr">
        <is>
          <t>Nuvei</t>
        </is>
      </c>
      <c r="D782" t="inlineStr">
        <is>
          <t>EUR</t>
        </is>
      </c>
      <c r="E782" s="9" t="n">
        <v>124131.83</v>
      </c>
      <c r="F782" s="9" t="n">
        <v>120278.17</v>
      </c>
      <c r="G782" s="9" t="n">
        <v>-120274.67</v>
      </c>
      <c r="H782" s="9">
        <f>IF(D782="USD",E782*$L$1,E782)</f>
        <v/>
      </c>
      <c r="I782" s="9">
        <f>IF(D782="USD",F782*$L$1,F782)</f>
        <v/>
      </c>
      <c r="J782" s="9">
        <f>IF(D782="USD",G782*$L$1,G782)</f>
        <v/>
      </c>
    </row>
    <row r="783">
      <c r="A783" s="8" t="n">
        <v>46154</v>
      </c>
      <c r="B783" t="inlineStr">
        <is>
          <t>2026-W20</t>
        </is>
      </c>
      <c r="C783" t="inlineStr">
        <is>
          <t>Shift4</t>
        </is>
      </c>
      <c r="D783" t="inlineStr">
        <is>
          <t>EUR</t>
        </is>
      </c>
      <c r="E783" s="9" t="n">
        <v>520326.57</v>
      </c>
      <c r="F783" s="9" t="n">
        <v>514723.71</v>
      </c>
      <c r="G783" s="9" t="n">
        <v>-514723.71</v>
      </c>
      <c r="H783" s="9">
        <f>IF(D783="USD",E783*$L$1,E783)</f>
        <v/>
      </c>
      <c r="I783" s="9">
        <f>IF(D783="USD",F783*$L$1,F783)</f>
        <v/>
      </c>
      <c r="J783" s="9">
        <f>IF(D783="USD",G783*$L$1,G783)</f>
        <v/>
      </c>
    </row>
    <row r="784">
      <c r="A784" s="8" t="n">
        <v>46155</v>
      </c>
      <c r="B784" t="inlineStr">
        <is>
          <t>2026-W20</t>
        </is>
      </c>
      <c r="C784" t="inlineStr">
        <is>
          <t>Adyen</t>
        </is>
      </c>
      <c r="D784" t="inlineStr">
        <is>
          <t>EUR</t>
        </is>
      </c>
      <c r="E784" s="9" t="n">
        <v>694401.76</v>
      </c>
      <c r="F784" s="9" t="n">
        <v>0</v>
      </c>
      <c r="G784" s="9" t="n">
        <v>752162.8</v>
      </c>
      <c r="H784" s="9">
        <f>IF(D784="USD",E784*$L$1,E784)</f>
        <v/>
      </c>
      <c r="I784" s="9">
        <f>IF(D784="USD",F784*$L$1,F784)</f>
        <v/>
      </c>
      <c r="J784" s="9">
        <f>IF(D784="USD",G784*$L$1,G784)</f>
        <v/>
      </c>
    </row>
    <row r="785">
      <c r="A785" s="8" t="n">
        <v>46155</v>
      </c>
      <c r="B785" t="inlineStr">
        <is>
          <t>2026-W20</t>
        </is>
      </c>
      <c r="C785" t="inlineStr">
        <is>
          <t>Adyen</t>
        </is>
      </c>
      <c r="D785" t="inlineStr">
        <is>
          <t>EUR</t>
        </is>
      </c>
      <c r="E785" s="9" t="n">
        <v>65621.75</v>
      </c>
      <c r="F785" s="9" t="n">
        <v>0</v>
      </c>
      <c r="G785" s="9" t="n">
        <v>0</v>
      </c>
      <c r="H785" s="9">
        <f>IF(D785="USD",E785*$L$1,E785)</f>
        <v/>
      </c>
      <c r="I785" s="9">
        <f>IF(D785="USD",F785*$L$1,F785)</f>
        <v/>
      </c>
      <c r="J785" s="9">
        <f>IF(D785="USD",G785*$L$1,G785)</f>
        <v/>
      </c>
    </row>
    <row r="786">
      <c r="A786" s="8" t="n">
        <v>46155</v>
      </c>
      <c r="B786" t="inlineStr">
        <is>
          <t>2026-W20</t>
        </is>
      </c>
      <c r="C786" t="inlineStr">
        <is>
          <t>Nuvei</t>
        </is>
      </c>
      <c r="D786" t="inlineStr">
        <is>
          <t>EUR</t>
        </is>
      </c>
      <c r="E786" s="9" t="n">
        <v>147943.48</v>
      </c>
      <c r="F786" s="9" t="n">
        <v>140391.33</v>
      </c>
      <c r="G786" s="9" t="n">
        <v>-139974.15</v>
      </c>
      <c r="H786" s="9">
        <f>IF(D786="USD",E786*$L$1,E786)</f>
        <v/>
      </c>
      <c r="I786" s="9">
        <f>IF(D786="USD",F786*$L$1,F786)</f>
        <v/>
      </c>
      <c r="J786" s="9">
        <f>IF(D786="USD",G786*$L$1,G786)</f>
        <v/>
      </c>
    </row>
    <row r="787">
      <c r="A787" s="8" t="n">
        <v>46155</v>
      </c>
      <c r="B787" t="inlineStr">
        <is>
          <t>2026-W20</t>
        </is>
      </c>
      <c r="C787" t="inlineStr">
        <is>
          <t>Nuvei</t>
        </is>
      </c>
      <c r="D787" t="inlineStr">
        <is>
          <t>EUR</t>
        </is>
      </c>
      <c r="E787" s="9" t="n">
        <v>105746.61</v>
      </c>
      <c r="F787" s="9" t="n">
        <v>101783.61</v>
      </c>
      <c r="G787" s="9" t="n">
        <v>-101780.11</v>
      </c>
      <c r="H787" s="9">
        <f>IF(D787="USD",E787*$L$1,E787)</f>
        <v/>
      </c>
      <c r="I787" s="9">
        <f>IF(D787="USD",F787*$L$1,F787)</f>
        <v/>
      </c>
      <c r="J787" s="9">
        <f>IF(D787="USD",G787*$L$1,G787)</f>
        <v/>
      </c>
    </row>
    <row r="788">
      <c r="A788" s="8" t="n">
        <v>46155</v>
      </c>
      <c r="B788" t="inlineStr">
        <is>
          <t>2026-W20</t>
        </is>
      </c>
      <c r="C788" t="inlineStr">
        <is>
          <t>Shift4</t>
        </is>
      </c>
      <c r="D788" t="inlineStr">
        <is>
          <t>EUR</t>
        </is>
      </c>
      <c r="E788" s="9" t="n">
        <v>557707.8199999999</v>
      </c>
      <c r="F788" s="9" t="n">
        <v>552055.13</v>
      </c>
      <c r="G788" s="9" t="n">
        <v>-552821.45</v>
      </c>
      <c r="H788" s="9">
        <f>IF(D788="USD",E788*$L$1,E788)</f>
        <v/>
      </c>
      <c r="I788" s="9">
        <f>IF(D788="USD",F788*$L$1,F788)</f>
        <v/>
      </c>
      <c r="J788" s="9">
        <f>IF(D788="USD",G788*$L$1,G788)</f>
        <v/>
      </c>
    </row>
    <row r="789">
      <c r="A789" s="8" t="n">
        <v>46156</v>
      </c>
      <c r="B789" t="inlineStr">
        <is>
          <t>2026-W20</t>
        </is>
      </c>
      <c r="C789" t="inlineStr">
        <is>
          <t>Adyen</t>
        </is>
      </c>
      <c r="D789" t="inlineStr">
        <is>
          <t>EUR</t>
        </is>
      </c>
      <c r="E789" s="9" t="n">
        <v>625349.1899999999</v>
      </c>
      <c r="F789" s="9" t="n">
        <v>0</v>
      </c>
      <c r="G789" s="9" t="n">
        <v>672893.6000000001</v>
      </c>
      <c r="H789" s="9">
        <f>IF(D789="USD",E789*$L$1,E789)</f>
        <v/>
      </c>
      <c r="I789" s="9">
        <f>IF(D789="USD",F789*$L$1,F789)</f>
        <v/>
      </c>
      <c r="J789" s="9">
        <f>IF(D789="USD",G789*$L$1,G789)</f>
        <v/>
      </c>
    </row>
    <row r="790">
      <c r="A790" s="8" t="n">
        <v>46156</v>
      </c>
      <c r="B790" t="inlineStr">
        <is>
          <t>2026-W20</t>
        </is>
      </c>
      <c r="C790" t="inlineStr">
        <is>
          <t>Adyen</t>
        </is>
      </c>
      <c r="D790" t="inlineStr">
        <is>
          <t>EUR</t>
        </is>
      </c>
      <c r="E790" s="9" t="n">
        <v>52006.51</v>
      </c>
      <c r="F790" s="9" t="n">
        <v>0</v>
      </c>
      <c r="G790" s="9" t="n">
        <v>0</v>
      </c>
      <c r="H790" s="9">
        <f>IF(D790="USD",E790*$L$1,E790)</f>
        <v/>
      </c>
      <c r="I790" s="9">
        <f>IF(D790="USD",F790*$L$1,F790)</f>
        <v/>
      </c>
      <c r="J790" s="9">
        <f>IF(D790="USD",G790*$L$1,G790)</f>
        <v/>
      </c>
    </row>
    <row r="791">
      <c r="A791" s="8" t="n">
        <v>46156</v>
      </c>
      <c r="B791" t="inlineStr">
        <is>
          <t>2026-W20</t>
        </is>
      </c>
      <c r="C791" t="inlineStr">
        <is>
          <t>Nuvei</t>
        </is>
      </c>
      <c r="D791" t="inlineStr">
        <is>
          <t>EUR</t>
        </is>
      </c>
      <c r="E791" s="9" t="n">
        <v>451484.99</v>
      </c>
      <c r="F791" s="9" t="n">
        <v>443846.8</v>
      </c>
      <c r="G791" s="9" t="n">
        <v>-443729.9</v>
      </c>
      <c r="H791" s="9">
        <f>IF(D791="USD",E791*$L$1,E791)</f>
        <v/>
      </c>
      <c r="I791" s="9">
        <f>IF(D791="USD",F791*$L$1,F791)</f>
        <v/>
      </c>
      <c r="J791" s="9">
        <f>IF(D791="USD",G791*$L$1,G791)</f>
        <v/>
      </c>
    </row>
    <row r="792">
      <c r="A792" s="8" t="n">
        <v>46156</v>
      </c>
      <c r="B792" t="inlineStr">
        <is>
          <t>2026-W20</t>
        </is>
      </c>
      <c r="C792" t="inlineStr">
        <is>
          <t>Nuvei</t>
        </is>
      </c>
      <c r="D792" t="inlineStr">
        <is>
          <t>EUR</t>
        </is>
      </c>
      <c r="E792" s="9" t="n">
        <v>101164.16</v>
      </c>
      <c r="F792" s="9" t="n">
        <v>98286.03</v>
      </c>
      <c r="G792" s="9" t="n">
        <v>-98282.53999999999</v>
      </c>
      <c r="H792" s="9">
        <f>IF(D792="USD",E792*$L$1,E792)</f>
        <v/>
      </c>
      <c r="I792" s="9">
        <f>IF(D792="USD",F792*$L$1,F792)</f>
        <v/>
      </c>
      <c r="J792" s="9">
        <f>IF(D792="USD",G792*$L$1,G792)</f>
        <v/>
      </c>
    </row>
    <row r="793">
      <c r="A793" s="8" t="n">
        <v>46156</v>
      </c>
      <c r="B793" t="inlineStr">
        <is>
          <t>2026-W20</t>
        </is>
      </c>
      <c r="C793" t="inlineStr">
        <is>
          <t>Shift4</t>
        </is>
      </c>
      <c r="D793" t="inlineStr">
        <is>
          <t>EUR</t>
        </is>
      </c>
      <c r="E793" s="9" t="n">
        <v>611027.17</v>
      </c>
      <c r="F793" s="9" t="n">
        <v>605363.9</v>
      </c>
      <c r="G793" s="9" t="n">
        <v>-605363.9</v>
      </c>
      <c r="H793" s="9">
        <f>IF(D793="USD",E793*$L$1,E793)</f>
        <v/>
      </c>
      <c r="I793" s="9">
        <f>IF(D793="USD",F793*$L$1,F793)</f>
        <v/>
      </c>
      <c r="J793" s="9">
        <f>IF(D793="USD",G793*$L$1,G793)</f>
        <v/>
      </c>
    </row>
    <row r="794">
      <c r="A794" s="8" t="n">
        <v>46157</v>
      </c>
      <c r="B794" t="inlineStr">
        <is>
          <t>2026-W20</t>
        </is>
      </c>
      <c r="C794" t="inlineStr">
        <is>
          <t>Adyen</t>
        </is>
      </c>
      <c r="D794" t="inlineStr">
        <is>
          <t>EUR</t>
        </is>
      </c>
      <c r="E794" s="9" t="n">
        <v>537604.22</v>
      </c>
      <c r="F794" s="9" t="n">
        <v>0</v>
      </c>
      <c r="G794" s="9" t="n">
        <v>835641.7400000001</v>
      </c>
      <c r="H794" s="9">
        <f>IF(D794="USD",E794*$L$1,E794)</f>
        <v/>
      </c>
      <c r="I794" s="9">
        <f>IF(D794="USD",F794*$L$1,F794)</f>
        <v/>
      </c>
      <c r="J794" s="9">
        <f>IF(D794="USD",G794*$L$1,G794)</f>
        <v/>
      </c>
    </row>
    <row r="795">
      <c r="A795" s="8" t="n">
        <v>46157</v>
      </c>
      <c r="B795" t="inlineStr">
        <is>
          <t>2026-W20</t>
        </is>
      </c>
      <c r="C795" t="inlineStr">
        <is>
          <t>Adyen</t>
        </is>
      </c>
      <c r="D795" t="inlineStr">
        <is>
          <t>EUR</t>
        </is>
      </c>
      <c r="E795" s="9" t="n">
        <v>53467.42</v>
      </c>
      <c r="F795" s="9" t="n">
        <v>0</v>
      </c>
      <c r="G795" s="9" t="n">
        <v>0</v>
      </c>
      <c r="H795" s="9">
        <f>IF(D795="USD",E795*$L$1,E795)</f>
        <v/>
      </c>
      <c r="I795" s="9">
        <f>IF(D795="USD",F795*$L$1,F795)</f>
        <v/>
      </c>
      <c r="J795" s="9">
        <f>IF(D795="USD",G795*$L$1,G795)</f>
        <v/>
      </c>
    </row>
    <row r="796">
      <c r="A796" s="8" t="n">
        <v>46157</v>
      </c>
      <c r="B796" t="inlineStr">
        <is>
          <t>2026-W20</t>
        </is>
      </c>
      <c r="C796" t="inlineStr">
        <is>
          <t>Nuvei</t>
        </is>
      </c>
      <c r="D796" t="inlineStr">
        <is>
          <t>EUR</t>
        </is>
      </c>
      <c r="E796" s="9" t="n">
        <v>390130.59</v>
      </c>
      <c r="F796" s="9" t="n">
        <v>382903.81</v>
      </c>
      <c r="G796" s="9" t="n">
        <v>-382440.06</v>
      </c>
      <c r="H796" s="9">
        <f>IF(D796="USD",E796*$L$1,E796)</f>
        <v/>
      </c>
      <c r="I796" s="9">
        <f>IF(D796="USD",F796*$L$1,F796)</f>
        <v/>
      </c>
      <c r="J796" s="9">
        <f>IF(D796="USD",G796*$L$1,G796)</f>
        <v/>
      </c>
    </row>
    <row r="797">
      <c r="A797" s="8" t="n">
        <v>46157</v>
      </c>
      <c r="B797" t="inlineStr">
        <is>
          <t>2026-W20</t>
        </is>
      </c>
      <c r="C797" t="inlineStr">
        <is>
          <t>Nuvei</t>
        </is>
      </c>
      <c r="D797" t="inlineStr">
        <is>
          <t>EUR</t>
        </is>
      </c>
      <c r="E797" s="9" t="n">
        <v>142628.88</v>
      </c>
      <c r="F797" s="9" t="n">
        <v>138664.78</v>
      </c>
      <c r="G797" s="9" t="n">
        <v>-138661.27</v>
      </c>
      <c r="H797" s="9">
        <f>IF(D797="USD",E797*$L$1,E797)</f>
        <v/>
      </c>
      <c r="I797" s="9">
        <f>IF(D797="USD",F797*$L$1,F797)</f>
        <v/>
      </c>
      <c r="J797" s="9">
        <f>IF(D797="USD",G797*$L$1,G797)</f>
        <v/>
      </c>
    </row>
    <row r="798">
      <c r="A798" s="8" t="n">
        <v>46157</v>
      </c>
      <c r="B798" t="inlineStr">
        <is>
          <t>2026-W20</t>
        </is>
      </c>
      <c r="C798" t="inlineStr">
        <is>
          <t>Shift4</t>
        </is>
      </c>
      <c r="D798" t="inlineStr">
        <is>
          <t>EUR</t>
        </is>
      </c>
      <c r="E798" s="9" t="n">
        <v>491508.27</v>
      </c>
      <c r="F798" s="9" t="n">
        <v>486786.37</v>
      </c>
      <c r="G798" s="9" t="n">
        <v>-486766.68</v>
      </c>
      <c r="H798" s="9">
        <f>IF(D798="USD",E798*$L$1,E798)</f>
        <v/>
      </c>
      <c r="I798" s="9">
        <f>IF(D798="USD",F798*$L$1,F798)</f>
        <v/>
      </c>
      <c r="J798" s="9">
        <f>IF(D798="USD",G798*$L$1,G798)</f>
        <v/>
      </c>
    </row>
    <row r="799">
      <c r="A799" s="8" t="n">
        <v>46158</v>
      </c>
      <c r="B799" t="inlineStr">
        <is>
          <t>2026-W20</t>
        </is>
      </c>
      <c r="C799" t="inlineStr">
        <is>
          <t>Adyen</t>
        </is>
      </c>
      <c r="D799" t="inlineStr">
        <is>
          <t>EUR</t>
        </is>
      </c>
      <c r="E799" s="9" t="n">
        <v>395656.96</v>
      </c>
      <c r="F799" s="9" t="n">
        <v>0</v>
      </c>
      <c r="G799" s="9" t="n">
        <v>0</v>
      </c>
      <c r="H799" s="9">
        <f>IF(D799="USD",E799*$L$1,E799)</f>
        <v/>
      </c>
      <c r="I799" s="9">
        <f>IF(D799="USD",F799*$L$1,F799)</f>
        <v/>
      </c>
      <c r="J799" s="9">
        <f>IF(D799="USD",G799*$L$1,G799)</f>
        <v/>
      </c>
    </row>
    <row r="800">
      <c r="A800" s="8" t="n">
        <v>46158</v>
      </c>
      <c r="B800" t="inlineStr">
        <is>
          <t>2026-W20</t>
        </is>
      </c>
      <c r="C800" t="inlineStr">
        <is>
          <t>Adyen</t>
        </is>
      </c>
      <c r="D800" t="inlineStr">
        <is>
          <t>EUR</t>
        </is>
      </c>
      <c r="E800" s="9" t="n">
        <v>38909.02</v>
      </c>
      <c r="F800" s="9" t="n">
        <v>0</v>
      </c>
      <c r="G800" s="9" t="n">
        <v>0</v>
      </c>
      <c r="H800" s="9">
        <f>IF(D800="USD",E800*$L$1,E800)</f>
        <v/>
      </c>
      <c r="I800" s="9">
        <f>IF(D800="USD",F800*$L$1,F800)</f>
        <v/>
      </c>
      <c r="J800" s="9">
        <f>IF(D800="USD",G800*$L$1,G800)</f>
        <v/>
      </c>
    </row>
    <row r="801">
      <c r="A801" s="8" t="n">
        <v>46158</v>
      </c>
      <c r="B801" t="inlineStr">
        <is>
          <t>2026-W20</t>
        </is>
      </c>
      <c r="C801" t="inlineStr">
        <is>
          <t>Nuvei</t>
        </is>
      </c>
      <c r="D801" t="inlineStr">
        <is>
          <t>EUR</t>
        </is>
      </c>
      <c r="E801" s="9" t="n">
        <v>317018.92</v>
      </c>
      <c r="F801" s="9" t="n">
        <v>311616.89</v>
      </c>
      <c r="G801" s="9" t="n">
        <v>0</v>
      </c>
      <c r="H801" s="9">
        <f>IF(D801="USD",E801*$L$1,E801)</f>
        <v/>
      </c>
      <c r="I801" s="9">
        <f>IF(D801="USD",F801*$L$1,F801)</f>
        <v/>
      </c>
      <c r="J801" s="9">
        <f>IF(D801="USD",G801*$L$1,G801)</f>
        <v/>
      </c>
    </row>
    <row r="802">
      <c r="A802" s="8" t="n">
        <v>46158</v>
      </c>
      <c r="B802" t="inlineStr">
        <is>
          <t>2026-W20</t>
        </is>
      </c>
      <c r="C802" t="inlineStr">
        <is>
          <t>Nuvei</t>
        </is>
      </c>
      <c r="D802" t="inlineStr">
        <is>
          <t>EUR</t>
        </is>
      </c>
      <c r="E802" s="9" t="n">
        <v>111362.6</v>
      </c>
      <c r="F802" s="9" t="n">
        <v>108202.63</v>
      </c>
      <c r="G802" s="9" t="n">
        <v>0</v>
      </c>
      <c r="H802" s="9">
        <f>IF(D802="USD",E802*$L$1,E802)</f>
        <v/>
      </c>
      <c r="I802" s="9">
        <f>IF(D802="USD",F802*$L$1,F802)</f>
        <v/>
      </c>
      <c r="J802" s="9">
        <f>IF(D802="USD",G802*$L$1,G802)</f>
        <v/>
      </c>
    </row>
    <row r="803">
      <c r="A803" s="8" t="n">
        <v>46158</v>
      </c>
      <c r="B803" t="inlineStr">
        <is>
          <t>2026-W20</t>
        </is>
      </c>
      <c r="C803" t="inlineStr">
        <is>
          <t>Shift4</t>
        </is>
      </c>
      <c r="D803" t="inlineStr">
        <is>
          <t>EUR</t>
        </is>
      </c>
      <c r="E803" s="9" t="n">
        <v>411317.15</v>
      </c>
      <c r="F803" s="9" t="n">
        <v>407594.81</v>
      </c>
      <c r="G803" s="9" t="n">
        <v>0</v>
      </c>
      <c r="H803" s="9">
        <f>IF(D803="USD",E803*$L$1,E803)</f>
        <v/>
      </c>
      <c r="I803" s="9">
        <f>IF(D803="USD",F803*$L$1,F803)</f>
        <v/>
      </c>
      <c r="J803" s="9">
        <f>IF(D803="USD",G803*$L$1,G803)</f>
        <v/>
      </c>
    </row>
    <row r="804">
      <c r="A804" s="8" t="n">
        <v>46159</v>
      </c>
      <c r="B804" t="inlineStr">
        <is>
          <t>2026-W20</t>
        </is>
      </c>
      <c r="C804" t="inlineStr">
        <is>
          <t>Adyen</t>
        </is>
      </c>
      <c r="D804" t="inlineStr">
        <is>
          <t>EUR</t>
        </is>
      </c>
      <c r="E804" s="9" t="n">
        <v>462088.03</v>
      </c>
      <c r="F804" s="9" t="n">
        <v>0</v>
      </c>
      <c r="G804" s="9" t="n">
        <v>0</v>
      </c>
      <c r="H804" s="9">
        <f>IF(D804="USD",E804*$L$1,E804)</f>
        <v/>
      </c>
      <c r="I804" s="9">
        <f>IF(D804="USD",F804*$L$1,F804)</f>
        <v/>
      </c>
      <c r="J804" s="9">
        <f>IF(D804="USD",G804*$L$1,G804)</f>
        <v/>
      </c>
    </row>
    <row r="805">
      <c r="A805" s="8" t="n">
        <v>46159</v>
      </c>
      <c r="B805" t="inlineStr">
        <is>
          <t>2026-W20</t>
        </is>
      </c>
      <c r="C805" t="inlineStr">
        <is>
          <t>Adyen</t>
        </is>
      </c>
      <c r="D805" t="inlineStr">
        <is>
          <t>EUR</t>
        </is>
      </c>
      <c r="E805" s="9" t="n">
        <v>26474.12</v>
      </c>
      <c r="F805" s="9" t="n">
        <v>0</v>
      </c>
      <c r="G805" s="9" t="n">
        <v>0</v>
      </c>
      <c r="H805" s="9">
        <f>IF(D805="USD",E805*$L$1,E805)</f>
        <v/>
      </c>
      <c r="I805" s="9">
        <f>IF(D805="USD",F805*$L$1,F805)</f>
        <v/>
      </c>
      <c r="J805" s="9">
        <f>IF(D805="USD",G805*$L$1,G805)</f>
        <v/>
      </c>
    </row>
    <row r="806">
      <c r="A806" s="8" t="n">
        <v>46159</v>
      </c>
      <c r="B806" t="inlineStr">
        <is>
          <t>2026-W20</t>
        </is>
      </c>
      <c r="C806" t="inlineStr">
        <is>
          <t>Nuvei</t>
        </is>
      </c>
      <c r="D806" t="inlineStr">
        <is>
          <t>EUR</t>
        </is>
      </c>
      <c r="E806" s="9" t="n">
        <v>354438.47</v>
      </c>
      <c r="F806" s="9" t="n">
        <v>348696.67</v>
      </c>
      <c r="G806" s="9" t="n">
        <v>0</v>
      </c>
      <c r="H806" s="9">
        <f>IF(D806="USD",E806*$L$1,E806)</f>
        <v/>
      </c>
      <c r="I806" s="9">
        <f>IF(D806="USD",F806*$L$1,F806)</f>
        <v/>
      </c>
      <c r="J806" s="9">
        <f>IF(D806="USD",G806*$L$1,G806)</f>
        <v/>
      </c>
    </row>
    <row r="807">
      <c r="A807" s="8" t="n">
        <v>46159</v>
      </c>
      <c r="B807" t="inlineStr">
        <is>
          <t>2026-W20</t>
        </is>
      </c>
      <c r="C807" t="inlineStr">
        <is>
          <t>Nuvei</t>
        </is>
      </c>
      <c r="D807" t="inlineStr">
        <is>
          <t>EUR</t>
        </is>
      </c>
      <c r="E807" s="9" t="n">
        <v>96359.47</v>
      </c>
      <c r="F807" s="9" t="n">
        <v>93665.75</v>
      </c>
      <c r="G807" s="9" t="n">
        <v>0</v>
      </c>
      <c r="H807" s="9">
        <f>IF(D807="USD",E807*$L$1,E807)</f>
        <v/>
      </c>
      <c r="I807" s="9">
        <f>IF(D807="USD",F807*$L$1,F807)</f>
        <v/>
      </c>
      <c r="J807" s="9">
        <f>IF(D807="USD",G807*$L$1,G807)</f>
        <v/>
      </c>
    </row>
    <row r="808">
      <c r="A808" s="8" t="n">
        <v>46159</v>
      </c>
      <c r="B808" t="inlineStr">
        <is>
          <t>2026-W20</t>
        </is>
      </c>
      <c r="C808" t="inlineStr">
        <is>
          <t>Shift4</t>
        </is>
      </c>
      <c r="D808" t="inlineStr">
        <is>
          <t>EUR</t>
        </is>
      </c>
      <c r="E808" s="9" t="n">
        <v>611530.55</v>
      </c>
      <c r="F808" s="9" t="n">
        <v>606378.1800000001</v>
      </c>
      <c r="G808" s="9" t="n">
        <v>0</v>
      </c>
      <c r="H808" s="9">
        <f>IF(D808="USD",E808*$L$1,E808)</f>
        <v/>
      </c>
      <c r="I808" s="9">
        <f>IF(D808="USD",F808*$L$1,F808)</f>
        <v/>
      </c>
      <c r="J808" s="9">
        <f>IF(D808="USD",G808*$L$1,G808)</f>
        <v/>
      </c>
    </row>
    <row r="809">
      <c r="A809" s="8" t="n">
        <v>46160</v>
      </c>
      <c r="B809" t="inlineStr">
        <is>
          <t>2026-W21</t>
        </is>
      </c>
      <c r="C809" t="inlineStr">
        <is>
          <t>Adyen</t>
        </is>
      </c>
      <c r="D809" t="inlineStr">
        <is>
          <t>EUR</t>
        </is>
      </c>
      <c r="E809" s="9" t="n">
        <v>752935.38</v>
      </c>
      <c r="F809" s="9" t="n">
        <v>0</v>
      </c>
      <c r="G809" s="9" t="n">
        <v>1488683.33</v>
      </c>
      <c r="H809" s="9">
        <f>IF(D809="USD",E809*$L$1,E809)</f>
        <v/>
      </c>
      <c r="I809" s="9">
        <f>IF(D809="USD",F809*$L$1,F809)</f>
        <v/>
      </c>
      <c r="J809" s="9">
        <f>IF(D809="USD",G809*$L$1,G809)</f>
        <v/>
      </c>
    </row>
    <row r="810">
      <c r="A810" s="8" t="n">
        <v>46160</v>
      </c>
      <c r="B810" t="inlineStr">
        <is>
          <t>2026-W21</t>
        </is>
      </c>
      <c r="C810" t="inlineStr">
        <is>
          <t>Adyen</t>
        </is>
      </c>
      <c r="D810" t="inlineStr">
        <is>
          <t>EUR</t>
        </is>
      </c>
      <c r="E810" s="9" t="n">
        <v>71092.84</v>
      </c>
      <c r="F810" s="9" t="n">
        <v>0</v>
      </c>
      <c r="G810" s="9" t="n">
        <v>0</v>
      </c>
      <c r="H810" s="9">
        <f>IF(D810="USD",E810*$L$1,E810)</f>
        <v/>
      </c>
      <c r="I810" s="9">
        <f>IF(D810="USD",F810*$L$1,F810)</f>
        <v/>
      </c>
      <c r="J810" s="9">
        <f>IF(D810="USD",G810*$L$1,G810)</f>
        <v/>
      </c>
    </row>
    <row r="811">
      <c r="A811" s="8" t="n">
        <v>46160</v>
      </c>
      <c r="B811" t="inlineStr">
        <is>
          <t>2026-W21</t>
        </is>
      </c>
      <c r="C811" t="inlineStr">
        <is>
          <t>Nuvei</t>
        </is>
      </c>
      <c r="D811" t="inlineStr">
        <is>
          <t>EUR</t>
        </is>
      </c>
      <c r="E811" s="9" t="n">
        <v>449503.99</v>
      </c>
      <c r="F811" s="9" t="n">
        <v>441639.82</v>
      </c>
      <c r="G811" s="9" t="n">
        <v>-1101949.87</v>
      </c>
      <c r="H811" s="9">
        <f>IF(D811="USD",E811*$L$1,E811)</f>
        <v/>
      </c>
      <c r="I811" s="9">
        <f>IF(D811="USD",F811*$L$1,F811)</f>
        <v/>
      </c>
      <c r="J811" s="9">
        <f>IF(D811="USD",G811*$L$1,G811)</f>
        <v/>
      </c>
    </row>
    <row r="812">
      <c r="A812" s="8" t="n">
        <v>46160</v>
      </c>
      <c r="B812" t="inlineStr">
        <is>
          <t>2026-W21</t>
        </is>
      </c>
      <c r="C812" t="inlineStr">
        <is>
          <t>Nuvei</t>
        </is>
      </c>
      <c r="D812" t="inlineStr">
        <is>
          <t>EUR</t>
        </is>
      </c>
      <c r="E812" s="9" t="n">
        <v>158305.66</v>
      </c>
      <c r="F812" s="9" t="n">
        <v>154066.23</v>
      </c>
      <c r="G812" s="9" t="n">
        <v>-355931.08</v>
      </c>
      <c r="H812" s="9">
        <f>IF(D812="USD",E812*$L$1,E812)</f>
        <v/>
      </c>
      <c r="I812" s="9">
        <f>IF(D812="USD",F812*$L$1,F812)</f>
        <v/>
      </c>
      <c r="J812" s="9">
        <f>IF(D812="USD",G812*$L$1,G812)</f>
        <v/>
      </c>
    </row>
    <row r="813">
      <c r="A813" s="8" t="n">
        <v>46160</v>
      </c>
      <c r="B813" t="inlineStr">
        <is>
          <t>2026-W21</t>
        </is>
      </c>
      <c r="C813" t="inlineStr">
        <is>
          <t>Shift4</t>
        </is>
      </c>
      <c r="D813" t="inlineStr">
        <is>
          <t>EUR</t>
        </is>
      </c>
      <c r="E813" s="9" t="n">
        <v>618522.14</v>
      </c>
      <c r="F813" s="9" t="n">
        <v>612368.64</v>
      </c>
      <c r="G813" s="9" t="n">
        <v>-1603922.19</v>
      </c>
      <c r="H813" s="9">
        <f>IF(D813="USD",E813*$L$1,E813)</f>
        <v/>
      </c>
      <c r="I813" s="9">
        <f>IF(D813="USD",F813*$L$1,F813)</f>
        <v/>
      </c>
      <c r="J813" s="9">
        <f>IF(D813="USD",G813*$L$1,G813)</f>
        <v/>
      </c>
    </row>
    <row r="814">
      <c r="A814" s="8" t="n">
        <v>46161</v>
      </c>
      <c r="B814" t="inlineStr">
        <is>
          <t>2026-W21</t>
        </is>
      </c>
      <c r="C814" t="inlineStr">
        <is>
          <t>Adyen</t>
        </is>
      </c>
      <c r="D814" t="inlineStr">
        <is>
          <t>EUR</t>
        </is>
      </c>
      <c r="E814" s="9" t="n">
        <v>679186.6899999999</v>
      </c>
      <c r="F814" s="9" t="n">
        <v>0</v>
      </c>
      <c r="G814" s="9" t="n">
        <v>738871.8</v>
      </c>
      <c r="H814" s="9">
        <f>IF(D814="USD",E814*$L$1,E814)</f>
        <v/>
      </c>
      <c r="I814" s="9">
        <f>IF(D814="USD",F814*$L$1,F814)</f>
        <v/>
      </c>
      <c r="J814" s="9">
        <f>IF(D814="USD",G814*$L$1,G814)</f>
        <v/>
      </c>
    </row>
    <row r="815">
      <c r="A815" s="8" t="n">
        <v>46161</v>
      </c>
      <c r="B815" t="inlineStr">
        <is>
          <t>2026-W21</t>
        </is>
      </c>
      <c r="C815" t="inlineStr">
        <is>
          <t>Adyen</t>
        </is>
      </c>
      <c r="D815" t="inlineStr">
        <is>
          <t>EUR</t>
        </is>
      </c>
      <c r="E815" s="9" t="n">
        <v>84091.89999999999</v>
      </c>
      <c r="F815" s="9" t="n">
        <v>0</v>
      </c>
      <c r="G815" s="9" t="n">
        <v>0</v>
      </c>
      <c r="H815" s="9">
        <f>IF(D815="USD",E815*$L$1,E815)</f>
        <v/>
      </c>
      <c r="I815" s="9">
        <f>IF(D815="USD",F815*$L$1,F815)</f>
        <v/>
      </c>
      <c r="J815" s="9">
        <f>IF(D815="USD",G815*$L$1,G815)</f>
        <v/>
      </c>
    </row>
    <row r="816">
      <c r="A816" s="8" t="n">
        <v>46161</v>
      </c>
      <c r="B816" t="inlineStr">
        <is>
          <t>2026-W21</t>
        </is>
      </c>
      <c r="C816" t="inlineStr">
        <is>
          <t>Nuvei</t>
        </is>
      </c>
      <c r="D816" t="inlineStr">
        <is>
          <t>EUR</t>
        </is>
      </c>
      <c r="E816" s="9" t="n">
        <v>331831.96</v>
      </c>
      <c r="F816" s="9" t="n">
        <v>324362.83</v>
      </c>
      <c r="G816" s="9" t="n">
        <v>-324349.34</v>
      </c>
      <c r="H816" s="9">
        <f>IF(D816="USD",E816*$L$1,E816)</f>
        <v/>
      </c>
      <c r="I816" s="9">
        <f>IF(D816="USD",F816*$L$1,F816)</f>
        <v/>
      </c>
      <c r="J816" s="9">
        <f>IF(D816="USD",G816*$L$1,G816)</f>
        <v/>
      </c>
    </row>
    <row r="817">
      <c r="A817" s="8" t="n">
        <v>46161</v>
      </c>
      <c r="B817" t="inlineStr">
        <is>
          <t>2026-W21</t>
        </is>
      </c>
      <c r="C817" t="inlineStr">
        <is>
          <t>Nuvei</t>
        </is>
      </c>
      <c r="D817" t="inlineStr">
        <is>
          <t>EUR</t>
        </is>
      </c>
      <c r="E817" s="9" t="n">
        <v>128321.82</v>
      </c>
      <c r="F817" s="9" t="n">
        <v>124363.1</v>
      </c>
      <c r="G817" s="9" t="n">
        <v>-124359.6</v>
      </c>
      <c r="H817" s="9">
        <f>IF(D817="USD",E817*$L$1,E817)</f>
        <v/>
      </c>
      <c r="I817" s="9">
        <f>IF(D817="USD",F817*$L$1,F817)</f>
        <v/>
      </c>
      <c r="J817" s="9">
        <f>IF(D817="USD",G817*$L$1,G817)</f>
        <v/>
      </c>
    </row>
    <row r="818">
      <c r="A818" s="8" t="n">
        <v>46161</v>
      </c>
      <c r="B818" t="inlineStr">
        <is>
          <t>2026-W21</t>
        </is>
      </c>
      <c r="C818" t="inlineStr">
        <is>
          <t>Shift4</t>
        </is>
      </c>
      <c r="D818" t="inlineStr">
        <is>
          <t>EUR</t>
        </is>
      </c>
      <c r="E818" s="9" t="n">
        <v>564768.08</v>
      </c>
      <c r="F818" s="9" t="n">
        <v>559189.9299999999</v>
      </c>
      <c r="G818" s="9" t="n">
        <v>-559189.9300000001</v>
      </c>
      <c r="H818" s="9">
        <f>IF(D818="USD",E818*$L$1,E818)</f>
        <v/>
      </c>
      <c r="I818" s="9">
        <f>IF(D818="USD",F818*$L$1,F818)</f>
        <v/>
      </c>
      <c r="J818" s="9">
        <f>IF(D818="USD",G818*$L$1,G818)</f>
        <v/>
      </c>
    </row>
    <row r="819">
      <c r="A819" s="8" t="n">
        <v>46162</v>
      </c>
      <c r="B819" t="inlineStr">
        <is>
          <t>2026-W21</t>
        </is>
      </c>
      <c r="C819" t="inlineStr">
        <is>
          <t>Adyen</t>
        </is>
      </c>
      <c r="D819" t="inlineStr">
        <is>
          <t>EUR</t>
        </is>
      </c>
      <c r="E819" s="9" t="n">
        <v>690639.52</v>
      </c>
      <c r="F819" s="9" t="n">
        <v>0</v>
      </c>
      <c r="G819" s="9" t="n">
        <v>757767.1100000001</v>
      </c>
      <c r="H819" s="9">
        <f>IF(D819="USD",E819*$L$1,E819)</f>
        <v/>
      </c>
      <c r="I819" s="9">
        <f>IF(D819="USD",F819*$L$1,F819)</f>
        <v/>
      </c>
      <c r="J819" s="9">
        <f>IF(D819="USD",G819*$L$1,G819)</f>
        <v/>
      </c>
    </row>
    <row r="820">
      <c r="A820" s="8" t="n">
        <v>46162</v>
      </c>
      <c r="B820" t="inlineStr">
        <is>
          <t>2026-W21</t>
        </is>
      </c>
      <c r="C820" t="inlineStr">
        <is>
          <t>Adyen</t>
        </is>
      </c>
      <c r="D820" t="inlineStr">
        <is>
          <t>EUR</t>
        </is>
      </c>
      <c r="E820" s="9" t="n">
        <v>78944.35000000001</v>
      </c>
      <c r="F820" s="9" t="n">
        <v>0</v>
      </c>
      <c r="G820" s="9" t="n">
        <v>0</v>
      </c>
      <c r="H820" s="9">
        <f>IF(D820="USD",E820*$L$1,E820)</f>
        <v/>
      </c>
      <c r="I820" s="9">
        <f>IF(D820="USD",F820*$L$1,F820)</f>
        <v/>
      </c>
      <c r="J820" s="9">
        <f>IF(D820="USD",G820*$L$1,G820)</f>
        <v/>
      </c>
    </row>
    <row r="821">
      <c r="A821" s="8" t="n">
        <v>46162</v>
      </c>
      <c r="B821" t="inlineStr">
        <is>
          <t>2026-W21</t>
        </is>
      </c>
      <c r="C821" t="inlineStr">
        <is>
          <t>Nuvei</t>
        </is>
      </c>
      <c r="D821" t="inlineStr">
        <is>
          <t>EUR</t>
        </is>
      </c>
      <c r="E821" s="9" t="n">
        <v>393461.14</v>
      </c>
      <c r="F821" s="9" t="n">
        <v>385876.78</v>
      </c>
      <c r="G821" s="9" t="n">
        <v>-390932.09</v>
      </c>
      <c r="H821" s="9">
        <f>IF(D821="USD",E821*$L$1,E821)</f>
        <v/>
      </c>
      <c r="I821" s="9">
        <f>IF(D821="USD",F821*$L$1,F821)</f>
        <v/>
      </c>
      <c r="J821" s="9">
        <f>IF(D821="USD",G821*$L$1,G821)</f>
        <v/>
      </c>
    </row>
    <row r="822">
      <c r="A822" s="8" t="n">
        <v>46162</v>
      </c>
      <c r="B822" t="inlineStr">
        <is>
          <t>2026-W21</t>
        </is>
      </c>
      <c r="C822" t="inlineStr">
        <is>
          <t>Nuvei</t>
        </is>
      </c>
      <c r="D822" t="inlineStr">
        <is>
          <t>EUR</t>
        </is>
      </c>
      <c r="E822" s="9" t="n">
        <v>130707.81</v>
      </c>
      <c r="F822" s="9" t="n">
        <v>126836.71</v>
      </c>
      <c r="G822" s="9" t="n">
        <v>-128933.9</v>
      </c>
      <c r="H822" s="9">
        <f>IF(D822="USD",E822*$L$1,E822)</f>
        <v/>
      </c>
      <c r="I822" s="9">
        <f>IF(D822="USD",F822*$L$1,F822)</f>
        <v/>
      </c>
      <c r="J822" s="9">
        <f>IF(D822="USD",G822*$L$1,G822)</f>
        <v/>
      </c>
    </row>
    <row r="823">
      <c r="A823" s="8" t="n">
        <v>46162</v>
      </c>
      <c r="B823" t="inlineStr">
        <is>
          <t>2026-W21</t>
        </is>
      </c>
      <c r="C823" t="inlineStr">
        <is>
          <t>Shift4</t>
        </is>
      </c>
      <c r="D823" t="inlineStr">
        <is>
          <t>EUR</t>
        </is>
      </c>
      <c r="E823" s="9" t="n">
        <v>567310.34</v>
      </c>
      <c r="F823" s="9" t="n">
        <v>561840.34</v>
      </c>
      <c r="G823" s="9" t="n">
        <v>-561840.34</v>
      </c>
      <c r="H823" s="9">
        <f>IF(D823="USD",E823*$L$1,E823)</f>
        <v/>
      </c>
      <c r="I823" s="9">
        <f>IF(D823="USD",F823*$L$1,F823)</f>
        <v/>
      </c>
      <c r="J823" s="9">
        <f>IF(D823="USD",G823*$L$1,G823)</f>
        <v/>
      </c>
    </row>
    <row r="824">
      <c r="A824" s="8" t="n">
        <v>46163</v>
      </c>
      <c r="B824" t="inlineStr">
        <is>
          <t>2026-W21</t>
        </is>
      </c>
      <c r="C824" t="inlineStr">
        <is>
          <t>Adyen</t>
        </is>
      </c>
      <c r="D824" t="inlineStr">
        <is>
          <t>EUR</t>
        </is>
      </c>
      <c r="E824" s="9" t="n">
        <v>633911.37</v>
      </c>
      <c r="F824" s="9" t="n">
        <v>0</v>
      </c>
      <c r="G824" s="9" t="n">
        <v>695120.36</v>
      </c>
      <c r="H824" s="9">
        <f>IF(D824="USD",E824*$L$1,E824)</f>
        <v/>
      </c>
      <c r="I824" s="9">
        <f>IF(D824="USD",F824*$L$1,F824)</f>
        <v/>
      </c>
      <c r="J824" s="9">
        <f>IF(D824="USD",G824*$L$1,G824)</f>
        <v/>
      </c>
    </row>
    <row r="825">
      <c r="A825" s="8" t="n">
        <v>46163</v>
      </c>
      <c r="B825" t="inlineStr">
        <is>
          <t>2026-W21</t>
        </is>
      </c>
      <c r="C825" t="inlineStr">
        <is>
          <t>Adyen</t>
        </is>
      </c>
      <c r="D825" t="inlineStr">
        <is>
          <t>EUR</t>
        </is>
      </c>
      <c r="E825" s="9" t="n">
        <v>70606.10000000001</v>
      </c>
      <c r="F825" s="9" t="n">
        <v>0</v>
      </c>
      <c r="G825" s="9" t="n">
        <v>0</v>
      </c>
      <c r="H825" s="9">
        <f>IF(D825="USD",E825*$L$1,E825)</f>
        <v/>
      </c>
      <c r="I825" s="9">
        <f>IF(D825="USD",F825*$L$1,F825)</f>
        <v/>
      </c>
      <c r="J825" s="9">
        <f>IF(D825="USD",G825*$L$1,G825)</f>
        <v/>
      </c>
    </row>
    <row r="826">
      <c r="A826" s="8" t="n">
        <v>46163</v>
      </c>
      <c r="B826" t="inlineStr">
        <is>
          <t>2026-W21</t>
        </is>
      </c>
      <c r="C826" t="inlineStr">
        <is>
          <t>Nuvei</t>
        </is>
      </c>
      <c r="D826" t="inlineStr">
        <is>
          <t>EUR</t>
        </is>
      </c>
      <c r="E826" s="9" t="n">
        <v>416901.37</v>
      </c>
      <c r="F826" s="9" t="n">
        <v>409488.18</v>
      </c>
      <c r="G826" s="9" t="n">
        <v>-409484.69</v>
      </c>
      <c r="H826" s="9">
        <f>IF(D826="USD",E826*$L$1,E826)</f>
        <v/>
      </c>
      <c r="I826" s="9">
        <f>IF(D826="USD",F826*$L$1,F826)</f>
        <v/>
      </c>
      <c r="J826" s="9">
        <f>IF(D826="USD",G826*$L$1,G826)</f>
        <v/>
      </c>
    </row>
    <row r="827">
      <c r="A827" s="8" t="n">
        <v>46163</v>
      </c>
      <c r="B827" t="inlineStr">
        <is>
          <t>2026-W21</t>
        </is>
      </c>
      <c r="C827" t="inlineStr">
        <is>
          <t>Nuvei</t>
        </is>
      </c>
      <c r="D827" t="inlineStr">
        <is>
          <t>EUR</t>
        </is>
      </c>
      <c r="E827" s="9" t="n">
        <v>146766.01</v>
      </c>
      <c r="F827" s="9" t="n">
        <v>142762.82</v>
      </c>
      <c r="G827" s="9" t="n">
        <v>-142759.31</v>
      </c>
      <c r="H827" s="9">
        <f>IF(D827="USD",E827*$L$1,E827)</f>
        <v/>
      </c>
      <c r="I827" s="9">
        <f>IF(D827="USD",F827*$L$1,F827)</f>
        <v/>
      </c>
      <c r="J827" s="9">
        <f>IF(D827="USD",G827*$L$1,G827)</f>
        <v/>
      </c>
    </row>
    <row r="828">
      <c r="A828" s="8" t="n">
        <v>46163</v>
      </c>
      <c r="B828" t="inlineStr">
        <is>
          <t>2026-W21</t>
        </is>
      </c>
      <c r="C828" t="inlineStr">
        <is>
          <t>Shift4</t>
        </is>
      </c>
      <c r="D828" t="inlineStr">
        <is>
          <t>EUR</t>
        </is>
      </c>
      <c r="E828" s="9" t="n">
        <v>538459.8100000001</v>
      </c>
      <c r="F828" s="9" t="n">
        <v>532975.42</v>
      </c>
      <c r="G828" s="9" t="n">
        <v>-532975.42</v>
      </c>
      <c r="H828" s="9">
        <f>IF(D828="USD",E828*$L$1,E828)</f>
        <v/>
      </c>
      <c r="I828" s="9">
        <f>IF(D828="USD",F828*$L$1,F828)</f>
        <v/>
      </c>
      <c r="J828" s="9">
        <f>IF(D828="USD",G828*$L$1,G828)</f>
        <v/>
      </c>
    </row>
    <row r="829">
      <c r="A829" s="8" t="n">
        <v>46164</v>
      </c>
      <c r="B829" t="inlineStr">
        <is>
          <t>2026-W21</t>
        </is>
      </c>
      <c r="C829" t="inlineStr">
        <is>
          <t>Adyen</t>
        </is>
      </c>
      <c r="D829" t="inlineStr">
        <is>
          <t>EUR</t>
        </is>
      </c>
      <c r="E829" s="9" t="n">
        <v>575531.17</v>
      </c>
      <c r="F829" s="9" t="n">
        <v>0</v>
      </c>
      <c r="G829" s="9" t="n">
        <v>1523911.02</v>
      </c>
      <c r="H829" s="9">
        <f>IF(D829="USD",E829*$L$1,E829)</f>
        <v/>
      </c>
      <c r="I829" s="9">
        <f>IF(D829="USD",F829*$L$1,F829)</f>
        <v/>
      </c>
      <c r="J829" s="9">
        <f>IF(D829="USD",G829*$L$1,G829)</f>
        <v/>
      </c>
    </row>
    <row r="830">
      <c r="A830" s="8" t="n">
        <v>46164</v>
      </c>
      <c r="B830" t="inlineStr">
        <is>
          <t>2026-W21</t>
        </is>
      </c>
      <c r="C830" t="inlineStr">
        <is>
          <t>Adyen</t>
        </is>
      </c>
      <c r="D830" t="inlineStr">
        <is>
          <t>EUR</t>
        </is>
      </c>
      <c r="E830" s="9" t="n">
        <v>73197.35000000001</v>
      </c>
      <c r="F830" s="9" t="n">
        <v>0</v>
      </c>
      <c r="G830" s="9" t="n">
        <v>0</v>
      </c>
      <c r="H830" s="9">
        <f>IF(D830="USD",E830*$L$1,E830)</f>
        <v/>
      </c>
      <c r="I830" s="9">
        <f>IF(D830="USD",F830*$L$1,F830)</f>
        <v/>
      </c>
      <c r="J830" s="9">
        <f>IF(D830="USD",G830*$L$1,G830)</f>
        <v/>
      </c>
    </row>
    <row r="831">
      <c r="A831" s="8" t="n">
        <v>46164</v>
      </c>
      <c r="B831" t="inlineStr">
        <is>
          <t>2026-W21</t>
        </is>
      </c>
      <c r="C831" t="inlineStr">
        <is>
          <t>Nuvei</t>
        </is>
      </c>
      <c r="D831" t="inlineStr">
        <is>
          <t>EUR</t>
        </is>
      </c>
      <c r="E831" s="9" t="n">
        <v>396612.25</v>
      </c>
      <c r="F831" s="9" t="n">
        <v>389658.09</v>
      </c>
      <c r="G831" s="9" t="n">
        <v>-389654.59</v>
      </c>
      <c r="H831" s="9">
        <f>IF(D831="USD",E831*$L$1,E831)</f>
        <v/>
      </c>
      <c r="I831" s="9">
        <f>IF(D831="USD",F831*$L$1,F831)</f>
        <v/>
      </c>
      <c r="J831" s="9">
        <f>IF(D831="USD",G831*$L$1,G831)</f>
        <v/>
      </c>
    </row>
    <row r="832">
      <c r="A832" s="8" t="n">
        <v>46164</v>
      </c>
      <c r="B832" t="inlineStr">
        <is>
          <t>2026-W21</t>
        </is>
      </c>
      <c r="C832" t="inlineStr">
        <is>
          <t>Nuvei</t>
        </is>
      </c>
      <c r="D832" t="inlineStr">
        <is>
          <t>EUR</t>
        </is>
      </c>
      <c r="E832" s="9" t="n">
        <v>112677.71</v>
      </c>
      <c r="F832" s="9" t="n">
        <v>109580.02</v>
      </c>
      <c r="G832" s="9" t="n">
        <v>-109576.52</v>
      </c>
      <c r="H832" s="9">
        <f>IF(D832="USD",E832*$L$1,E832)</f>
        <v/>
      </c>
      <c r="I832" s="9">
        <f>IF(D832="USD",F832*$L$1,F832)</f>
        <v/>
      </c>
      <c r="J832" s="9">
        <f>IF(D832="USD",G832*$L$1,G832)</f>
        <v/>
      </c>
    </row>
    <row r="833">
      <c r="A833" s="8" t="n">
        <v>46164</v>
      </c>
      <c r="B833" t="inlineStr">
        <is>
          <t>2026-W21</t>
        </is>
      </c>
      <c r="C833" t="inlineStr">
        <is>
          <t>Shift4</t>
        </is>
      </c>
      <c r="D833" t="inlineStr">
        <is>
          <t>EUR</t>
        </is>
      </c>
      <c r="E833" s="9" t="n">
        <v>505892.75</v>
      </c>
      <c r="F833" s="9" t="n">
        <v>500699.67</v>
      </c>
      <c r="G833" s="9" t="n">
        <v>-500699.67</v>
      </c>
      <c r="H833" s="9">
        <f>IF(D833="USD",E833*$L$1,E833)</f>
        <v/>
      </c>
      <c r="I833" s="9">
        <f>IF(D833="USD",F833*$L$1,F833)</f>
        <v/>
      </c>
      <c r="J833" s="9">
        <f>IF(D833="USD",G833*$L$1,G833)</f>
        <v/>
      </c>
    </row>
    <row r="834">
      <c r="A834" s="8" t="n">
        <v>46165</v>
      </c>
      <c r="B834" t="inlineStr">
        <is>
          <t>2026-W21</t>
        </is>
      </c>
      <c r="C834" t="inlineStr">
        <is>
          <t>Adyen</t>
        </is>
      </c>
      <c r="D834" t="inlineStr">
        <is>
          <t>EUR</t>
        </is>
      </c>
      <c r="E834" s="9" t="n">
        <v>396170.62</v>
      </c>
      <c r="F834" s="9" t="n">
        <v>0</v>
      </c>
      <c r="G834" s="9" t="n">
        <v>0</v>
      </c>
      <c r="H834" s="9">
        <f>IF(D834="USD",E834*$L$1,E834)</f>
        <v/>
      </c>
      <c r="I834" s="9">
        <f>IF(D834="USD",F834*$L$1,F834)</f>
        <v/>
      </c>
      <c r="J834" s="9">
        <f>IF(D834="USD",G834*$L$1,G834)</f>
        <v/>
      </c>
    </row>
    <row r="835">
      <c r="A835" s="8" t="n">
        <v>46165</v>
      </c>
      <c r="B835" t="inlineStr">
        <is>
          <t>2026-W21</t>
        </is>
      </c>
      <c r="C835" t="inlineStr">
        <is>
          <t>Adyen</t>
        </is>
      </c>
      <c r="D835" t="inlineStr">
        <is>
          <t>EUR</t>
        </is>
      </c>
      <c r="E835" s="9" t="n">
        <v>42208.58</v>
      </c>
      <c r="F835" s="9" t="n">
        <v>0</v>
      </c>
      <c r="G835" s="9" t="n">
        <v>0</v>
      </c>
      <c r="H835" s="9">
        <f>IF(D835="USD",E835*$L$1,E835)</f>
        <v/>
      </c>
      <c r="I835" s="9">
        <f>IF(D835="USD",F835*$L$1,F835)</f>
        <v/>
      </c>
      <c r="J835" s="9">
        <f>IF(D835="USD",G835*$L$1,G835)</f>
        <v/>
      </c>
    </row>
    <row r="836">
      <c r="A836" s="8" t="n">
        <v>46165</v>
      </c>
      <c r="B836" t="inlineStr">
        <is>
          <t>2026-W21</t>
        </is>
      </c>
      <c r="C836" t="inlineStr">
        <is>
          <t>Nuvei</t>
        </is>
      </c>
      <c r="D836" t="inlineStr">
        <is>
          <t>EUR</t>
        </is>
      </c>
      <c r="E836" s="9" t="n">
        <v>284076.47</v>
      </c>
      <c r="F836" s="9" t="n">
        <v>279175.04</v>
      </c>
      <c r="G836" s="9" t="n">
        <v>0</v>
      </c>
      <c r="H836" s="9">
        <f>IF(D836="USD",E836*$L$1,E836)</f>
        <v/>
      </c>
      <c r="I836" s="9">
        <f>IF(D836="USD",F836*$L$1,F836)</f>
        <v/>
      </c>
      <c r="J836" s="9">
        <f>IF(D836="USD",G836*$L$1,G836)</f>
        <v/>
      </c>
    </row>
    <row r="837">
      <c r="A837" s="8" t="n">
        <v>46165</v>
      </c>
      <c r="B837" t="inlineStr">
        <is>
          <t>2026-W21</t>
        </is>
      </c>
      <c r="C837" t="inlineStr">
        <is>
          <t>Nuvei</t>
        </is>
      </c>
      <c r="D837" t="inlineStr">
        <is>
          <t>EUR</t>
        </is>
      </c>
      <c r="E837" s="9" t="n">
        <v>111569.39</v>
      </c>
      <c r="F837" s="9" t="n">
        <v>108426</v>
      </c>
      <c r="G837" s="9" t="n">
        <v>0</v>
      </c>
      <c r="H837" s="9">
        <f>IF(D837="USD",E837*$L$1,E837)</f>
        <v/>
      </c>
      <c r="I837" s="9">
        <f>IF(D837="USD",F837*$L$1,F837)</f>
        <v/>
      </c>
      <c r="J837" s="9">
        <f>IF(D837="USD",G837*$L$1,G837)</f>
        <v/>
      </c>
    </row>
    <row r="838">
      <c r="A838" s="8" t="n">
        <v>46165</v>
      </c>
      <c r="B838" t="inlineStr">
        <is>
          <t>2026-W21</t>
        </is>
      </c>
      <c r="C838" t="inlineStr">
        <is>
          <t>Shift4</t>
        </is>
      </c>
      <c r="D838" t="inlineStr">
        <is>
          <t>EUR</t>
        </is>
      </c>
      <c r="E838" s="9" t="n">
        <v>382928.68</v>
      </c>
      <c r="F838" s="9" t="n">
        <v>379271.17</v>
      </c>
      <c r="G838" s="9" t="n">
        <v>0</v>
      </c>
      <c r="H838" s="9">
        <f>IF(D838="USD",E838*$L$1,E838)</f>
        <v/>
      </c>
      <c r="I838" s="9">
        <f>IF(D838="USD",F838*$L$1,F838)</f>
        <v/>
      </c>
      <c r="J838" s="9">
        <f>IF(D838="USD",G838*$L$1,G838)</f>
        <v/>
      </c>
    </row>
    <row r="839">
      <c r="A839" s="8" t="n">
        <v>46166</v>
      </c>
      <c r="B839" t="inlineStr">
        <is>
          <t>2026-W21</t>
        </is>
      </c>
      <c r="C839" t="inlineStr">
        <is>
          <t>Adyen</t>
        </is>
      </c>
      <c r="D839" t="inlineStr">
        <is>
          <t>EUR</t>
        </is>
      </c>
      <c r="E839" s="9" t="n">
        <v>417312.45</v>
      </c>
      <c r="F839" s="9" t="n">
        <v>0</v>
      </c>
      <c r="G839" s="9" t="n">
        <v>0</v>
      </c>
      <c r="H839" s="9">
        <f>IF(D839="USD",E839*$L$1,E839)</f>
        <v/>
      </c>
      <c r="I839" s="9">
        <f>IF(D839="USD",F839*$L$1,F839)</f>
        <v/>
      </c>
      <c r="J839" s="9">
        <f>IF(D839="USD",G839*$L$1,G839)</f>
        <v/>
      </c>
    </row>
    <row r="840">
      <c r="A840" s="8" t="n">
        <v>46166</v>
      </c>
      <c r="B840" t="inlineStr">
        <is>
          <t>2026-W21</t>
        </is>
      </c>
      <c r="C840" t="inlineStr">
        <is>
          <t>Adyen</t>
        </is>
      </c>
      <c r="D840" t="inlineStr">
        <is>
          <t>EUR</t>
        </is>
      </c>
      <c r="E840" s="9" t="n">
        <v>27429.27</v>
      </c>
      <c r="F840" s="9" t="n">
        <v>0</v>
      </c>
      <c r="G840" s="9" t="n">
        <v>0</v>
      </c>
      <c r="H840" s="9">
        <f>IF(D840="USD",E840*$L$1,E840)</f>
        <v/>
      </c>
      <c r="I840" s="9">
        <f>IF(D840="USD",F840*$L$1,F840)</f>
        <v/>
      </c>
      <c r="J840" s="9">
        <f>IF(D840="USD",G840*$L$1,G840)</f>
        <v/>
      </c>
    </row>
    <row r="841">
      <c r="A841" s="8" t="n">
        <v>46166</v>
      </c>
      <c r="B841" t="inlineStr">
        <is>
          <t>2026-W21</t>
        </is>
      </c>
      <c r="C841" t="inlineStr">
        <is>
          <t>Nuvei</t>
        </is>
      </c>
      <c r="D841" t="inlineStr">
        <is>
          <t>EUR</t>
        </is>
      </c>
      <c r="E841" s="9" t="n">
        <v>318324.63</v>
      </c>
      <c r="F841" s="9" t="n">
        <v>313390.85</v>
      </c>
      <c r="G841" s="9" t="n">
        <v>0</v>
      </c>
      <c r="H841" s="9">
        <f>IF(D841="USD",E841*$L$1,E841)</f>
        <v/>
      </c>
      <c r="I841" s="9">
        <f>IF(D841="USD",F841*$L$1,F841)</f>
        <v/>
      </c>
      <c r="J841" s="9">
        <f>IF(D841="USD",G841*$L$1,G841)</f>
        <v/>
      </c>
    </row>
    <row r="842">
      <c r="A842" s="8" t="n">
        <v>46166</v>
      </c>
      <c r="B842" t="inlineStr">
        <is>
          <t>2026-W21</t>
        </is>
      </c>
      <c r="C842" t="inlineStr">
        <is>
          <t>Nuvei</t>
        </is>
      </c>
      <c r="D842" t="inlineStr">
        <is>
          <t>EUR</t>
        </is>
      </c>
      <c r="E842" s="9" t="n">
        <v>95141.53</v>
      </c>
      <c r="F842" s="9" t="n">
        <v>93298.36</v>
      </c>
      <c r="G842" s="9" t="n">
        <v>0</v>
      </c>
      <c r="H842" s="9">
        <f>IF(D842="USD",E842*$L$1,E842)</f>
        <v/>
      </c>
      <c r="I842" s="9">
        <f>IF(D842="USD",F842*$L$1,F842)</f>
        <v/>
      </c>
      <c r="J842" s="9">
        <f>IF(D842="USD",G842*$L$1,G842)</f>
        <v/>
      </c>
    </row>
    <row r="843">
      <c r="A843" s="8" t="n">
        <v>46166</v>
      </c>
      <c r="B843" t="inlineStr">
        <is>
          <t>2026-W21</t>
        </is>
      </c>
      <c r="C843" t="inlineStr">
        <is>
          <t>Shift4</t>
        </is>
      </c>
      <c r="D843" t="inlineStr">
        <is>
          <t>EUR</t>
        </is>
      </c>
      <c r="E843" s="9" t="n">
        <v>492557.15</v>
      </c>
      <c r="F843" s="9" t="n">
        <v>488230.83</v>
      </c>
      <c r="G843" s="9" t="n">
        <v>0</v>
      </c>
      <c r="H843" s="9">
        <f>IF(D843="USD",E843*$L$1,E843)</f>
        <v/>
      </c>
      <c r="I843" s="9">
        <f>IF(D843="USD",F843*$L$1,F843)</f>
        <v/>
      </c>
      <c r="J843" s="9">
        <f>IF(D843="USD",G843*$L$1,G843)</f>
        <v/>
      </c>
    </row>
    <row r="844">
      <c r="A844" s="8" t="n">
        <v>46167</v>
      </c>
      <c r="B844" t="inlineStr">
        <is>
          <t>2026-W22</t>
        </is>
      </c>
      <c r="C844" t="inlineStr">
        <is>
          <t>Adyen</t>
        </is>
      </c>
      <c r="D844" t="inlineStr">
        <is>
          <t>EUR</t>
        </is>
      </c>
      <c r="E844" s="9" t="n">
        <v>586200.4</v>
      </c>
      <c r="F844" s="9" t="n">
        <v>0</v>
      </c>
      <c r="G844" s="9" t="n">
        <v>637966.64</v>
      </c>
      <c r="H844" s="9">
        <f>IF(D844="USD",E844*$L$1,E844)</f>
        <v/>
      </c>
      <c r="I844" s="9">
        <f>IF(D844="USD",F844*$L$1,F844)</f>
        <v/>
      </c>
      <c r="J844" s="9">
        <f>IF(D844="USD",G844*$L$1,G844)</f>
        <v/>
      </c>
    </row>
    <row r="845">
      <c r="A845" s="8" t="n">
        <v>46167</v>
      </c>
      <c r="B845" t="inlineStr">
        <is>
          <t>2026-W22</t>
        </is>
      </c>
      <c r="C845" t="inlineStr">
        <is>
          <t>Adyen</t>
        </is>
      </c>
      <c r="D845" t="inlineStr">
        <is>
          <t>EUR</t>
        </is>
      </c>
      <c r="E845" s="9" t="n">
        <v>56489.66</v>
      </c>
      <c r="F845" s="9" t="n">
        <v>0</v>
      </c>
      <c r="G845" s="9" t="n">
        <v>0</v>
      </c>
      <c r="H845" s="9">
        <f>IF(D845="USD",E845*$L$1,E845)</f>
        <v/>
      </c>
      <c r="I845" s="9">
        <f>IF(D845="USD",F845*$L$1,F845)</f>
        <v/>
      </c>
      <c r="J845" s="9">
        <f>IF(D845="USD",G845*$L$1,G845)</f>
        <v/>
      </c>
    </row>
    <row r="846">
      <c r="A846" s="8" t="n">
        <v>46167</v>
      </c>
      <c r="B846" t="inlineStr">
        <is>
          <t>2026-W22</t>
        </is>
      </c>
      <c r="C846" t="inlineStr">
        <is>
          <t>Nuvei</t>
        </is>
      </c>
      <c r="D846" t="inlineStr">
        <is>
          <t>EUR</t>
        </is>
      </c>
      <c r="E846" s="9" t="n">
        <v>393271.2</v>
      </c>
      <c r="F846" s="9" t="n">
        <v>386635.33</v>
      </c>
      <c r="G846" s="9" t="n">
        <v>-979197.73</v>
      </c>
      <c r="H846" s="9">
        <f>IF(D846="USD",E846*$L$1,E846)</f>
        <v/>
      </c>
      <c r="I846" s="9">
        <f>IF(D846="USD",F846*$L$1,F846)</f>
        <v/>
      </c>
      <c r="J846" s="9">
        <f>IF(D846="USD",G846*$L$1,G846)</f>
        <v/>
      </c>
    </row>
    <row r="847">
      <c r="A847" s="8" t="n">
        <v>46167</v>
      </c>
      <c r="B847" t="inlineStr">
        <is>
          <t>2026-W22</t>
        </is>
      </c>
      <c r="C847" t="inlineStr">
        <is>
          <t>Nuvei</t>
        </is>
      </c>
      <c r="D847" t="inlineStr">
        <is>
          <t>EUR</t>
        </is>
      </c>
      <c r="E847" s="9" t="n">
        <v>120718.45</v>
      </c>
      <c r="F847" s="9" t="n">
        <v>117370.53</v>
      </c>
      <c r="G847" s="9" t="n">
        <v>-319091.39</v>
      </c>
      <c r="H847" s="9">
        <f>IF(D847="USD",E847*$L$1,E847)</f>
        <v/>
      </c>
      <c r="I847" s="9">
        <f>IF(D847="USD",F847*$L$1,F847)</f>
        <v/>
      </c>
      <c r="J847" s="9">
        <f>IF(D847="USD",G847*$L$1,G847)</f>
        <v/>
      </c>
    </row>
    <row r="848">
      <c r="A848" s="8" t="n">
        <v>46167</v>
      </c>
      <c r="B848" t="inlineStr">
        <is>
          <t>2026-W22</t>
        </is>
      </c>
      <c r="C848" t="inlineStr">
        <is>
          <t>Shift4</t>
        </is>
      </c>
      <c r="D848" t="inlineStr">
        <is>
          <t>EUR</t>
        </is>
      </c>
      <c r="E848" s="9" t="n">
        <v>585474.1</v>
      </c>
      <c r="F848" s="9" t="n">
        <v>579940.38</v>
      </c>
      <c r="G848" s="9" t="n">
        <v>-1447426.91</v>
      </c>
      <c r="H848" s="9">
        <f>IF(D848="USD",E848*$L$1,E848)</f>
        <v/>
      </c>
      <c r="I848" s="9">
        <f>IF(D848="USD",F848*$L$1,F848)</f>
        <v/>
      </c>
      <c r="J848" s="9">
        <f>IF(D848="USD",G848*$L$1,G848)</f>
        <v/>
      </c>
    </row>
    <row r="849">
      <c r="A849" s="8" t="n">
        <v>46168</v>
      </c>
      <c r="B849" t="inlineStr">
        <is>
          <t>2026-W22</t>
        </is>
      </c>
      <c r="C849" t="inlineStr">
        <is>
          <t>Adyen</t>
        </is>
      </c>
      <c r="D849" t="inlineStr">
        <is>
          <t>EUR</t>
        </is>
      </c>
      <c r="E849" s="9" t="n">
        <v>707078.4399999999</v>
      </c>
      <c r="F849" s="9" t="n">
        <v>0</v>
      </c>
      <c r="G849" s="9" t="n">
        <v>419692.75</v>
      </c>
      <c r="H849" s="9">
        <f>IF(D849="USD",E849*$L$1,E849)</f>
        <v/>
      </c>
      <c r="I849" s="9">
        <f>IF(D849="USD",F849*$L$1,F849)</f>
        <v/>
      </c>
      <c r="J849" s="9">
        <f>IF(D849="USD",G849*$L$1,G849)</f>
        <v/>
      </c>
    </row>
    <row r="850">
      <c r="A850" s="8" t="n">
        <v>46168</v>
      </c>
      <c r="B850" t="inlineStr">
        <is>
          <t>2026-W22</t>
        </is>
      </c>
      <c r="C850" t="inlineStr">
        <is>
          <t>Adyen</t>
        </is>
      </c>
      <c r="D850" t="inlineStr">
        <is>
          <t>EUR</t>
        </is>
      </c>
      <c r="E850" s="9" t="n">
        <v>83769.88</v>
      </c>
      <c r="F850" s="9" t="n">
        <v>0</v>
      </c>
      <c r="G850" s="9" t="n">
        <v>0</v>
      </c>
      <c r="H850" s="9">
        <f>IF(D850="USD",E850*$L$1,E850)</f>
        <v/>
      </c>
      <c r="I850" s="9">
        <f>IF(D850="USD",F850*$L$1,F850)</f>
        <v/>
      </c>
      <c r="J850" s="9">
        <f>IF(D850="USD",G850*$L$1,G850)</f>
        <v/>
      </c>
    </row>
    <row r="851">
      <c r="A851" s="8" t="n">
        <v>46168</v>
      </c>
      <c r="B851" t="inlineStr">
        <is>
          <t>2026-W22</t>
        </is>
      </c>
      <c r="C851" t="inlineStr">
        <is>
          <t>Nuvei</t>
        </is>
      </c>
      <c r="D851" t="inlineStr">
        <is>
          <t>EUR</t>
        </is>
      </c>
      <c r="E851" s="9" t="n">
        <v>409481.19</v>
      </c>
      <c r="F851" s="9" t="n">
        <v>402661.36</v>
      </c>
      <c r="G851" s="9" t="n">
        <v>-402632.86</v>
      </c>
      <c r="H851" s="9">
        <f>IF(D851="USD",E851*$L$1,E851)</f>
        <v/>
      </c>
      <c r="I851" s="9">
        <f>IF(D851="USD",F851*$L$1,F851)</f>
        <v/>
      </c>
      <c r="J851" s="9">
        <f>IF(D851="USD",G851*$L$1,G851)</f>
        <v/>
      </c>
    </row>
    <row r="852">
      <c r="A852" s="8" t="n">
        <v>46168</v>
      </c>
      <c r="B852" t="inlineStr">
        <is>
          <t>2026-W22</t>
        </is>
      </c>
      <c r="C852" t="inlineStr">
        <is>
          <t>Nuvei</t>
        </is>
      </c>
      <c r="D852" t="inlineStr">
        <is>
          <t>EUR</t>
        </is>
      </c>
      <c r="E852" s="9" t="n">
        <v>117865.91</v>
      </c>
      <c r="F852" s="9" t="n">
        <v>114600.99</v>
      </c>
      <c r="G852" s="9" t="n">
        <v>-114597.49</v>
      </c>
      <c r="H852" s="9">
        <f>IF(D852="USD",E852*$L$1,E852)</f>
        <v/>
      </c>
      <c r="I852" s="9">
        <f>IF(D852="USD",F852*$L$1,F852)</f>
        <v/>
      </c>
      <c r="J852" s="9">
        <f>IF(D852="USD",G852*$L$1,G852)</f>
        <v/>
      </c>
    </row>
    <row r="853">
      <c r="A853" s="8" t="n">
        <v>46168</v>
      </c>
      <c r="B853" t="inlineStr">
        <is>
          <t>2026-W22</t>
        </is>
      </c>
      <c r="C853" t="inlineStr">
        <is>
          <t>Shift4</t>
        </is>
      </c>
      <c r="D853" t="inlineStr">
        <is>
          <t>EUR</t>
        </is>
      </c>
      <c r="E853" s="9" t="n">
        <v>582096.4300000001</v>
      </c>
      <c r="F853" s="9" t="n">
        <v>576353.28</v>
      </c>
      <c r="G853" s="9" t="n">
        <v>-575958.66</v>
      </c>
      <c r="H853" s="9">
        <f>IF(D853="USD",E853*$L$1,E853)</f>
        <v/>
      </c>
      <c r="I853" s="9">
        <f>IF(D853="USD",F853*$L$1,F853)</f>
        <v/>
      </c>
      <c r="J853" s="9">
        <f>IF(D853="USD",G853*$L$1,G853)</f>
        <v/>
      </c>
    </row>
    <row r="854">
      <c r="A854" s="8" t="n">
        <v>46169</v>
      </c>
      <c r="B854" t="inlineStr">
        <is>
          <t>2026-W22</t>
        </is>
      </c>
      <c r="C854" t="inlineStr">
        <is>
          <t>Adyen</t>
        </is>
      </c>
      <c r="D854" t="inlineStr">
        <is>
          <t>EUR</t>
        </is>
      </c>
      <c r="E854" s="9" t="n">
        <v>705238.28</v>
      </c>
      <c r="F854" s="9" t="n">
        <v>0</v>
      </c>
      <c r="G854" s="9" t="n">
        <v>715693.7999999999</v>
      </c>
      <c r="H854" s="9">
        <f>IF(D854="USD",E854*$L$1,E854)</f>
        <v/>
      </c>
      <c r="I854" s="9">
        <f>IF(D854="USD",F854*$L$1,F854)</f>
        <v/>
      </c>
      <c r="J854" s="9">
        <f>IF(D854="USD",G854*$L$1,G854)</f>
        <v/>
      </c>
    </row>
    <row r="855">
      <c r="A855" s="8" t="n">
        <v>46169</v>
      </c>
      <c r="B855" t="inlineStr">
        <is>
          <t>2026-W22</t>
        </is>
      </c>
      <c r="C855" t="inlineStr">
        <is>
          <t>Adyen</t>
        </is>
      </c>
      <c r="D855" t="inlineStr">
        <is>
          <t>EUR</t>
        </is>
      </c>
      <c r="E855" s="9" t="n">
        <v>81996.21000000001</v>
      </c>
      <c r="F855" s="9" t="n">
        <v>0</v>
      </c>
      <c r="G855" s="9" t="n">
        <v>0</v>
      </c>
      <c r="H855" s="9">
        <f>IF(D855="USD",E855*$L$1,E855)</f>
        <v/>
      </c>
      <c r="I855" s="9">
        <f>IF(D855="USD",F855*$L$1,F855)</f>
        <v/>
      </c>
      <c r="J855" s="9">
        <f>IF(D855="USD",G855*$L$1,G855)</f>
        <v/>
      </c>
    </row>
    <row r="856">
      <c r="A856" s="8" t="n">
        <v>46169</v>
      </c>
      <c r="B856" t="inlineStr">
        <is>
          <t>2026-W22</t>
        </is>
      </c>
      <c r="C856" t="inlineStr">
        <is>
          <t>Nuvei</t>
        </is>
      </c>
      <c r="D856" t="inlineStr">
        <is>
          <t>EUR</t>
        </is>
      </c>
      <c r="E856" s="9" t="n">
        <v>446522.95</v>
      </c>
      <c r="F856" s="9" t="n">
        <v>438709.51</v>
      </c>
      <c r="G856" s="9" t="n">
        <v>-438706.01</v>
      </c>
      <c r="H856" s="9">
        <f>IF(D856="USD",E856*$L$1,E856)</f>
        <v/>
      </c>
      <c r="I856" s="9">
        <f>IF(D856="USD",F856*$L$1,F856)</f>
        <v/>
      </c>
      <c r="J856" s="9">
        <f>IF(D856="USD",G856*$L$1,G856)</f>
        <v/>
      </c>
    </row>
    <row r="857">
      <c r="A857" s="8" t="n">
        <v>46169</v>
      </c>
      <c r="B857" t="inlineStr">
        <is>
          <t>2026-W22</t>
        </is>
      </c>
      <c r="C857" t="inlineStr">
        <is>
          <t>Nuvei</t>
        </is>
      </c>
      <c r="D857" t="inlineStr">
        <is>
          <t>EUR</t>
        </is>
      </c>
      <c r="E857" s="9" t="n">
        <v>145312.8</v>
      </c>
      <c r="F857" s="9" t="n">
        <v>141287.6</v>
      </c>
      <c r="G857" s="9" t="n">
        <v>-141284.1</v>
      </c>
      <c r="H857" s="9">
        <f>IF(D857="USD",E857*$L$1,E857)</f>
        <v/>
      </c>
      <c r="I857" s="9">
        <f>IF(D857="USD",F857*$L$1,F857)</f>
        <v/>
      </c>
      <c r="J857" s="9">
        <f>IF(D857="USD",G857*$L$1,G857)</f>
        <v/>
      </c>
    </row>
    <row r="858">
      <c r="A858" s="8" t="n">
        <v>46169</v>
      </c>
      <c r="B858" t="inlineStr">
        <is>
          <t>2026-W22</t>
        </is>
      </c>
      <c r="C858" t="inlineStr">
        <is>
          <t>Shift4</t>
        </is>
      </c>
      <c r="D858" t="inlineStr">
        <is>
          <t>EUR</t>
        </is>
      </c>
      <c r="E858" s="9" t="n">
        <v>590634.6800000001</v>
      </c>
      <c r="F858" s="9" t="n">
        <v>584675.4600000001</v>
      </c>
      <c r="G858" s="9" t="n">
        <v>-584675.46</v>
      </c>
      <c r="H858" s="9">
        <f>IF(D858="USD",E858*$L$1,E858)</f>
        <v/>
      </c>
      <c r="I858" s="9">
        <f>IF(D858="USD",F858*$L$1,F858)</f>
        <v/>
      </c>
      <c r="J858" s="9">
        <f>IF(D858="USD",G858*$L$1,G858)</f>
        <v/>
      </c>
    </row>
    <row r="859">
      <c r="A859" s="8" t="n">
        <v>46170</v>
      </c>
      <c r="B859" t="inlineStr">
        <is>
          <t>2026-W22</t>
        </is>
      </c>
      <c r="C859" t="inlineStr">
        <is>
          <t>Adyen</t>
        </is>
      </c>
      <c r="D859" t="inlineStr">
        <is>
          <t>EUR</t>
        </is>
      </c>
      <c r="E859" s="9" t="n">
        <v>659890.8199999999</v>
      </c>
      <c r="F859" s="9" t="n">
        <v>0</v>
      </c>
      <c r="G859" s="9" t="n">
        <v>1139699.72</v>
      </c>
      <c r="H859" s="9">
        <f>IF(D859="USD",E859*$L$1,E859)</f>
        <v/>
      </c>
      <c r="I859" s="9">
        <f>IF(D859="USD",F859*$L$1,F859)</f>
        <v/>
      </c>
      <c r="J859" s="9">
        <f>IF(D859="USD",G859*$L$1,G859)</f>
        <v/>
      </c>
    </row>
    <row r="860">
      <c r="A860" s="8" t="n">
        <v>46170</v>
      </c>
      <c r="B860" t="inlineStr">
        <is>
          <t>2026-W22</t>
        </is>
      </c>
      <c r="C860" t="inlineStr">
        <is>
          <t>Adyen</t>
        </is>
      </c>
      <c r="D860" t="inlineStr">
        <is>
          <t>EUR</t>
        </is>
      </c>
      <c r="E860" s="9" t="n">
        <v>54658.34</v>
      </c>
      <c r="F860" s="9" t="n">
        <v>0</v>
      </c>
      <c r="G860" s="9" t="n">
        <v>0</v>
      </c>
      <c r="H860" s="9">
        <f>IF(D860="USD",E860*$L$1,E860)</f>
        <v/>
      </c>
      <c r="I860" s="9">
        <f>IF(D860="USD",F860*$L$1,F860)</f>
        <v/>
      </c>
      <c r="J860" s="9">
        <f>IF(D860="USD",G860*$L$1,G860)</f>
        <v/>
      </c>
    </row>
    <row r="861">
      <c r="A861" s="8" t="n">
        <v>46170</v>
      </c>
      <c r="B861" t="inlineStr">
        <is>
          <t>2026-W22</t>
        </is>
      </c>
      <c r="C861" t="inlineStr">
        <is>
          <t>Nuvei</t>
        </is>
      </c>
      <c r="D861" t="inlineStr">
        <is>
          <t>EUR</t>
        </is>
      </c>
      <c r="E861" s="9" t="n">
        <v>439228.4</v>
      </c>
      <c r="F861" s="9" t="n">
        <v>431728.6800000001</v>
      </c>
      <c r="G861" s="9" t="n">
        <v>-431725.19</v>
      </c>
      <c r="H861" s="9">
        <f>IF(D861="USD",E861*$L$1,E861)</f>
        <v/>
      </c>
      <c r="I861" s="9">
        <f>IF(D861="USD",F861*$L$1,F861)</f>
        <v/>
      </c>
      <c r="J861" s="9">
        <f>IF(D861="USD",G861*$L$1,G861)</f>
        <v/>
      </c>
    </row>
    <row r="862">
      <c r="A862" s="8" t="n">
        <v>46170</v>
      </c>
      <c r="B862" t="inlineStr">
        <is>
          <t>2026-W22</t>
        </is>
      </c>
      <c r="C862" t="inlineStr">
        <is>
          <t>Nuvei</t>
        </is>
      </c>
      <c r="D862" t="inlineStr">
        <is>
          <t>EUR</t>
        </is>
      </c>
      <c r="E862" s="9" t="n">
        <v>132159.43</v>
      </c>
      <c r="F862" s="9" t="n">
        <v>128504.43</v>
      </c>
      <c r="G862" s="9" t="n">
        <v>-128500.79</v>
      </c>
      <c r="H862" s="9">
        <f>IF(D862="USD",E862*$L$1,E862)</f>
        <v/>
      </c>
      <c r="I862" s="9">
        <f>IF(D862="USD",F862*$L$1,F862)</f>
        <v/>
      </c>
      <c r="J862" s="9">
        <f>IF(D862="USD",G862*$L$1,G862)</f>
        <v/>
      </c>
    </row>
    <row r="863">
      <c r="A863" s="8" t="n">
        <v>46170</v>
      </c>
      <c r="B863" t="inlineStr">
        <is>
          <t>2026-W22</t>
        </is>
      </c>
      <c r="C863" t="inlineStr">
        <is>
          <t>Shift4</t>
        </is>
      </c>
      <c r="D863" t="inlineStr">
        <is>
          <t>EUR</t>
        </is>
      </c>
      <c r="E863" s="9" t="n">
        <v>555593.33</v>
      </c>
      <c r="F863" s="9" t="n">
        <v>549842.6699999999</v>
      </c>
      <c r="G863" s="9" t="n">
        <v>-549842.67</v>
      </c>
      <c r="H863" s="9">
        <f>IF(D863="USD",E863*$L$1,E863)</f>
        <v/>
      </c>
      <c r="I863" s="9">
        <f>IF(D863="USD",F863*$L$1,F863)</f>
        <v/>
      </c>
      <c r="J863" s="9">
        <f>IF(D863="USD",G863*$L$1,G863)</f>
        <v/>
      </c>
    </row>
    <row r="864">
      <c r="A864" s="8" t="n">
        <v>46171</v>
      </c>
      <c r="B864" t="inlineStr">
        <is>
          <t>2026-W22</t>
        </is>
      </c>
      <c r="C864" t="inlineStr">
        <is>
          <t>Adyen</t>
        </is>
      </c>
      <c r="D864" t="inlineStr">
        <is>
          <t>EUR</t>
        </is>
      </c>
      <c r="E864" s="9" t="n">
        <v>641126.41</v>
      </c>
      <c r="F864" s="9" t="n">
        <v>0</v>
      </c>
      <c r="G864" s="9" t="n">
        <v>885265.59</v>
      </c>
      <c r="H864" s="9">
        <f>IF(D864="USD",E864*$L$1,E864)</f>
        <v/>
      </c>
      <c r="I864" s="9">
        <f>IF(D864="USD",F864*$L$1,F864)</f>
        <v/>
      </c>
      <c r="J864" s="9">
        <f>IF(D864="USD",G864*$L$1,G864)</f>
        <v/>
      </c>
    </row>
    <row r="865">
      <c r="A865" s="8" t="n">
        <v>46171</v>
      </c>
      <c r="B865" t="inlineStr">
        <is>
          <t>2026-W22</t>
        </is>
      </c>
      <c r="C865" t="inlineStr">
        <is>
          <t>Adyen</t>
        </is>
      </c>
      <c r="D865" t="inlineStr">
        <is>
          <t>EUR</t>
        </is>
      </c>
      <c r="E865" s="9" t="n">
        <v>75252.82000000001</v>
      </c>
      <c r="F865" s="9" t="n">
        <v>0</v>
      </c>
      <c r="G865" s="9" t="n">
        <v>0</v>
      </c>
      <c r="H865" s="9">
        <f>IF(D865="USD",E865*$L$1,E865)</f>
        <v/>
      </c>
      <c r="I865" s="9">
        <f>IF(D865="USD",F865*$L$1,F865)</f>
        <v/>
      </c>
      <c r="J865" s="9">
        <f>IF(D865="USD",G865*$L$1,G865)</f>
        <v/>
      </c>
    </row>
    <row r="866">
      <c r="A866" s="8" t="n">
        <v>46171</v>
      </c>
      <c r="B866" t="inlineStr">
        <is>
          <t>2026-W22</t>
        </is>
      </c>
      <c r="C866" t="inlineStr">
        <is>
          <t>Nuvei</t>
        </is>
      </c>
      <c r="D866" t="inlineStr">
        <is>
          <t>EUR</t>
        </is>
      </c>
      <c r="E866" s="9" t="n">
        <v>422631.1</v>
      </c>
      <c r="F866" s="9" t="n">
        <v>415461.24</v>
      </c>
      <c r="G866" s="9" t="n">
        <v>-415457.74</v>
      </c>
      <c r="H866" s="9">
        <f>IF(D866="USD",E866*$L$1,E866)</f>
        <v/>
      </c>
      <c r="I866" s="9">
        <f>IF(D866="USD",F866*$L$1,F866)</f>
        <v/>
      </c>
      <c r="J866" s="9">
        <f>IF(D866="USD",G866*$L$1,G866)</f>
        <v/>
      </c>
    </row>
    <row r="867">
      <c r="A867" s="8" t="n">
        <v>46171</v>
      </c>
      <c r="B867" t="inlineStr">
        <is>
          <t>2026-W22</t>
        </is>
      </c>
      <c r="C867" t="inlineStr">
        <is>
          <t>Nuvei</t>
        </is>
      </c>
      <c r="D867" t="inlineStr">
        <is>
          <t>EUR</t>
        </is>
      </c>
      <c r="E867" s="9" t="n">
        <v>152980.49</v>
      </c>
      <c r="F867" s="9" t="n">
        <v>148815.65</v>
      </c>
      <c r="G867" s="9" t="n">
        <v>-148802.15</v>
      </c>
      <c r="H867" s="9">
        <f>IF(D867="USD",E867*$L$1,E867)</f>
        <v/>
      </c>
      <c r="I867" s="9">
        <f>IF(D867="USD",F867*$L$1,F867)</f>
        <v/>
      </c>
      <c r="J867" s="9">
        <f>IF(D867="USD",G867*$L$1,G867)</f>
        <v/>
      </c>
    </row>
    <row r="868">
      <c r="A868" s="8" t="n">
        <v>46171</v>
      </c>
      <c r="B868" t="inlineStr">
        <is>
          <t>2026-W22</t>
        </is>
      </c>
      <c r="C868" t="inlineStr">
        <is>
          <t>Shift4</t>
        </is>
      </c>
      <c r="D868" t="inlineStr">
        <is>
          <t>EUR</t>
        </is>
      </c>
      <c r="E868" s="9" t="n">
        <v>557581.6899999999</v>
      </c>
      <c r="F868" s="9" t="n">
        <v>551901.96</v>
      </c>
      <c r="G868" s="9" t="n">
        <v>-574405.4399999999</v>
      </c>
      <c r="H868" s="9">
        <f>IF(D868="USD",E868*$L$1,E868)</f>
        <v/>
      </c>
      <c r="I868" s="9">
        <f>IF(D868="USD",F868*$L$1,F868)</f>
        <v/>
      </c>
      <c r="J868" s="9">
        <f>IF(D868="USD",G868*$L$1,G868)</f>
        <v/>
      </c>
    </row>
    <row r="869">
      <c r="A869" s="8" t="n">
        <v>46172</v>
      </c>
      <c r="B869" t="inlineStr">
        <is>
          <t>2026-W22</t>
        </is>
      </c>
      <c r="C869" t="inlineStr">
        <is>
          <t>Adyen</t>
        </is>
      </c>
      <c r="D869" t="inlineStr">
        <is>
          <t>EUR</t>
        </is>
      </c>
      <c r="E869" s="9" t="n">
        <v>440253.71</v>
      </c>
      <c r="F869" s="9" t="n">
        <v>0</v>
      </c>
      <c r="G869" s="9" t="n">
        <v>0</v>
      </c>
      <c r="H869" s="9">
        <f>IF(D869="USD",E869*$L$1,E869)</f>
        <v/>
      </c>
      <c r="I869" s="9">
        <f>IF(D869="USD",F869*$L$1,F869)</f>
        <v/>
      </c>
      <c r="J869" s="9">
        <f>IF(D869="USD",G869*$L$1,G869)</f>
        <v/>
      </c>
    </row>
    <row r="870">
      <c r="A870" s="8" t="n">
        <v>46172</v>
      </c>
      <c r="B870" t="inlineStr">
        <is>
          <t>2026-W22</t>
        </is>
      </c>
      <c r="C870" t="inlineStr">
        <is>
          <t>Adyen</t>
        </is>
      </c>
      <c r="D870" t="inlineStr">
        <is>
          <t>EUR</t>
        </is>
      </c>
      <c r="E870" s="9" t="n">
        <v>45116.56</v>
      </c>
      <c r="F870" s="9" t="n">
        <v>0</v>
      </c>
      <c r="G870" s="9" t="n">
        <v>0</v>
      </c>
      <c r="H870" s="9">
        <f>IF(D870="USD",E870*$L$1,E870)</f>
        <v/>
      </c>
      <c r="I870" s="9">
        <f>IF(D870="USD",F870*$L$1,F870)</f>
        <v/>
      </c>
      <c r="J870" s="9">
        <f>IF(D870="USD",G870*$L$1,G870)</f>
        <v/>
      </c>
    </row>
    <row r="871">
      <c r="A871" s="8" t="n">
        <v>46172</v>
      </c>
      <c r="B871" t="inlineStr">
        <is>
          <t>2026-W22</t>
        </is>
      </c>
      <c r="C871" t="inlineStr">
        <is>
          <t>Nuvei</t>
        </is>
      </c>
      <c r="D871" t="inlineStr">
        <is>
          <t>EUR</t>
        </is>
      </c>
      <c r="E871" s="9" t="n">
        <v>354213.19</v>
      </c>
      <c r="F871" s="9" t="n">
        <v>348341.99</v>
      </c>
      <c r="G871" s="9" t="n">
        <v>0</v>
      </c>
      <c r="H871" s="9">
        <f>IF(D871="USD",E871*$L$1,E871)</f>
        <v/>
      </c>
      <c r="I871" s="9">
        <f>IF(D871="USD",F871*$L$1,F871)</f>
        <v/>
      </c>
      <c r="J871" s="9">
        <f>IF(D871="USD",G871*$L$1,G871)</f>
        <v/>
      </c>
    </row>
    <row r="872">
      <c r="A872" s="8" t="n">
        <v>46172</v>
      </c>
      <c r="B872" t="inlineStr">
        <is>
          <t>2026-W22</t>
        </is>
      </c>
      <c r="C872" t="inlineStr">
        <is>
          <t>Nuvei</t>
        </is>
      </c>
      <c r="D872" t="inlineStr">
        <is>
          <t>EUR</t>
        </is>
      </c>
      <c r="E872" s="9" t="n">
        <v>144883.89</v>
      </c>
      <c r="F872" s="9" t="n">
        <v>140694.9</v>
      </c>
      <c r="G872" s="9" t="n">
        <v>0</v>
      </c>
      <c r="H872" s="9">
        <f>IF(D872="USD",E872*$L$1,E872)</f>
        <v/>
      </c>
      <c r="I872" s="9">
        <f>IF(D872="USD",F872*$L$1,F872)</f>
        <v/>
      </c>
      <c r="J872" s="9">
        <f>IF(D872="USD",G872*$L$1,G872)</f>
        <v/>
      </c>
    </row>
    <row r="873">
      <c r="A873" s="8" t="n">
        <v>46172</v>
      </c>
      <c r="B873" t="inlineStr">
        <is>
          <t>2026-W22</t>
        </is>
      </c>
      <c r="C873" t="inlineStr">
        <is>
          <t>Shift4</t>
        </is>
      </c>
      <c r="D873" t="inlineStr">
        <is>
          <t>EUR</t>
        </is>
      </c>
      <c r="E873" s="9" t="n">
        <v>481298.3</v>
      </c>
      <c r="F873" s="9" t="n">
        <v>476842.02</v>
      </c>
      <c r="G873" s="9" t="n">
        <v>0</v>
      </c>
      <c r="H873" s="9">
        <f>IF(D873="USD",E873*$L$1,E873)</f>
        <v/>
      </c>
      <c r="I873" s="9">
        <f>IF(D873="USD",F873*$L$1,F873)</f>
        <v/>
      </c>
      <c r="J873" s="9">
        <f>IF(D873="USD",G873*$L$1,G873)</f>
        <v/>
      </c>
    </row>
    <row r="874">
      <c r="A874" s="8" t="n">
        <v>46173</v>
      </c>
      <c r="B874" t="inlineStr">
        <is>
          <t>2026-W22</t>
        </is>
      </c>
      <c r="C874" t="inlineStr">
        <is>
          <t>Adyen</t>
        </is>
      </c>
      <c r="D874" t="inlineStr">
        <is>
          <t>EUR</t>
        </is>
      </c>
      <c r="E874" s="9" t="n">
        <v>488612.55</v>
      </c>
      <c r="F874" s="9" t="n">
        <v>0</v>
      </c>
      <c r="G874" s="9" t="n">
        <v>0</v>
      </c>
      <c r="H874" s="9">
        <f>IF(D874="USD",E874*$L$1,E874)</f>
        <v/>
      </c>
      <c r="I874" s="9">
        <f>IF(D874="USD",F874*$L$1,F874)</f>
        <v/>
      </c>
      <c r="J874" s="9">
        <f>IF(D874="USD",G874*$L$1,G874)</f>
        <v/>
      </c>
    </row>
    <row r="875">
      <c r="A875" s="8" t="n">
        <v>46173</v>
      </c>
      <c r="B875" t="inlineStr">
        <is>
          <t>2026-W22</t>
        </is>
      </c>
      <c r="C875" t="inlineStr">
        <is>
          <t>Adyen</t>
        </is>
      </c>
      <c r="D875" t="inlineStr">
        <is>
          <t>EUR</t>
        </is>
      </c>
      <c r="E875" s="9" t="n">
        <v>40860.31</v>
      </c>
      <c r="F875" s="9" t="n">
        <v>0</v>
      </c>
      <c r="G875" s="9" t="n">
        <v>0</v>
      </c>
      <c r="H875" s="9">
        <f>IF(D875="USD",E875*$L$1,E875)</f>
        <v/>
      </c>
      <c r="I875" s="9">
        <f>IF(D875="USD",F875*$L$1,F875)</f>
        <v/>
      </c>
      <c r="J875" s="9">
        <f>IF(D875="USD",G875*$L$1,G875)</f>
        <v/>
      </c>
    </row>
    <row r="876">
      <c r="A876" s="8" t="n">
        <v>46173</v>
      </c>
      <c r="B876" t="inlineStr">
        <is>
          <t>2026-W22</t>
        </is>
      </c>
      <c r="C876" t="inlineStr">
        <is>
          <t>Nuvei</t>
        </is>
      </c>
      <c r="D876" t="inlineStr">
        <is>
          <t>EUR</t>
        </is>
      </c>
      <c r="E876" s="9" t="n">
        <v>351195.22</v>
      </c>
      <c r="F876" s="9" t="n">
        <v>345677.83</v>
      </c>
      <c r="G876" s="9" t="n">
        <v>0</v>
      </c>
      <c r="H876" s="9">
        <f>IF(D876="USD",E876*$L$1,E876)</f>
        <v/>
      </c>
      <c r="I876" s="9">
        <f>IF(D876="USD",F876*$L$1,F876)</f>
        <v/>
      </c>
      <c r="J876" s="9">
        <f>IF(D876="USD",G876*$L$1,G876)</f>
        <v/>
      </c>
    </row>
    <row r="877">
      <c r="A877" s="8" t="n">
        <v>46173</v>
      </c>
      <c r="B877" t="inlineStr">
        <is>
          <t>2026-W22</t>
        </is>
      </c>
      <c r="C877" t="inlineStr">
        <is>
          <t>Nuvei</t>
        </is>
      </c>
      <c r="D877" t="inlineStr">
        <is>
          <t>EUR</t>
        </is>
      </c>
      <c r="E877" s="9" t="n">
        <v>137013.77</v>
      </c>
      <c r="F877" s="9" t="n">
        <v>133147.56</v>
      </c>
      <c r="G877" s="9" t="n">
        <v>0</v>
      </c>
      <c r="H877" s="9">
        <f>IF(D877="USD",E877*$L$1,E877)</f>
        <v/>
      </c>
      <c r="I877" s="9">
        <f>IF(D877="USD",F877*$L$1,F877)</f>
        <v/>
      </c>
      <c r="J877" s="9">
        <f>IF(D877="USD",G877*$L$1,G877)</f>
        <v/>
      </c>
    </row>
    <row r="878">
      <c r="A878" s="8" t="n">
        <v>46173</v>
      </c>
      <c r="B878" t="inlineStr">
        <is>
          <t>2026-W22</t>
        </is>
      </c>
      <c r="C878" t="inlineStr">
        <is>
          <t>Shift4</t>
        </is>
      </c>
      <c r="D878" t="inlineStr">
        <is>
          <t>EUR</t>
        </is>
      </c>
      <c r="E878" s="9" t="n">
        <v>652651.75</v>
      </c>
      <c r="F878" s="9" t="n">
        <v>646798.92</v>
      </c>
      <c r="G878" s="9" t="n">
        <v>0</v>
      </c>
      <c r="H878" s="9">
        <f>IF(D878="USD",E878*$L$1,E878)</f>
        <v/>
      </c>
      <c r="I878" s="9">
        <f>IF(D878="USD",F878*$L$1,F878)</f>
        <v/>
      </c>
      <c r="J878" s="9">
        <f>IF(D878="USD",G878*$L$1,G878)</f>
        <v/>
      </c>
    </row>
    <row r="879">
      <c r="A879" s="8" t="n">
        <v>46174</v>
      </c>
      <c r="B879" t="inlineStr">
        <is>
          <t>2026-W23</t>
        </is>
      </c>
      <c r="C879" t="inlineStr">
        <is>
          <t>Adyen</t>
        </is>
      </c>
      <c r="D879" t="inlineStr">
        <is>
          <t>EUR</t>
        </is>
      </c>
      <c r="E879" s="9" t="n">
        <v>794909.08</v>
      </c>
      <c r="F879" s="9" t="n">
        <v>0</v>
      </c>
      <c r="G879" s="9" t="n">
        <v>1612698.39</v>
      </c>
      <c r="H879" s="9">
        <f>IF(D879="USD",E879*$L$1,E879)</f>
        <v/>
      </c>
      <c r="I879" s="9">
        <f>IF(D879="USD",F879*$L$1,F879)</f>
        <v/>
      </c>
      <c r="J879" s="9">
        <f>IF(D879="USD",G879*$L$1,G879)</f>
        <v/>
      </c>
    </row>
    <row r="880">
      <c r="A880" s="8" t="n">
        <v>46174</v>
      </c>
      <c r="B880" t="inlineStr">
        <is>
          <t>2026-W23</t>
        </is>
      </c>
      <c r="C880" t="inlineStr">
        <is>
          <t>Adyen</t>
        </is>
      </c>
      <c r="D880" t="inlineStr">
        <is>
          <t>EUR</t>
        </is>
      </c>
      <c r="E880" s="9" t="n">
        <v>85218.50999999999</v>
      </c>
      <c r="F880" s="9" t="n">
        <v>0</v>
      </c>
      <c r="G880" s="9" t="n">
        <v>0</v>
      </c>
      <c r="H880" s="9">
        <f>IF(D880="USD",E880*$L$1,E880)</f>
        <v/>
      </c>
      <c r="I880" s="9">
        <f>IF(D880="USD",F880*$L$1,F880)</f>
        <v/>
      </c>
      <c r="J880" s="9">
        <f>IF(D880="USD",G880*$L$1,G880)</f>
        <v/>
      </c>
    </row>
    <row r="881">
      <c r="A881" s="8" t="n">
        <v>46174</v>
      </c>
      <c r="B881" t="inlineStr">
        <is>
          <t>2026-W23</t>
        </is>
      </c>
      <c r="C881" t="inlineStr">
        <is>
          <t>Nuvei</t>
        </is>
      </c>
      <c r="D881" t="inlineStr">
        <is>
          <t>EUR</t>
        </is>
      </c>
      <c r="E881" s="9" t="n">
        <v>432389.87</v>
      </c>
      <c r="F881" s="9" t="n">
        <v>424225.27</v>
      </c>
      <c r="G881" s="9" t="n">
        <v>-1118040.75</v>
      </c>
      <c r="H881" s="9">
        <f>IF(D881="USD",E881*$L$1,E881)</f>
        <v/>
      </c>
      <c r="I881" s="9">
        <f>IF(D881="USD",F881*$L$1,F881)</f>
        <v/>
      </c>
      <c r="J881" s="9">
        <f>IF(D881="USD",G881*$L$1,G881)</f>
        <v/>
      </c>
    </row>
    <row r="882">
      <c r="A882" s="8" t="n">
        <v>46174</v>
      </c>
      <c r="B882" t="inlineStr">
        <is>
          <t>2026-W23</t>
        </is>
      </c>
      <c r="C882" t="inlineStr">
        <is>
          <t>Nuvei</t>
        </is>
      </c>
      <c r="D882" t="inlineStr">
        <is>
          <t>EUR</t>
        </is>
      </c>
      <c r="E882" s="9" t="n">
        <v>158175.25</v>
      </c>
      <c r="F882" s="9" t="n">
        <v>153197</v>
      </c>
      <c r="G882" s="9" t="n">
        <v>-427035.98</v>
      </c>
      <c r="H882" s="9">
        <f>IF(D882="USD",E882*$L$1,E882)</f>
        <v/>
      </c>
      <c r="I882" s="9">
        <f>IF(D882="USD",F882*$L$1,F882)</f>
        <v/>
      </c>
      <c r="J882" s="9">
        <f>IF(D882="USD",G882*$L$1,G882)</f>
        <v/>
      </c>
    </row>
    <row r="883">
      <c r="A883" s="8" t="n">
        <v>46174</v>
      </c>
      <c r="B883" t="inlineStr">
        <is>
          <t>2026-W23</t>
        </is>
      </c>
      <c r="C883" t="inlineStr">
        <is>
          <t>Shift4</t>
        </is>
      </c>
      <c r="D883" t="inlineStr">
        <is>
          <t>EUR</t>
        </is>
      </c>
      <c r="E883" s="9" t="n">
        <v>666746.92</v>
      </c>
      <c r="F883" s="9" t="n">
        <v>659704.89</v>
      </c>
      <c r="G883" s="9" t="n">
        <v>-1783345.83</v>
      </c>
      <c r="H883" s="9">
        <f>IF(D883="USD",E883*$L$1,E883)</f>
        <v/>
      </c>
      <c r="I883" s="9">
        <f>IF(D883="USD",F883*$L$1,F883)</f>
        <v/>
      </c>
      <c r="J883" s="9">
        <f>IF(D883="USD",G883*$L$1,G883)</f>
        <v/>
      </c>
    </row>
    <row r="884">
      <c r="A884" s="8" t="n">
        <v>46175</v>
      </c>
      <c r="B884" t="inlineStr">
        <is>
          <t>2026-W23</t>
        </is>
      </c>
      <c r="C884" t="inlineStr">
        <is>
          <t>Adyen</t>
        </is>
      </c>
      <c r="D884" t="inlineStr">
        <is>
          <t>EUR</t>
        </is>
      </c>
      <c r="E884" s="9" t="n">
        <v>792126.73</v>
      </c>
      <c r="F884" s="9" t="n">
        <v>0</v>
      </c>
      <c r="G884" s="9" t="n">
        <v>121000.03</v>
      </c>
      <c r="H884" s="9">
        <f>IF(D884="USD",E884*$L$1,E884)</f>
        <v/>
      </c>
      <c r="I884" s="9">
        <f>IF(D884="USD",F884*$L$1,F884)</f>
        <v/>
      </c>
      <c r="J884" s="9">
        <f>IF(D884="USD",G884*$L$1,G884)</f>
        <v/>
      </c>
    </row>
    <row r="885">
      <c r="A885" s="8" t="n">
        <v>46175</v>
      </c>
      <c r="B885" t="inlineStr">
        <is>
          <t>2026-W23</t>
        </is>
      </c>
      <c r="C885" t="inlineStr">
        <is>
          <t>Adyen</t>
        </is>
      </c>
      <c r="D885" t="inlineStr">
        <is>
          <t>EUR</t>
        </is>
      </c>
      <c r="E885" s="9" t="n">
        <v>89765.14999999999</v>
      </c>
      <c r="F885" s="9" t="n">
        <v>0</v>
      </c>
      <c r="G885" s="9" t="n">
        <v>0</v>
      </c>
      <c r="H885" s="9">
        <f>IF(D885="USD",E885*$L$1,E885)</f>
        <v/>
      </c>
      <c r="I885" s="9">
        <f>IF(D885="USD",F885*$L$1,F885)</f>
        <v/>
      </c>
      <c r="J885" s="9">
        <f>IF(D885="USD",G885*$L$1,G885)</f>
        <v/>
      </c>
    </row>
    <row r="886">
      <c r="A886" s="8" t="n">
        <v>46175</v>
      </c>
      <c r="B886" t="inlineStr">
        <is>
          <t>2026-W23</t>
        </is>
      </c>
      <c r="C886" t="inlineStr">
        <is>
          <t>Nuvei</t>
        </is>
      </c>
      <c r="D886" t="inlineStr">
        <is>
          <t>EUR</t>
        </is>
      </c>
      <c r="E886" s="9" t="n">
        <v>418559.35</v>
      </c>
      <c r="F886" s="9" t="n">
        <v>410080.68</v>
      </c>
      <c r="G886" s="9" t="n">
        <v>-409946.62</v>
      </c>
      <c r="H886" s="9">
        <f>IF(D886="USD",E886*$L$1,E886)</f>
        <v/>
      </c>
      <c r="I886" s="9">
        <f>IF(D886="USD",F886*$L$1,F886)</f>
        <v/>
      </c>
      <c r="J886" s="9">
        <f>IF(D886="USD",G886*$L$1,G886)</f>
        <v/>
      </c>
    </row>
    <row r="887">
      <c r="A887" s="8" t="n">
        <v>46175</v>
      </c>
      <c r="B887" t="inlineStr">
        <is>
          <t>2026-W23</t>
        </is>
      </c>
      <c r="C887" t="inlineStr">
        <is>
          <t>Nuvei</t>
        </is>
      </c>
      <c r="D887" t="inlineStr">
        <is>
          <t>EUR</t>
        </is>
      </c>
      <c r="E887" s="9" t="n">
        <v>172740.81</v>
      </c>
      <c r="F887" s="9" t="n">
        <v>167768.95</v>
      </c>
      <c r="G887" s="9" t="n">
        <v>-167765.45</v>
      </c>
      <c r="H887" s="9">
        <f>IF(D887="USD",E887*$L$1,E887)</f>
        <v/>
      </c>
      <c r="I887" s="9">
        <f>IF(D887="USD",F887*$L$1,F887)</f>
        <v/>
      </c>
      <c r="J887" s="9">
        <f>IF(D887="USD",G887*$L$1,G887)</f>
        <v/>
      </c>
    </row>
    <row r="888">
      <c r="A888" s="8" t="n">
        <v>46175</v>
      </c>
      <c r="B888" t="inlineStr">
        <is>
          <t>2026-W23</t>
        </is>
      </c>
      <c r="C888" t="inlineStr">
        <is>
          <t>Shift4</t>
        </is>
      </c>
      <c r="D888" t="inlineStr">
        <is>
          <t>EUR</t>
        </is>
      </c>
      <c r="E888" s="9" t="n">
        <v>683054.24</v>
      </c>
      <c r="F888" s="9" t="n">
        <v>675881.02</v>
      </c>
      <c r="G888" s="9" t="n">
        <v>-675881.02</v>
      </c>
      <c r="H888" s="9">
        <f>IF(D888="USD",E888*$L$1,E888)</f>
        <v/>
      </c>
      <c r="I888" s="9">
        <f>IF(D888="USD",F888*$L$1,F888)</f>
        <v/>
      </c>
      <c r="J888" s="9">
        <f>IF(D888="USD",G888*$L$1,G888)</f>
        <v/>
      </c>
    </row>
    <row r="889">
      <c r="A889" s="8" t="n">
        <v>46176</v>
      </c>
      <c r="B889" t="inlineStr">
        <is>
          <t>2026-W23</t>
        </is>
      </c>
      <c r="C889" t="inlineStr">
        <is>
          <t>Adyen</t>
        </is>
      </c>
      <c r="D889" t="inlineStr">
        <is>
          <t>EUR</t>
        </is>
      </c>
      <c r="E889" s="9" t="n">
        <v>809129.64</v>
      </c>
      <c r="F889" s="9" t="n">
        <v>0</v>
      </c>
      <c r="G889" s="9" t="n">
        <v>923691.27</v>
      </c>
      <c r="H889" s="9">
        <f>IF(D889="USD",E889*$L$1,E889)</f>
        <v/>
      </c>
      <c r="I889" s="9">
        <f>IF(D889="USD",F889*$L$1,F889)</f>
        <v/>
      </c>
      <c r="J889" s="9">
        <f>IF(D889="USD",G889*$L$1,G889)</f>
        <v/>
      </c>
    </row>
    <row r="890">
      <c r="A890" s="8" t="n">
        <v>46176</v>
      </c>
      <c r="B890" t="inlineStr">
        <is>
          <t>2026-W23</t>
        </is>
      </c>
      <c r="C890" t="inlineStr">
        <is>
          <t>Adyen</t>
        </is>
      </c>
      <c r="D890" t="inlineStr">
        <is>
          <t>EUR</t>
        </is>
      </c>
      <c r="E890" s="9" t="n">
        <v>87741.39999999999</v>
      </c>
      <c r="F890" s="9" t="n">
        <v>0</v>
      </c>
      <c r="G890" s="9" t="n">
        <v>0</v>
      </c>
      <c r="H890" s="9">
        <f>IF(D890="USD",E890*$L$1,E890)</f>
        <v/>
      </c>
      <c r="I890" s="9">
        <f>IF(D890="USD",F890*$L$1,F890)</f>
        <v/>
      </c>
      <c r="J890" s="9">
        <f>IF(D890="USD",G890*$L$1,G890)</f>
        <v/>
      </c>
    </row>
    <row r="891">
      <c r="A891" s="8" t="n">
        <v>46176</v>
      </c>
      <c r="B891" t="inlineStr">
        <is>
          <t>2026-W23</t>
        </is>
      </c>
      <c r="C891" t="inlineStr">
        <is>
          <t>Nuvei</t>
        </is>
      </c>
      <c r="D891" t="inlineStr">
        <is>
          <t>EUR</t>
        </is>
      </c>
      <c r="E891" s="9" t="n">
        <v>481122.39</v>
      </c>
      <c r="F891" s="9" t="n">
        <v>472716.84</v>
      </c>
      <c r="G891" s="9" t="n">
        <v>-472713.33</v>
      </c>
      <c r="H891" s="9">
        <f>IF(D891="USD",E891*$L$1,E891)</f>
        <v/>
      </c>
      <c r="I891" s="9">
        <f>IF(D891="USD",F891*$L$1,F891)</f>
        <v/>
      </c>
      <c r="J891" s="9">
        <f>IF(D891="USD",G891*$L$1,G891)</f>
        <v/>
      </c>
    </row>
    <row r="892">
      <c r="A892" s="8" t="n">
        <v>46176</v>
      </c>
      <c r="B892" t="inlineStr">
        <is>
          <t>2026-W23</t>
        </is>
      </c>
      <c r="C892" t="inlineStr">
        <is>
          <t>Nuvei</t>
        </is>
      </c>
      <c r="D892" t="inlineStr">
        <is>
          <t>EUR</t>
        </is>
      </c>
      <c r="E892" s="9" t="n">
        <v>174812.13</v>
      </c>
      <c r="F892" s="9" t="n">
        <v>169939.54</v>
      </c>
      <c r="G892" s="9" t="n">
        <v>-169936.04</v>
      </c>
      <c r="H892" s="9">
        <f>IF(D892="USD",E892*$L$1,E892)</f>
        <v/>
      </c>
      <c r="I892" s="9">
        <f>IF(D892="USD",F892*$L$1,F892)</f>
        <v/>
      </c>
      <c r="J892" s="9">
        <f>IF(D892="USD",G892*$L$1,G892)</f>
        <v/>
      </c>
    </row>
    <row r="893">
      <c r="A893" s="8" t="n">
        <v>46176</v>
      </c>
      <c r="B893" t="inlineStr">
        <is>
          <t>2026-W23</t>
        </is>
      </c>
      <c r="C893" t="inlineStr">
        <is>
          <t>Shift4</t>
        </is>
      </c>
      <c r="D893" t="inlineStr">
        <is>
          <t>EUR</t>
        </is>
      </c>
      <c r="E893" s="9" t="n">
        <v>658519.6899999999</v>
      </c>
      <c r="F893" s="9" t="n">
        <v>651691.4099999999</v>
      </c>
      <c r="G893" s="9" t="n">
        <v>-651691.41</v>
      </c>
      <c r="H893" s="9">
        <f>IF(D893="USD",E893*$L$1,E893)</f>
        <v/>
      </c>
      <c r="I893" s="9">
        <f>IF(D893="USD",F893*$L$1,F893)</f>
        <v/>
      </c>
      <c r="J893" s="9">
        <f>IF(D893="USD",G893*$L$1,G893)</f>
        <v/>
      </c>
    </row>
    <row r="894">
      <c r="A894" s="8" t="n">
        <v>46177</v>
      </c>
      <c r="B894" t="inlineStr">
        <is>
          <t>2026-W23</t>
        </is>
      </c>
      <c r="C894" t="inlineStr">
        <is>
          <t>Adyen</t>
        </is>
      </c>
      <c r="D894" t="inlineStr">
        <is>
          <t>EUR</t>
        </is>
      </c>
      <c r="E894" s="9" t="n">
        <v>773080.1</v>
      </c>
      <c r="F894" s="9" t="n">
        <v>0</v>
      </c>
      <c r="G894" s="9" t="n">
        <v>1654999.07</v>
      </c>
      <c r="H894" s="9">
        <f>IF(D894="USD",E894*$L$1,E894)</f>
        <v/>
      </c>
      <c r="I894" s="9">
        <f>IF(D894="USD",F894*$L$1,F894)</f>
        <v/>
      </c>
      <c r="J894" s="9">
        <f>IF(D894="USD",G894*$L$1,G894)</f>
        <v/>
      </c>
    </row>
    <row r="895">
      <c r="A895" s="8" t="n">
        <v>46177</v>
      </c>
      <c r="B895" t="inlineStr">
        <is>
          <t>2026-W23</t>
        </is>
      </c>
      <c r="C895" t="inlineStr">
        <is>
          <t>Adyen</t>
        </is>
      </c>
      <c r="D895" t="inlineStr">
        <is>
          <t>EUR</t>
        </is>
      </c>
      <c r="E895" s="9" t="n">
        <v>83859.14999999999</v>
      </c>
      <c r="F895" s="9" t="n">
        <v>0</v>
      </c>
      <c r="G895" s="9" t="n">
        <v>0</v>
      </c>
      <c r="H895" s="9">
        <f>IF(D895="USD",E895*$L$1,E895)</f>
        <v/>
      </c>
      <c r="I895" s="9">
        <f>IF(D895="USD",F895*$L$1,F895)</f>
        <v/>
      </c>
      <c r="J895" s="9">
        <f>IF(D895="USD",G895*$L$1,G895)</f>
        <v/>
      </c>
    </row>
    <row r="896">
      <c r="A896" s="8" t="n">
        <v>46177</v>
      </c>
      <c r="B896" t="inlineStr">
        <is>
          <t>2026-W23</t>
        </is>
      </c>
      <c r="C896" t="inlineStr">
        <is>
          <t>Nuvei</t>
        </is>
      </c>
      <c r="D896" t="inlineStr">
        <is>
          <t>EUR</t>
        </is>
      </c>
      <c r="E896" s="9" t="n">
        <v>508482.75</v>
      </c>
      <c r="F896" s="9" t="n">
        <v>499816.9</v>
      </c>
      <c r="G896" s="9" t="n">
        <v>-499743.09</v>
      </c>
      <c r="H896" s="9">
        <f>IF(D896="USD",E896*$L$1,E896)</f>
        <v/>
      </c>
      <c r="I896" s="9">
        <f>IF(D896="USD",F896*$L$1,F896)</f>
        <v/>
      </c>
      <c r="J896" s="9">
        <f>IF(D896="USD",G896*$L$1,G896)</f>
        <v/>
      </c>
    </row>
    <row r="897">
      <c r="A897" s="8" t="n">
        <v>46177</v>
      </c>
      <c r="B897" t="inlineStr">
        <is>
          <t>2026-W23</t>
        </is>
      </c>
      <c r="C897" t="inlineStr">
        <is>
          <t>Nuvei</t>
        </is>
      </c>
      <c r="D897" t="inlineStr">
        <is>
          <t>EUR</t>
        </is>
      </c>
      <c r="E897" s="9" t="n">
        <v>140606.65</v>
      </c>
      <c r="F897" s="9" t="n">
        <v>136667.64</v>
      </c>
      <c r="G897" s="9" t="n">
        <v>-136664.04</v>
      </c>
      <c r="H897" s="9">
        <f>IF(D897="USD",E897*$L$1,E897)</f>
        <v/>
      </c>
      <c r="I897" s="9">
        <f>IF(D897="USD",F897*$L$1,F897)</f>
        <v/>
      </c>
      <c r="J897" s="9">
        <f>IF(D897="USD",G897*$L$1,G897)</f>
        <v/>
      </c>
    </row>
    <row r="898">
      <c r="A898" s="8" t="n">
        <v>46177</v>
      </c>
      <c r="B898" t="inlineStr">
        <is>
          <t>2026-W23</t>
        </is>
      </c>
      <c r="C898" t="inlineStr">
        <is>
          <t>Shift4</t>
        </is>
      </c>
      <c r="D898" t="inlineStr">
        <is>
          <t>EUR</t>
        </is>
      </c>
      <c r="E898" s="9" t="n">
        <v>631135.95</v>
      </c>
      <c r="F898" s="9" t="n">
        <v>624301.2999999999</v>
      </c>
      <c r="G898" s="9" t="n">
        <v>-624301.3100000001</v>
      </c>
      <c r="H898" s="9">
        <f>IF(D898="USD",E898*$L$1,E898)</f>
        <v/>
      </c>
      <c r="I898" s="9">
        <f>IF(D898="USD",F898*$L$1,F898)</f>
        <v/>
      </c>
      <c r="J898" s="9">
        <f>IF(D898="USD",G898*$L$1,G898)</f>
        <v/>
      </c>
    </row>
    <row r="899">
      <c r="A899" s="8" t="n">
        <v>46178</v>
      </c>
      <c r="B899" t="inlineStr">
        <is>
          <t>2026-W23</t>
        </is>
      </c>
      <c r="C899" t="inlineStr">
        <is>
          <t>Adyen</t>
        </is>
      </c>
      <c r="D899" t="inlineStr">
        <is>
          <t>EUR</t>
        </is>
      </c>
      <c r="E899" s="9" t="n">
        <v>711565.8</v>
      </c>
      <c r="F899" s="9" t="n">
        <v>0</v>
      </c>
      <c r="G899" s="9" t="n">
        <v>1903901.88</v>
      </c>
      <c r="H899" s="9">
        <f>IF(D899="USD",E899*$L$1,E899)</f>
        <v/>
      </c>
      <c r="I899" s="9">
        <f>IF(D899="USD",F899*$L$1,F899)</f>
        <v/>
      </c>
      <c r="J899" s="9">
        <f>IF(D899="USD",G899*$L$1,G899)</f>
        <v/>
      </c>
    </row>
    <row r="900">
      <c r="A900" s="8" t="n">
        <v>46178</v>
      </c>
      <c r="B900" t="inlineStr">
        <is>
          <t>2026-W23</t>
        </is>
      </c>
      <c r="C900" t="inlineStr">
        <is>
          <t>Adyen</t>
        </is>
      </c>
      <c r="D900" t="inlineStr">
        <is>
          <t>EUR</t>
        </is>
      </c>
      <c r="E900" s="9" t="n">
        <v>70550.48</v>
      </c>
      <c r="F900" s="9" t="n">
        <v>0</v>
      </c>
      <c r="G900" s="9" t="n">
        <v>0</v>
      </c>
      <c r="H900" s="9">
        <f>IF(D900="USD",E900*$L$1,E900)</f>
        <v/>
      </c>
      <c r="I900" s="9">
        <f>IF(D900="USD",F900*$L$1,F900)</f>
        <v/>
      </c>
      <c r="J900" s="9">
        <f>IF(D900="USD",G900*$L$1,G900)</f>
        <v/>
      </c>
    </row>
    <row r="901">
      <c r="A901" s="8" t="n">
        <v>46178</v>
      </c>
      <c r="B901" t="inlineStr">
        <is>
          <t>2026-W23</t>
        </is>
      </c>
      <c r="C901" t="inlineStr">
        <is>
          <t>Nuvei</t>
        </is>
      </c>
      <c r="D901" t="inlineStr">
        <is>
          <t>EUR</t>
        </is>
      </c>
      <c r="E901" s="9" t="n">
        <v>430383.64</v>
      </c>
      <c r="F901" s="9" t="n">
        <v>422858.15</v>
      </c>
      <c r="G901" s="9" t="n">
        <v>-422854.65</v>
      </c>
      <c r="H901" s="9">
        <f>IF(D901="USD",E901*$L$1,E901)</f>
        <v/>
      </c>
      <c r="I901" s="9">
        <f>IF(D901="USD",F901*$L$1,F901)</f>
        <v/>
      </c>
      <c r="J901" s="9">
        <f>IF(D901="USD",G901*$L$1,G901)</f>
        <v/>
      </c>
    </row>
    <row r="902">
      <c r="A902" s="8" t="n">
        <v>46178</v>
      </c>
      <c r="B902" t="inlineStr">
        <is>
          <t>2026-W23</t>
        </is>
      </c>
      <c r="C902" t="inlineStr">
        <is>
          <t>Nuvei</t>
        </is>
      </c>
      <c r="D902" t="inlineStr">
        <is>
          <t>EUR</t>
        </is>
      </c>
      <c r="E902" s="9" t="n">
        <v>131345.66</v>
      </c>
      <c r="F902" s="9" t="n">
        <v>127669.54</v>
      </c>
      <c r="G902" s="9" t="n">
        <v>-127666.04</v>
      </c>
      <c r="H902" s="9">
        <f>IF(D902="USD",E902*$L$1,E902)</f>
        <v/>
      </c>
      <c r="I902" s="9">
        <f>IF(D902="USD",F902*$L$1,F902)</f>
        <v/>
      </c>
      <c r="J902" s="9">
        <f>IF(D902="USD",G902*$L$1,G902)</f>
        <v/>
      </c>
    </row>
    <row r="903">
      <c r="A903" s="8" t="n">
        <v>46178</v>
      </c>
      <c r="B903" t="inlineStr">
        <is>
          <t>2026-W23</t>
        </is>
      </c>
      <c r="C903" t="inlineStr">
        <is>
          <t>Nuvei</t>
        </is>
      </c>
      <c r="D903" t="inlineStr">
        <is>
          <t>EUR</t>
        </is>
      </c>
      <c r="E903" s="9" t="n">
        <v>39586.51</v>
      </c>
      <c r="F903" s="9" t="n">
        <v>38564.84</v>
      </c>
      <c r="G903" s="9" t="n">
        <v>0</v>
      </c>
      <c r="H903" s="9">
        <f>IF(D903="USD",E903*$L$1,E903)</f>
        <v/>
      </c>
      <c r="I903" s="9">
        <f>IF(D903="USD",F903*$L$1,F903)</f>
        <v/>
      </c>
      <c r="J903" s="9">
        <f>IF(D903="USD",G903*$L$1,G903)</f>
        <v/>
      </c>
    </row>
    <row r="904">
      <c r="A904" s="8" t="n">
        <v>46178</v>
      </c>
      <c r="B904" t="inlineStr">
        <is>
          <t>2026-W23</t>
        </is>
      </c>
      <c r="C904" t="inlineStr">
        <is>
          <t>Shift4</t>
        </is>
      </c>
      <c r="D904" t="inlineStr">
        <is>
          <t>EUR</t>
        </is>
      </c>
      <c r="E904" s="9" t="n">
        <v>525829.5699999999</v>
      </c>
      <c r="F904" s="9" t="n">
        <v>520370.9</v>
      </c>
      <c r="G904" s="9" t="n">
        <v>-520366.83</v>
      </c>
      <c r="H904" s="9">
        <f>IF(D904="USD",E904*$L$1,E904)</f>
        <v/>
      </c>
      <c r="I904" s="9">
        <f>IF(D904="USD",F904*$L$1,F904)</f>
        <v/>
      </c>
      <c r="J904" s="9">
        <f>IF(D904="USD",G904*$L$1,G904)</f>
        <v/>
      </c>
    </row>
    <row r="905">
      <c r="A905" s="8" t="n">
        <v>46179</v>
      </c>
      <c r="B905" t="inlineStr">
        <is>
          <t>2026-W23</t>
        </is>
      </c>
      <c r="C905" t="inlineStr">
        <is>
          <t>Adyen</t>
        </is>
      </c>
      <c r="D905" t="inlineStr">
        <is>
          <t>EUR</t>
        </is>
      </c>
      <c r="E905" s="9" t="n">
        <v>504592.47</v>
      </c>
      <c r="F905" s="9" t="n">
        <v>0</v>
      </c>
      <c r="G905" s="9" t="n">
        <v>0</v>
      </c>
      <c r="H905" s="9">
        <f>IF(D905="USD",E905*$L$1,E905)</f>
        <v/>
      </c>
      <c r="I905" s="9">
        <f>IF(D905="USD",F905*$L$1,F905)</f>
        <v/>
      </c>
      <c r="J905" s="9">
        <f>IF(D905="USD",G905*$L$1,G905)</f>
        <v/>
      </c>
    </row>
    <row r="906">
      <c r="A906" s="8" t="n">
        <v>46179</v>
      </c>
      <c r="B906" t="inlineStr">
        <is>
          <t>2026-W23</t>
        </is>
      </c>
      <c r="C906" t="inlineStr">
        <is>
          <t>Adyen</t>
        </is>
      </c>
      <c r="D906" t="inlineStr">
        <is>
          <t>EUR</t>
        </is>
      </c>
      <c r="E906" s="9" t="n">
        <v>46804.6</v>
      </c>
      <c r="F906" s="9" t="n">
        <v>0</v>
      </c>
      <c r="G906" s="9" t="n">
        <v>0</v>
      </c>
      <c r="H906" s="9">
        <f>IF(D906="USD",E906*$L$1,E906)</f>
        <v/>
      </c>
      <c r="I906" s="9">
        <f>IF(D906="USD",F906*$L$1,F906)</f>
        <v/>
      </c>
      <c r="J906" s="9">
        <f>IF(D906="USD",G906*$L$1,G906)</f>
        <v/>
      </c>
    </row>
    <row r="907">
      <c r="A907" s="8" t="n">
        <v>46179</v>
      </c>
      <c r="B907" t="inlineStr">
        <is>
          <t>2026-W23</t>
        </is>
      </c>
      <c r="C907" t="inlineStr">
        <is>
          <t>Nuvei</t>
        </is>
      </c>
      <c r="D907" t="inlineStr">
        <is>
          <t>EUR</t>
        </is>
      </c>
      <c r="E907" s="9" t="n">
        <v>321511.8</v>
      </c>
      <c r="F907" s="9" t="n">
        <v>316189.55</v>
      </c>
      <c r="G907" s="9" t="n">
        <v>0</v>
      </c>
      <c r="H907" s="9">
        <f>IF(D907="USD",E907*$L$1,E907)</f>
        <v/>
      </c>
      <c r="I907" s="9">
        <f>IF(D907="USD",F907*$L$1,F907)</f>
        <v/>
      </c>
      <c r="J907" s="9">
        <f>IF(D907="USD",G907*$L$1,G907)</f>
        <v/>
      </c>
    </row>
    <row r="908">
      <c r="A908" s="8" t="n">
        <v>46179</v>
      </c>
      <c r="B908" t="inlineStr">
        <is>
          <t>2026-W23</t>
        </is>
      </c>
      <c r="C908" t="inlineStr">
        <is>
          <t>Nuvei</t>
        </is>
      </c>
      <c r="D908" t="inlineStr">
        <is>
          <t>EUR</t>
        </is>
      </c>
      <c r="E908" s="9" t="n">
        <v>165498.12</v>
      </c>
      <c r="F908" s="9" t="n">
        <v>160898.67</v>
      </c>
      <c r="G908" s="9" t="n">
        <v>0</v>
      </c>
      <c r="H908" s="9">
        <f>IF(D908="USD",E908*$L$1,E908)</f>
        <v/>
      </c>
      <c r="I908" s="9">
        <f>IF(D908="USD",F908*$L$1,F908)</f>
        <v/>
      </c>
      <c r="J908" s="9">
        <f>IF(D908="USD",G908*$L$1,G908)</f>
        <v/>
      </c>
    </row>
    <row r="909">
      <c r="A909" s="8" t="n">
        <v>46179</v>
      </c>
      <c r="B909" t="inlineStr">
        <is>
          <t>2026-W23</t>
        </is>
      </c>
      <c r="C909" t="inlineStr">
        <is>
          <t>Nuvei</t>
        </is>
      </c>
      <c r="D909" t="inlineStr">
        <is>
          <t>EUR</t>
        </is>
      </c>
      <c r="E909" s="9" t="n">
        <v>45252.62</v>
      </c>
      <c r="F909" s="9" t="n">
        <v>44106.46</v>
      </c>
      <c r="G909" s="9" t="n">
        <v>0</v>
      </c>
      <c r="H909" s="9">
        <f>IF(D909="USD",E909*$L$1,E909)</f>
        <v/>
      </c>
      <c r="I909" s="9">
        <f>IF(D909="USD",F909*$L$1,F909)</f>
        <v/>
      </c>
      <c r="J909" s="9">
        <f>IF(D909="USD",G909*$L$1,G909)</f>
        <v/>
      </c>
    </row>
    <row r="910">
      <c r="A910" s="8" t="n">
        <v>46179</v>
      </c>
      <c r="B910" t="inlineStr">
        <is>
          <t>2026-W23</t>
        </is>
      </c>
      <c r="C910" t="inlineStr">
        <is>
          <t>Shift4</t>
        </is>
      </c>
      <c r="D910" t="inlineStr">
        <is>
          <t>EUR</t>
        </is>
      </c>
      <c r="E910" s="9" t="n">
        <v>502638.33</v>
      </c>
      <c r="F910" s="9" t="n">
        <v>497762.58</v>
      </c>
      <c r="G910" s="9" t="n">
        <v>0</v>
      </c>
      <c r="H910" s="9">
        <f>IF(D910="USD",E910*$L$1,E910)</f>
        <v/>
      </c>
      <c r="I910" s="9">
        <f>IF(D910="USD",F910*$L$1,F910)</f>
        <v/>
      </c>
      <c r="J910" s="9">
        <f>IF(D910="USD",G910*$L$1,G910)</f>
        <v/>
      </c>
    </row>
    <row r="911">
      <c r="A911" s="8" t="n">
        <v>46180</v>
      </c>
      <c r="B911" t="inlineStr">
        <is>
          <t>2026-W23</t>
        </is>
      </c>
      <c r="C911" t="inlineStr">
        <is>
          <t>Adyen</t>
        </is>
      </c>
      <c r="D911" t="inlineStr">
        <is>
          <t>EUR</t>
        </is>
      </c>
      <c r="E911" s="9" t="n">
        <v>542290.33</v>
      </c>
      <c r="F911" s="9" t="n">
        <v>0</v>
      </c>
      <c r="G911" s="9" t="n">
        <v>0</v>
      </c>
      <c r="H911" s="9">
        <f>IF(D911="USD",E911*$L$1,E911)</f>
        <v/>
      </c>
      <c r="I911" s="9">
        <f>IF(D911="USD",F911*$L$1,F911)</f>
        <v/>
      </c>
      <c r="J911" s="9">
        <f>IF(D911="USD",G911*$L$1,G911)</f>
        <v/>
      </c>
    </row>
    <row r="912">
      <c r="A912" s="8" t="n">
        <v>46180</v>
      </c>
      <c r="B912" t="inlineStr">
        <is>
          <t>2026-W23</t>
        </is>
      </c>
      <c r="C912" t="inlineStr">
        <is>
          <t>Adyen</t>
        </is>
      </c>
      <c r="D912" t="inlineStr">
        <is>
          <t>EUR</t>
        </is>
      </c>
      <c r="E912" s="9" t="n">
        <v>41237.38</v>
      </c>
      <c r="F912" s="9" t="n">
        <v>0</v>
      </c>
      <c r="G912" s="9" t="n">
        <v>0</v>
      </c>
      <c r="H912" s="9">
        <f>IF(D912="USD",E912*$L$1,E912)</f>
        <v/>
      </c>
      <c r="I912" s="9">
        <f>IF(D912="USD",F912*$L$1,F912)</f>
        <v/>
      </c>
      <c r="J912" s="9">
        <f>IF(D912="USD",G912*$L$1,G912)</f>
        <v/>
      </c>
    </row>
    <row r="913">
      <c r="A913" s="8" t="n">
        <v>46180</v>
      </c>
      <c r="B913" t="inlineStr">
        <is>
          <t>2026-W23</t>
        </is>
      </c>
      <c r="C913" t="inlineStr">
        <is>
          <t>Nuvei</t>
        </is>
      </c>
      <c r="D913" t="inlineStr">
        <is>
          <t>EUR</t>
        </is>
      </c>
      <c r="E913" s="9" t="n">
        <v>358267.42</v>
      </c>
      <c r="F913" s="9" t="n">
        <v>352794.07</v>
      </c>
      <c r="G913" s="9" t="n">
        <v>0</v>
      </c>
      <c r="H913" s="9">
        <f>IF(D913="USD",E913*$L$1,E913)</f>
        <v/>
      </c>
      <c r="I913" s="9">
        <f>IF(D913="USD",F913*$L$1,F913)</f>
        <v/>
      </c>
      <c r="J913" s="9">
        <f>IF(D913="USD",G913*$L$1,G913)</f>
        <v/>
      </c>
    </row>
    <row r="914">
      <c r="A914" s="8" t="n">
        <v>46180</v>
      </c>
      <c r="B914" t="inlineStr">
        <is>
          <t>2026-W23</t>
        </is>
      </c>
      <c r="C914" t="inlineStr">
        <is>
          <t>Nuvei</t>
        </is>
      </c>
      <c r="D914" t="inlineStr">
        <is>
          <t>EUR</t>
        </is>
      </c>
      <c r="E914" s="9" t="n">
        <v>129159.02</v>
      </c>
      <c r="F914" s="9" t="n">
        <v>125509.5</v>
      </c>
      <c r="G914" s="9" t="n">
        <v>0</v>
      </c>
      <c r="H914" s="9">
        <f>IF(D914="USD",E914*$L$1,E914)</f>
        <v/>
      </c>
      <c r="I914" s="9">
        <f>IF(D914="USD",F914*$L$1,F914)</f>
        <v/>
      </c>
      <c r="J914" s="9">
        <f>IF(D914="USD",G914*$L$1,G914)</f>
        <v/>
      </c>
    </row>
    <row r="915">
      <c r="A915" s="8" t="n">
        <v>46180</v>
      </c>
      <c r="B915" t="inlineStr">
        <is>
          <t>2026-W23</t>
        </is>
      </c>
      <c r="C915" t="inlineStr">
        <is>
          <t>Nuvei</t>
        </is>
      </c>
      <c r="D915" t="inlineStr">
        <is>
          <t>EUR</t>
        </is>
      </c>
      <c r="E915" s="9" t="n">
        <v>21042.03</v>
      </c>
      <c r="F915" s="9" t="n">
        <v>20452.11</v>
      </c>
      <c r="G915" s="9" t="n">
        <v>0</v>
      </c>
      <c r="H915" s="9">
        <f>IF(D915="USD",E915*$L$1,E915)</f>
        <v/>
      </c>
      <c r="I915" s="9">
        <f>IF(D915="USD",F915*$L$1,F915)</f>
        <v/>
      </c>
      <c r="J915" s="9">
        <f>IF(D915="USD",G915*$L$1,G915)</f>
        <v/>
      </c>
    </row>
    <row r="916">
      <c r="A916" s="8" t="n">
        <v>46180</v>
      </c>
      <c r="B916" t="inlineStr">
        <is>
          <t>2026-W23</t>
        </is>
      </c>
      <c r="C916" t="inlineStr">
        <is>
          <t>Shift4</t>
        </is>
      </c>
      <c r="D916" t="inlineStr">
        <is>
          <t>EUR</t>
        </is>
      </c>
      <c r="E916" s="9" t="n">
        <v>606274.3</v>
      </c>
      <c r="F916" s="9" t="n">
        <v>600432.9500000001</v>
      </c>
      <c r="G916" s="9" t="n">
        <v>0</v>
      </c>
      <c r="H916" s="9">
        <f>IF(D916="USD",E916*$L$1,E916)</f>
        <v/>
      </c>
      <c r="I916" s="9">
        <f>IF(D916="USD",F916*$L$1,F916)</f>
        <v/>
      </c>
      <c r="J916" s="9">
        <f>IF(D916="USD",G916*$L$1,G916)</f>
        <v/>
      </c>
    </row>
    <row r="917">
      <c r="A917" s="8" t="n">
        <v>46181</v>
      </c>
      <c r="B917" t="inlineStr">
        <is>
          <t>2026-W24</t>
        </is>
      </c>
      <c r="C917" t="inlineStr">
        <is>
          <t>Adyen</t>
        </is>
      </c>
      <c r="D917" t="inlineStr">
        <is>
          <t>EUR</t>
        </is>
      </c>
      <c r="E917" s="9" t="n">
        <v>843197.9</v>
      </c>
      <c r="F917" s="9" t="n">
        <v>0</v>
      </c>
      <c r="G917" s="9" t="n">
        <v>837237.5800000001</v>
      </c>
      <c r="H917" s="9">
        <f>IF(D917="USD",E917*$L$1,E917)</f>
        <v/>
      </c>
      <c r="I917" s="9">
        <f>IF(D917="USD",F917*$L$1,F917)</f>
        <v/>
      </c>
      <c r="J917" s="9">
        <f>IF(D917="USD",G917*$L$1,G917)</f>
        <v/>
      </c>
    </row>
    <row r="918">
      <c r="A918" s="8" t="n">
        <v>46181</v>
      </c>
      <c r="B918" t="inlineStr">
        <is>
          <t>2026-W24</t>
        </is>
      </c>
      <c r="C918" t="inlineStr">
        <is>
          <t>Adyen</t>
        </is>
      </c>
      <c r="D918" t="inlineStr">
        <is>
          <t>EUR</t>
        </is>
      </c>
      <c r="E918" s="9" t="n">
        <v>92370.58</v>
      </c>
      <c r="F918" s="9" t="n">
        <v>0</v>
      </c>
      <c r="G918" s="9" t="n">
        <v>0</v>
      </c>
      <c r="H918" s="9">
        <f>IF(D918="USD",E918*$L$1,E918)</f>
        <v/>
      </c>
      <c r="I918" s="9">
        <f>IF(D918="USD",F918*$L$1,F918)</f>
        <v/>
      </c>
      <c r="J918" s="9">
        <f>IF(D918="USD",G918*$L$1,G918)</f>
        <v/>
      </c>
    </row>
    <row r="919">
      <c r="A919" s="8" t="n">
        <v>46181</v>
      </c>
      <c r="B919" t="inlineStr">
        <is>
          <t>2026-W24</t>
        </is>
      </c>
      <c r="C919" t="inlineStr">
        <is>
          <t>Nuvei</t>
        </is>
      </c>
      <c r="D919" t="inlineStr">
        <is>
          <t>EUR</t>
        </is>
      </c>
      <c r="E919" s="9" t="n">
        <v>448090.71</v>
      </c>
      <c r="F919" s="9" t="n">
        <v>440548.21</v>
      </c>
      <c r="G919" s="9" t="n">
        <v>-1109318.32</v>
      </c>
      <c r="H919" s="9">
        <f>IF(D919="USD",E919*$L$1,E919)</f>
        <v/>
      </c>
      <c r="I919" s="9">
        <f>IF(D919="USD",F919*$L$1,F919)</f>
        <v/>
      </c>
      <c r="J919" s="9">
        <f>IF(D919="USD",G919*$L$1,G919)</f>
        <v/>
      </c>
    </row>
    <row r="920">
      <c r="A920" s="8" t="n">
        <v>46181</v>
      </c>
      <c r="B920" t="inlineStr">
        <is>
          <t>2026-W24</t>
        </is>
      </c>
      <c r="C920" t="inlineStr">
        <is>
          <t>Nuvei</t>
        </is>
      </c>
      <c r="D920" t="inlineStr">
        <is>
          <t>EUR</t>
        </is>
      </c>
      <c r="E920" s="9" t="n">
        <v>164381.5</v>
      </c>
      <c r="F920" s="9" t="n">
        <v>159943.66</v>
      </c>
      <c r="G920" s="9" t="n">
        <v>-446348.34</v>
      </c>
      <c r="H920" s="9">
        <f>IF(D920="USD",E920*$L$1,E920)</f>
        <v/>
      </c>
      <c r="I920" s="9">
        <f>IF(D920="USD",F920*$L$1,F920)</f>
        <v/>
      </c>
      <c r="J920" s="9">
        <f>IF(D920="USD",G920*$L$1,G920)</f>
        <v/>
      </c>
    </row>
    <row r="921">
      <c r="A921" s="8" t="n">
        <v>46181</v>
      </c>
      <c r="B921" t="inlineStr">
        <is>
          <t>2026-W24</t>
        </is>
      </c>
      <c r="C921" t="inlineStr">
        <is>
          <t>Nuvei</t>
        </is>
      </c>
      <c r="D921" t="inlineStr">
        <is>
          <t>EUR</t>
        </is>
      </c>
      <c r="E921" s="9" t="n">
        <v>11620.55</v>
      </c>
      <c r="F921" s="9" t="n">
        <v>11261.86</v>
      </c>
      <c r="G921" s="9" t="n">
        <v>0</v>
      </c>
      <c r="H921" s="9">
        <f>IF(D921="USD",E921*$L$1,E921)</f>
        <v/>
      </c>
      <c r="I921" s="9">
        <f>IF(D921="USD",F921*$L$1,F921)</f>
        <v/>
      </c>
      <c r="J921" s="9">
        <f>IF(D921="USD",G921*$L$1,G921)</f>
        <v/>
      </c>
    </row>
    <row r="922">
      <c r="A922" s="8" t="n">
        <v>46181</v>
      </c>
      <c r="B922" t="inlineStr">
        <is>
          <t>2026-W24</t>
        </is>
      </c>
      <c r="C922" t="inlineStr">
        <is>
          <t>Shift4</t>
        </is>
      </c>
      <c r="D922" t="inlineStr">
        <is>
          <t>EUR</t>
        </is>
      </c>
      <c r="E922" s="9" t="n">
        <v>682896.83</v>
      </c>
      <c r="F922" s="9" t="n">
        <v>675701.85</v>
      </c>
      <c r="G922" s="9" t="n">
        <v>-1773896.82</v>
      </c>
      <c r="H922" s="9">
        <f>IF(D922="USD",E922*$L$1,E922)</f>
        <v/>
      </c>
      <c r="I922" s="9">
        <f>IF(D922="USD",F922*$L$1,F922)</f>
        <v/>
      </c>
      <c r="J922" s="9">
        <f>IF(D922="USD",G922*$L$1,G922)</f>
        <v/>
      </c>
    </row>
    <row r="923">
      <c r="A923" s="8" t="n">
        <v>46182</v>
      </c>
      <c r="B923" t="inlineStr">
        <is>
          <t>2026-W24</t>
        </is>
      </c>
      <c r="C923" t="inlineStr">
        <is>
          <t>Adyen</t>
        </is>
      </c>
      <c r="D923" t="inlineStr">
        <is>
          <t>EUR</t>
        </is>
      </c>
      <c r="E923" s="9" t="n">
        <v>829448.1800000001</v>
      </c>
      <c r="F923" s="9" t="n">
        <v>0</v>
      </c>
      <c r="G923" s="9" t="n">
        <v>994160.74</v>
      </c>
      <c r="H923" s="9">
        <f>IF(D923="USD",E923*$L$1,E923)</f>
        <v/>
      </c>
      <c r="I923" s="9">
        <f>IF(D923="USD",F923*$L$1,F923)</f>
        <v/>
      </c>
      <c r="J923" s="9">
        <f>IF(D923="USD",G923*$L$1,G923)</f>
        <v/>
      </c>
    </row>
    <row r="924">
      <c r="A924" s="8" t="n">
        <v>46182</v>
      </c>
      <c r="B924" t="inlineStr">
        <is>
          <t>2026-W24</t>
        </is>
      </c>
      <c r="C924" t="inlineStr">
        <is>
          <t>Adyen</t>
        </is>
      </c>
      <c r="D924" t="inlineStr">
        <is>
          <t>EUR</t>
        </is>
      </c>
      <c r="E924" s="9" t="n">
        <v>83712.5</v>
      </c>
      <c r="F924" s="9" t="n">
        <v>0</v>
      </c>
      <c r="G924" s="9" t="n">
        <v>0</v>
      </c>
      <c r="H924" s="9">
        <f>IF(D924="USD",E924*$L$1,E924)</f>
        <v/>
      </c>
      <c r="I924" s="9">
        <f>IF(D924="USD",F924*$L$1,F924)</f>
        <v/>
      </c>
      <c r="J924" s="9">
        <f>IF(D924="USD",G924*$L$1,G924)</f>
        <v/>
      </c>
    </row>
    <row r="925">
      <c r="A925" s="8" t="n">
        <v>46182</v>
      </c>
      <c r="B925" t="inlineStr">
        <is>
          <t>2026-W24</t>
        </is>
      </c>
      <c r="C925" t="inlineStr">
        <is>
          <t>Nuvei</t>
        </is>
      </c>
      <c r="D925" t="inlineStr">
        <is>
          <t>EUR</t>
        </is>
      </c>
      <c r="E925" s="9" t="n">
        <v>490804.25</v>
      </c>
      <c r="F925" s="9" t="n">
        <v>482102.06</v>
      </c>
      <c r="G925" s="9" t="n">
        <v>-482098.56</v>
      </c>
      <c r="H925" s="9">
        <f>IF(D925="USD",E925*$L$1,E925)</f>
        <v/>
      </c>
      <c r="I925" s="9">
        <f>IF(D925="USD",F925*$L$1,F925)</f>
        <v/>
      </c>
      <c r="J925" s="9">
        <f>IF(D925="USD",G925*$L$1,G925)</f>
        <v/>
      </c>
    </row>
    <row r="926">
      <c r="A926" s="8" t="n">
        <v>46182</v>
      </c>
      <c r="B926" t="inlineStr">
        <is>
          <t>2026-W24</t>
        </is>
      </c>
      <c r="C926" t="inlineStr">
        <is>
          <t>Nuvei</t>
        </is>
      </c>
      <c r="D926" t="inlineStr">
        <is>
          <t>EUR</t>
        </is>
      </c>
      <c r="E926" s="9" t="n">
        <v>185390.04</v>
      </c>
      <c r="F926" s="9" t="n">
        <v>180242.03</v>
      </c>
      <c r="G926" s="9" t="n">
        <v>-180238.53</v>
      </c>
      <c r="H926" s="9">
        <f>IF(D926="USD",E926*$L$1,E926)</f>
        <v/>
      </c>
      <c r="I926" s="9">
        <f>IF(D926="USD",F926*$L$1,F926)</f>
        <v/>
      </c>
      <c r="J926" s="9">
        <f>IF(D926="USD",G926*$L$1,G926)</f>
        <v/>
      </c>
    </row>
    <row r="927">
      <c r="A927" s="8" t="n">
        <v>46182</v>
      </c>
      <c r="B927" t="inlineStr">
        <is>
          <t>2026-W24</t>
        </is>
      </c>
      <c r="C927" t="inlineStr">
        <is>
          <t>Nuvei</t>
        </is>
      </c>
      <c r="D927" t="inlineStr">
        <is>
          <t>EUR</t>
        </is>
      </c>
      <c r="E927" s="9" t="n">
        <v>49811.69</v>
      </c>
      <c r="F927" s="9" t="n">
        <v>48525.33</v>
      </c>
      <c r="G927" s="9" t="n">
        <v>0</v>
      </c>
      <c r="H927" s="9">
        <f>IF(D927="USD",E927*$L$1,E927)</f>
        <v/>
      </c>
      <c r="I927" s="9">
        <f>IF(D927="USD",F927*$L$1,F927)</f>
        <v/>
      </c>
      <c r="J927" s="9">
        <f>IF(D927="USD",G927*$L$1,G927)</f>
        <v/>
      </c>
    </row>
    <row r="928">
      <c r="A928" s="8" t="n">
        <v>46182</v>
      </c>
      <c r="B928" t="inlineStr">
        <is>
          <t>2026-W24</t>
        </is>
      </c>
      <c r="C928" t="inlineStr">
        <is>
          <t>Shift4</t>
        </is>
      </c>
      <c r="D928" t="inlineStr">
        <is>
          <t>EUR</t>
        </is>
      </c>
      <c r="E928" s="9" t="n">
        <v>682589.15</v>
      </c>
      <c r="F928" s="9" t="n">
        <v>675320.5800000001</v>
      </c>
      <c r="G928" s="9" t="n">
        <v>-675320.58</v>
      </c>
      <c r="H928" s="9">
        <f>IF(D928="USD",E928*$L$1,E928)</f>
        <v/>
      </c>
      <c r="I928" s="9">
        <f>IF(D928="USD",F928*$L$1,F928)</f>
        <v/>
      </c>
      <c r="J928" s="9">
        <f>IF(D928="USD",G928*$L$1,G928)</f>
        <v/>
      </c>
    </row>
    <row r="929">
      <c r="A929" s="8" t="n">
        <v>46183</v>
      </c>
      <c r="B929" t="inlineStr">
        <is>
          <t>2026-W24</t>
        </is>
      </c>
      <c r="C929" t="inlineStr">
        <is>
          <t>Adyen</t>
        </is>
      </c>
      <c r="D929" t="inlineStr">
        <is>
          <t>EUR</t>
        </is>
      </c>
      <c r="E929" s="9" t="n">
        <v>814312.48</v>
      </c>
      <c r="F929" s="9" t="n">
        <v>0</v>
      </c>
      <c r="G929" s="9" t="n">
        <v>917314.4399999999</v>
      </c>
      <c r="H929" s="9">
        <f>IF(D929="USD",E929*$L$1,E929)</f>
        <v/>
      </c>
      <c r="I929" s="9">
        <f>IF(D929="USD",F929*$L$1,F929)</f>
        <v/>
      </c>
      <c r="J929" s="9">
        <f>IF(D929="USD",G929*$L$1,G929)</f>
        <v/>
      </c>
    </row>
    <row r="930">
      <c r="A930" s="8" t="n">
        <v>46183</v>
      </c>
      <c r="B930" t="inlineStr">
        <is>
          <t>2026-W24</t>
        </is>
      </c>
      <c r="C930" t="inlineStr">
        <is>
          <t>Adyen</t>
        </is>
      </c>
      <c r="D930" t="inlineStr">
        <is>
          <t>EUR</t>
        </is>
      </c>
      <c r="E930" s="9" t="n">
        <v>113072.38</v>
      </c>
      <c r="F930" s="9" t="n">
        <v>0</v>
      </c>
      <c r="G930" s="9" t="n">
        <v>0</v>
      </c>
      <c r="H930" s="9">
        <f>IF(D930="USD",E930*$L$1,E930)</f>
        <v/>
      </c>
      <c r="I930" s="9">
        <f>IF(D930="USD",F930*$L$1,F930)</f>
        <v/>
      </c>
      <c r="J930" s="9">
        <f>IF(D930="USD",G930*$L$1,G930)</f>
        <v/>
      </c>
    </row>
    <row r="931">
      <c r="A931" s="8" t="n">
        <v>46183</v>
      </c>
      <c r="B931" t="inlineStr">
        <is>
          <t>2026-W24</t>
        </is>
      </c>
      <c r="C931" t="inlineStr">
        <is>
          <t>Nuvei</t>
        </is>
      </c>
      <c r="D931" t="inlineStr">
        <is>
          <t>EUR</t>
        </is>
      </c>
      <c r="E931" s="9" t="n">
        <v>450943.47</v>
      </c>
      <c r="F931" s="9" t="n">
        <v>443364.85</v>
      </c>
      <c r="G931" s="9" t="n">
        <v>-443218.75</v>
      </c>
      <c r="H931" s="9">
        <f>IF(D931="USD",E931*$L$1,E931)</f>
        <v/>
      </c>
      <c r="I931" s="9">
        <f>IF(D931="USD",F931*$L$1,F931)</f>
        <v/>
      </c>
      <c r="J931" s="9">
        <f>IF(D931="USD",G931*$L$1,G931)</f>
        <v/>
      </c>
    </row>
    <row r="932">
      <c r="A932" s="8" t="n">
        <v>46183</v>
      </c>
      <c r="B932" t="inlineStr">
        <is>
          <t>2026-W24</t>
        </is>
      </c>
      <c r="C932" t="inlineStr">
        <is>
          <t>Nuvei</t>
        </is>
      </c>
      <c r="D932" t="inlineStr">
        <is>
          <t>EUR</t>
        </is>
      </c>
      <c r="E932" s="9" t="n">
        <v>248845.54</v>
      </c>
      <c r="F932" s="9" t="n">
        <v>241869.62</v>
      </c>
      <c r="G932" s="9" t="n">
        <v>-241866.12</v>
      </c>
      <c r="H932" s="9">
        <f>IF(D932="USD",E932*$L$1,E932)</f>
        <v/>
      </c>
      <c r="I932" s="9">
        <f>IF(D932="USD",F932*$L$1,F932)</f>
        <v/>
      </c>
      <c r="J932" s="9">
        <f>IF(D932="USD",G932*$L$1,G932)</f>
        <v/>
      </c>
    </row>
    <row r="933">
      <c r="A933" s="8" t="n">
        <v>46183</v>
      </c>
      <c r="B933" t="inlineStr">
        <is>
          <t>2026-W24</t>
        </is>
      </c>
      <c r="C933" t="inlineStr">
        <is>
          <t>Nuvei</t>
        </is>
      </c>
      <c r="D933" t="inlineStr">
        <is>
          <t>EUR</t>
        </is>
      </c>
      <c r="E933" s="9" t="n">
        <v>47171.86</v>
      </c>
      <c r="F933" s="9" t="n">
        <v>45979.19</v>
      </c>
      <c r="G933" s="9" t="n">
        <v>0</v>
      </c>
      <c r="H933" s="9">
        <f>IF(D933="USD",E933*$L$1,E933)</f>
        <v/>
      </c>
      <c r="I933" s="9">
        <f>IF(D933="USD",F933*$L$1,F933)</f>
        <v/>
      </c>
      <c r="J933" s="9">
        <f>IF(D933="USD",G933*$L$1,G933)</f>
        <v/>
      </c>
    </row>
    <row r="934">
      <c r="A934" s="8" t="n">
        <v>46183</v>
      </c>
      <c r="B934" t="inlineStr">
        <is>
          <t>2026-W24</t>
        </is>
      </c>
      <c r="C934" t="inlineStr">
        <is>
          <t>Nuvei</t>
        </is>
      </c>
      <c r="D934" t="inlineStr">
        <is>
          <t>USD</t>
        </is>
      </c>
      <c r="E934" s="9" t="n">
        <v>8514.1</v>
      </c>
      <c r="F934" s="9" t="n">
        <v>8284.559999999999</v>
      </c>
      <c r="G934" s="9" t="n">
        <v>0</v>
      </c>
      <c r="H934" s="9">
        <f>IF(D934="USD",E934*$L$1,E934)</f>
        <v/>
      </c>
      <c r="I934" s="9">
        <f>IF(D934="USD",F934*$L$1,F934)</f>
        <v/>
      </c>
      <c r="J934" s="9">
        <f>IF(D934="USD",G934*$L$1,G934)</f>
        <v/>
      </c>
    </row>
    <row r="935">
      <c r="A935" s="8" t="n">
        <v>46183</v>
      </c>
      <c r="B935" t="inlineStr">
        <is>
          <t>2026-W24</t>
        </is>
      </c>
      <c r="C935" t="inlineStr">
        <is>
          <t>Shift4</t>
        </is>
      </c>
      <c r="D935" t="inlineStr">
        <is>
          <t>EUR</t>
        </is>
      </c>
      <c r="E935" s="9" t="n">
        <v>664999.87</v>
      </c>
      <c r="F935" s="9" t="n">
        <v>657468.64</v>
      </c>
      <c r="G935" s="9" t="n">
        <v>-657468.64</v>
      </c>
      <c r="H935" s="9">
        <f>IF(D935="USD",E935*$L$1,E935)</f>
        <v/>
      </c>
      <c r="I935" s="9">
        <f>IF(D935="USD",F935*$L$1,F935)</f>
        <v/>
      </c>
      <c r="J935" s="9">
        <f>IF(D935="USD",G935*$L$1,G935)</f>
        <v/>
      </c>
    </row>
    <row r="936">
      <c r="A936" s="8" t="n">
        <v>46184</v>
      </c>
      <c r="B936" t="inlineStr">
        <is>
          <t>2026-W24</t>
        </is>
      </c>
      <c r="C936" t="inlineStr">
        <is>
          <t>Adyen</t>
        </is>
      </c>
      <c r="D936" t="inlineStr">
        <is>
          <t>EUR</t>
        </is>
      </c>
      <c r="E936" s="9" t="n">
        <v>754903.4399999999</v>
      </c>
      <c r="F936" s="9" t="n">
        <v>0</v>
      </c>
      <c r="G936" s="9" t="n">
        <v>888100.4600000001</v>
      </c>
      <c r="H936" s="9">
        <f>IF(D936="USD",E936*$L$1,E936)</f>
        <v/>
      </c>
      <c r="I936" s="9">
        <f>IF(D936="USD",F936*$L$1,F936)</f>
        <v/>
      </c>
      <c r="J936" s="9">
        <f>IF(D936="USD",G936*$L$1,G936)</f>
        <v/>
      </c>
    </row>
    <row r="937">
      <c r="A937" s="8" t="n">
        <v>46184</v>
      </c>
      <c r="B937" t="inlineStr">
        <is>
          <t>2026-W24</t>
        </is>
      </c>
      <c r="C937" t="inlineStr">
        <is>
          <t>Adyen</t>
        </is>
      </c>
      <c r="D937" t="inlineStr">
        <is>
          <t>EUR</t>
        </is>
      </c>
      <c r="E937" s="9" t="n">
        <v>139995.06</v>
      </c>
      <c r="F937" s="9" t="n">
        <v>0</v>
      </c>
      <c r="G937" s="9" t="n">
        <v>0</v>
      </c>
      <c r="H937" s="9">
        <f>IF(D937="USD",E937*$L$1,E937)</f>
        <v/>
      </c>
      <c r="I937" s="9">
        <f>IF(D937="USD",F937*$L$1,F937)</f>
        <v/>
      </c>
      <c r="J937" s="9">
        <f>IF(D937="USD",G937*$L$1,G937)</f>
        <v/>
      </c>
    </row>
    <row r="938">
      <c r="A938" s="8" t="n">
        <v>46184</v>
      </c>
      <c r="B938" t="inlineStr">
        <is>
          <t>2026-W24</t>
        </is>
      </c>
      <c r="C938" t="inlineStr">
        <is>
          <t>Nuvei</t>
        </is>
      </c>
      <c r="D938" t="inlineStr">
        <is>
          <t>EUR</t>
        </is>
      </c>
      <c r="E938" s="9" t="n">
        <v>403735.35</v>
      </c>
      <c r="F938" s="9" t="n">
        <v>397452.93</v>
      </c>
      <c r="G938" s="9" t="n">
        <v>-397449.43</v>
      </c>
      <c r="H938" s="9">
        <f>IF(D938="USD",E938*$L$1,E938)</f>
        <v/>
      </c>
      <c r="I938" s="9">
        <f>IF(D938="USD",F938*$L$1,F938)</f>
        <v/>
      </c>
      <c r="J938" s="9">
        <f>IF(D938="USD",G938*$L$1,G938)</f>
        <v/>
      </c>
    </row>
    <row r="939">
      <c r="A939" s="8" t="n">
        <v>46184</v>
      </c>
      <c r="B939" t="inlineStr">
        <is>
          <t>2026-W24</t>
        </is>
      </c>
      <c r="C939" t="inlineStr">
        <is>
          <t>Nuvei</t>
        </is>
      </c>
      <c r="D939" t="inlineStr">
        <is>
          <t>EUR</t>
        </is>
      </c>
      <c r="E939" s="9" t="n">
        <v>322083.78</v>
      </c>
      <c r="F939" s="9" t="n">
        <v>313004.97</v>
      </c>
      <c r="G939" s="9" t="n">
        <v>-313001.46</v>
      </c>
      <c r="H939" s="9">
        <f>IF(D939="USD",E939*$L$1,E939)</f>
        <v/>
      </c>
      <c r="I939" s="9">
        <f>IF(D939="USD",F939*$L$1,F939)</f>
        <v/>
      </c>
      <c r="J939" s="9">
        <f>IF(D939="USD",G939*$L$1,G939)</f>
        <v/>
      </c>
    </row>
    <row r="940">
      <c r="A940" s="8" t="n">
        <v>46184</v>
      </c>
      <c r="B940" t="inlineStr">
        <is>
          <t>2026-W24</t>
        </is>
      </c>
      <c r="C940" t="inlineStr">
        <is>
          <t>Nuvei</t>
        </is>
      </c>
      <c r="D940" t="inlineStr">
        <is>
          <t>EUR</t>
        </is>
      </c>
      <c r="E940" s="9" t="n">
        <v>39271.36</v>
      </c>
      <c r="F940" s="9" t="n">
        <v>38287.69</v>
      </c>
      <c r="G940" s="9" t="n">
        <v>0</v>
      </c>
      <c r="H940" s="9">
        <f>IF(D940="USD",E940*$L$1,E940)</f>
        <v/>
      </c>
      <c r="I940" s="9">
        <f>IF(D940="USD",F940*$L$1,F940)</f>
        <v/>
      </c>
      <c r="J940" s="9">
        <f>IF(D940="USD",G940*$L$1,G940)</f>
        <v/>
      </c>
    </row>
    <row r="941">
      <c r="A941" s="8" t="n">
        <v>46184</v>
      </c>
      <c r="B941" t="inlineStr">
        <is>
          <t>2026-W24</t>
        </is>
      </c>
      <c r="C941" t="inlineStr">
        <is>
          <t>Nuvei</t>
        </is>
      </c>
      <c r="D941" t="inlineStr">
        <is>
          <t>USD</t>
        </is>
      </c>
      <c r="E941" s="9" t="n">
        <v>9466.200000000001</v>
      </c>
      <c r="F941" s="9" t="n">
        <v>9205.820000000002</v>
      </c>
      <c r="G941" s="9" t="n">
        <v>0</v>
      </c>
      <c r="H941" s="9">
        <f>IF(D941="USD",E941*$L$1,E941)</f>
        <v/>
      </c>
      <c r="I941" s="9">
        <f>IF(D941="USD",F941*$L$1,F941)</f>
        <v/>
      </c>
      <c r="J941" s="9">
        <f>IF(D941="USD",G941*$L$1,G941)</f>
        <v/>
      </c>
    </row>
    <row r="942">
      <c r="A942" s="8" t="n">
        <v>46184</v>
      </c>
      <c r="B942" t="inlineStr">
        <is>
          <t>2026-W24</t>
        </is>
      </c>
      <c r="C942" t="inlineStr">
        <is>
          <t>Shift4</t>
        </is>
      </c>
      <c r="D942" t="inlineStr">
        <is>
          <t>EUR</t>
        </is>
      </c>
      <c r="E942" s="9" t="n">
        <v>556405.88</v>
      </c>
      <c r="F942" s="9" t="n">
        <v>550652.95</v>
      </c>
      <c r="G942" s="9" t="n">
        <v>-550652.9399999999</v>
      </c>
      <c r="H942" s="9">
        <f>IF(D942="USD",E942*$L$1,E942)</f>
        <v/>
      </c>
      <c r="I942" s="9">
        <f>IF(D942="USD",F942*$L$1,F942)</f>
        <v/>
      </c>
      <c r="J942" s="9">
        <f>IF(D942="USD",G942*$L$1,G942)</f>
        <v/>
      </c>
    </row>
    <row r="943">
      <c r="A943" s="8" t="n">
        <v>46185</v>
      </c>
      <c r="B943" t="inlineStr">
        <is>
          <t>2026-W24</t>
        </is>
      </c>
      <c r="C943" t="inlineStr">
        <is>
          <t>Adyen</t>
        </is>
      </c>
      <c r="D943" t="inlineStr">
        <is>
          <t>EUR</t>
        </is>
      </c>
      <c r="E943" s="9" t="n">
        <v>639415.6</v>
      </c>
      <c r="F943" s="9" t="n">
        <v>0</v>
      </c>
      <c r="G943" s="9" t="n">
        <v>1877220.23</v>
      </c>
      <c r="H943" s="9">
        <f>IF(D943="USD",E943*$L$1,E943)</f>
        <v/>
      </c>
      <c r="I943" s="9">
        <f>IF(D943="USD",F943*$L$1,F943)</f>
        <v/>
      </c>
      <c r="J943" s="9">
        <f>IF(D943="USD",G943*$L$1,G943)</f>
        <v/>
      </c>
    </row>
    <row r="944">
      <c r="A944" s="8" t="n">
        <v>46185</v>
      </c>
      <c r="B944" t="inlineStr">
        <is>
          <t>2026-W24</t>
        </is>
      </c>
      <c r="C944" t="inlineStr">
        <is>
          <t>Adyen</t>
        </is>
      </c>
      <c r="D944" t="inlineStr">
        <is>
          <t>EUR</t>
        </is>
      </c>
      <c r="E944" s="9" t="n">
        <v>118112.54</v>
      </c>
      <c r="F944" s="9" t="n">
        <v>0</v>
      </c>
      <c r="G944" s="9" t="n">
        <v>0</v>
      </c>
      <c r="H944" s="9">
        <f>IF(D944="USD",E944*$L$1,E944)</f>
        <v/>
      </c>
      <c r="I944" s="9">
        <f>IF(D944="USD",F944*$L$1,F944)</f>
        <v/>
      </c>
      <c r="J944" s="9">
        <f>IF(D944="USD",G944*$L$1,G944)</f>
        <v/>
      </c>
    </row>
    <row r="945">
      <c r="A945" s="8" t="n">
        <v>46185</v>
      </c>
      <c r="B945" t="inlineStr">
        <is>
          <t>2026-W24</t>
        </is>
      </c>
      <c r="C945" t="inlineStr">
        <is>
          <t>Nuvei</t>
        </is>
      </c>
      <c r="D945" t="inlineStr">
        <is>
          <t>EUR</t>
        </is>
      </c>
      <c r="E945" s="9" t="n">
        <v>349112.19</v>
      </c>
      <c r="F945" s="9" t="n">
        <v>343132.3</v>
      </c>
      <c r="G945" s="9" t="n">
        <v>-343128.8</v>
      </c>
      <c r="H945" s="9">
        <f>IF(D945="USD",E945*$L$1,E945)</f>
        <v/>
      </c>
      <c r="I945" s="9">
        <f>IF(D945="USD",F945*$L$1,F945)</f>
        <v/>
      </c>
      <c r="J945" s="9">
        <f>IF(D945="USD",G945*$L$1,G945)</f>
        <v/>
      </c>
    </row>
    <row r="946">
      <c r="A946" s="8" t="n">
        <v>46185</v>
      </c>
      <c r="B946" t="inlineStr">
        <is>
          <t>2026-W24</t>
        </is>
      </c>
      <c r="C946" t="inlineStr">
        <is>
          <t>Nuvei</t>
        </is>
      </c>
      <c r="D946" t="inlineStr">
        <is>
          <t>EUR</t>
        </is>
      </c>
      <c r="E946" s="9" t="n">
        <v>272810.51</v>
      </c>
      <c r="F946" s="9" t="n">
        <v>265070.41</v>
      </c>
      <c r="G946" s="9" t="n">
        <v>-265066.91</v>
      </c>
      <c r="H946" s="9">
        <f>IF(D946="USD",E946*$L$1,E946)</f>
        <v/>
      </c>
      <c r="I946" s="9">
        <f>IF(D946="USD",F946*$L$1,F946)</f>
        <v/>
      </c>
      <c r="J946" s="9">
        <f>IF(D946="USD",G946*$L$1,G946)</f>
        <v/>
      </c>
    </row>
    <row r="947">
      <c r="A947" s="8" t="n">
        <v>46185</v>
      </c>
      <c r="B947" t="inlineStr">
        <is>
          <t>2026-W24</t>
        </is>
      </c>
      <c r="C947" t="inlineStr">
        <is>
          <t>Nuvei</t>
        </is>
      </c>
      <c r="D947" t="inlineStr">
        <is>
          <t>EUR</t>
        </is>
      </c>
      <c r="E947" s="9" t="n">
        <v>31534.42</v>
      </c>
      <c r="F947" s="9" t="n">
        <v>30775.67</v>
      </c>
      <c r="G947" s="9" t="n">
        <v>0</v>
      </c>
      <c r="H947" s="9">
        <f>IF(D947="USD",E947*$L$1,E947)</f>
        <v/>
      </c>
      <c r="I947" s="9">
        <f>IF(D947="USD",F947*$L$1,F947)</f>
        <v/>
      </c>
      <c r="J947" s="9">
        <f>IF(D947="USD",G947*$L$1,G947)</f>
        <v/>
      </c>
    </row>
    <row r="948">
      <c r="A948" s="8" t="n">
        <v>46185</v>
      </c>
      <c r="B948" t="inlineStr">
        <is>
          <t>2026-W24</t>
        </is>
      </c>
      <c r="C948" t="inlineStr">
        <is>
          <t>Nuvei</t>
        </is>
      </c>
      <c r="D948" t="inlineStr">
        <is>
          <t>USD</t>
        </is>
      </c>
      <c r="E948" s="9" t="n">
        <v>4795.2</v>
      </c>
      <c r="F948" s="9" t="n">
        <v>4670.98</v>
      </c>
      <c r="G948" s="9" t="n">
        <v>0</v>
      </c>
      <c r="H948" s="9">
        <f>IF(D948="USD",E948*$L$1,E948)</f>
        <v/>
      </c>
      <c r="I948" s="9">
        <f>IF(D948="USD",F948*$L$1,F948)</f>
        <v/>
      </c>
      <c r="J948" s="9">
        <f>IF(D948="USD",G948*$L$1,G948)</f>
        <v/>
      </c>
    </row>
    <row r="949">
      <c r="A949" s="8" t="n">
        <v>46185</v>
      </c>
      <c r="B949" t="inlineStr">
        <is>
          <t>2026-W24</t>
        </is>
      </c>
      <c r="C949" t="inlineStr">
        <is>
          <t>Shift4</t>
        </is>
      </c>
      <c r="D949" t="inlineStr">
        <is>
          <t>EUR</t>
        </is>
      </c>
      <c r="E949" s="9" t="n">
        <v>516544.17</v>
      </c>
      <c r="F949" s="9" t="n">
        <v>511107.69</v>
      </c>
      <c r="G949" s="9" t="n">
        <v>-511107.69</v>
      </c>
      <c r="H949" s="9">
        <f>IF(D949="USD",E949*$L$1,E949)</f>
        <v/>
      </c>
      <c r="I949" s="9">
        <f>IF(D949="USD",F949*$L$1,F949)</f>
        <v/>
      </c>
      <c r="J949" s="9">
        <f>IF(D949="USD",G949*$L$1,G949)</f>
        <v/>
      </c>
    </row>
    <row r="950">
      <c r="A950" s="8" t="n">
        <v>46186</v>
      </c>
      <c r="B950" t="inlineStr">
        <is>
          <t>2026-W24</t>
        </is>
      </c>
      <c r="C950" t="inlineStr">
        <is>
          <t>Adyen</t>
        </is>
      </c>
      <c r="D950" t="inlineStr">
        <is>
          <t>EUR</t>
        </is>
      </c>
      <c r="E950" s="9" t="n">
        <v>427055.65</v>
      </c>
      <c r="F950" s="9" t="n">
        <v>0</v>
      </c>
      <c r="G950" s="9" t="n">
        <v>0</v>
      </c>
      <c r="H950" s="9">
        <f>IF(D950="USD",E950*$L$1,E950)</f>
        <v/>
      </c>
      <c r="I950" s="9">
        <f>IF(D950="USD",F950*$L$1,F950)</f>
        <v/>
      </c>
      <c r="J950" s="9">
        <f>IF(D950="USD",G950*$L$1,G950)</f>
        <v/>
      </c>
    </row>
    <row r="951">
      <c r="A951" s="8" t="n">
        <v>46186</v>
      </c>
      <c r="B951" t="inlineStr">
        <is>
          <t>2026-W24</t>
        </is>
      </c>
      <c r="C951" t="inlineStr">
        <is>
          <t>Adyen</t>
        </is>
      </c>
      <c r="D951" t="inlineStr">
        <is>
          <t>EUR</t>
        </is>
      </c>
      <c r="E951" s="9" t="n">
        <v>91070.42999999999</v>
      </c>
      <c r="F951" s="9" t="n">
        <v>0</v>
      </c>
      <c r="G951" s="9" t="n">
        <v>0</v>
      </c>
      <c r="H951" s="9">
        <f>IF(D951="USD",E951*$L$1,E951)</f>
        <v/>
      </c>
      <c r="I951" s="9">
        <f>IF(D951="USD",F951*$L$1,F951)</f>
        <v/>
      </c>
      <c r="J951" s="9">
        <f>IF(D951="USD",G951*$L$1,G951)</f>
        <v/>
      </c>
    </row>
    <row r="952">
      <c r="A952" s="8" t="n">
        <v>46186</v>
      </c>
      <c r="B952" t="inlineStr">
        <is>
          <t>2026-W24</t>
        </is>
      </c>
      <c r="C952" t="inlineStr">
        <is>
          <t>Nuvei</t>
        </is>
      </c>
      <c r="D952" t="inlineStr">
        <is>
          <t>EUR</t>
        </is>
      </c>
      <c r="E952" s="9" t="n">
        <v>237710.88</v>
      </c>
      <c r="F952" s="9" t="n">
        <v>233951.57</v>
      </c>
      <c r="G952" s="9" t="n">
        <v>0</v>
      </c>
      <c r="H952" s="9">
        <f>IF(D952="USD",E952*$L$1,E952)</f>
        <v/>
      </c>
      <c r="I952" s="9">
        <f>IF(D952="USD",F952*$L$1,F952)</f>
        <v/>
      </c>
      <c r="J952" s="9">
        <f>IF(D952="USD",G952*$L$1,G952)</f>
        <v/>
      </c>
    </row>
    <row r="953">
      <c r="A953" s="8" t="n">
        <v>46186</v>
      </c>
      <c r="B953" t="inlineStr">
        <is>
          <t>2026-W24</t>
        </is>
      </c>
      <c r="C953" t="inlineStr">
        <is>
          <t>Nuvei</t>
        </is>
      </c>
      <c r="D953" t="inlineStr">
        <is>
          <t>EUR</t>
        </is>
      </c>
      <c r="E953" s="9" t="n">
        <v>229368.99</v>
      </c>
      <c r="F953" s="9" t="n">
        <v>222783.93</v>
      </c>
      <c r="G953" s="9" t="n">
        <v>0</v>
      </c>
      <c r="H953" s="9">
        <f>IF(D953="USD",E953*$L$1,E953)</f>
        <v/>
      </c>
      <c r="I953" s="9">
        <f>IF(D953="USD",F953*$L$1,F953)</f>
        <v/>
      </c>
      <c r="J953" s="9">
        <f>IF(D953="USD",G953*$L$1,G953)</f>
        <v/>
      </c>
    </row>
    <row r="954">
      <c r="A954" s="8" t="n">
        <v>46186</v>
      </c>
      <c r="B954" t="inlineStr">
        <is>
          <t>2026-W24</t>
        </is>
      </c>
      <c r="C954" t="inlineStr">
        <is>
          <t>Nuvei</t>
        </is>
      </c>
      <c r="D954" t="inlineStr">
        <is>
          <t>EUR</t>
        </is>
      </c>
      <c r="E954" s="9" t="n">
        <v>34746.63</v>
      </c>
      <c r="F954" s="9" t="n">
        <v>33840.25999999999</v>
      </c>
      <c r="G954" s="9" t="n">
        <v>0</v>
      </c>
      <c r="H954" s="9">
        <f>IF(D954="USD",E954*$L$1,E954)</f>
        <v/>
      </c>
      <c r="I954" s="9">
        <f>IF(D954="USD",F954*$L$1,F954)</f>
        <v/>
      </c>
      <c r="J954" s="9">
        <f>IF(D954="USD",G954*$L$1,G954)</f>
        <v/>
      </c>
    </row>
    <row r="955">
      <c r="A955" s="8" t="n">
        <v>46186</v>
      </c>
      <c r="B955" t="inlineStr">
        <is>
          <t>2026-W24</t>
        </is>
      </c>
      <c r="C955" t="inlineStr">
        <is>
          <t>Nuvei</t>
        </is>
      </c>
      <c r="D955" t="inlineStr">
        <is>
          <t>USD</t>
        </is>
      </c>
      <c r="E955" s="9" t="n">
        <v>6256.9</v>
      </c>
      <c r="F955" s="9" t="n">
        <v>6060.089999999999</v>
      </c>
      <c r="G955" s="9" t="n">
        <v>0</v>
      </c>
      <c r="H955" s="9">
        <f>IF(D955="USD",E955*$L$1,E955)</f>
        <v/>
      </c>
      <c r="I955" s="9">
        <f>IF(D955="USD",F955*$L$1,F955)</f>
        <v/>
      </c>
      <c r="J955" s="9">
        <f>IF(D955="USD",G955*$L$1,G955)</f>
        <v/>
      </c>
    </row>
    <row r="956">
      <c r="A956" s="8" t="n">
        <v>46186</v>
      </c>
      <c r="B956" t="inlineStr">
        <is>
          <t>2026-W24</t>
        </is>
      </c>
      <c r="C956" t="inlineStr">
        <is>
          <t>Shift4</t>
        </is>
      </c>
      <c r="D956" t="inlineStr">
        <is>
          <t>EUR</t>
        </is>
      </c>
      <c r="E956" s="9" t="n">
        <v>359553.35</v>
      </c>
      <c r="F956" s="9" t="n">
        <v>356873.89193</v>
      </c>
      <c r="G956" s="9" t="n">
        <v>0</v>
      </c>
      <c r="H956" s="9">
        <f>IF(D956="USD",E956*$L$1,E956)</f>
        <v/>
      </c>
      <c r="I956" s="9">
        <f>IF(D956="USD",F956*$L$1,F956)</f>
        <v/>
      </c>
      <c r="J956" s="9">
        <f>IF(D956="USD",G956*$L$1,G956)</f>
        <v/>
      </c>
    </row>
    <row r="957">
      <c r="A957" s="8" t="n">
        <v>46187</v>
      </c>
      <c r="B957" t="inlineStr">
        <is>
          <t>2026-W24</t>
        </is>
      </c>
      <c r="C957" t="inlineStr">
        <is>
          <t>Adyen</t>
        </is>
      </c>
      <c r="D957" t="inlineStr">
        <is>
          <t>EUR</t>
        </is>
      </c>
      <c r="E957" s="9" t="n">
        <v>539308.4399999999</v>
      </c>
      <c r="F957" s="9" t="n">
        <v>0</v>
      </c>
      <c r="G957" s="9" t="n">
        <v>0</v>
      </c>
      <c r="H957" s="9">
        <f>IF(D957="USD",E957*$L$1,E957)</f>
        <v/>
      </c>
      <c r="I957" s="9">
        <f>IF(D957="USD",F957*$L$1,F957)</f>
        <v/>
      </c>
      <c r="J957" s="9">
        <f>IF(D957="USD",G957*$L$1,G957)</f>
        <v/>
      </c>
    </row>
    <row r="958">
      <c r="A958" s="8" t="n">
        <v>46187</v>
      </c>
      <c r="B958" t="inlineStr">
        <is>
          <t>2026-W24</t>
        </is>
      </c>
      <c r="C958" t="inlineStr">
        <is>
          <t>Adyen</t>
        </is>
      </c>
      <c r="D958" t="inlineStr">
        <is>
          <t>EUR</t>
        </is>
      </c>
      <c r="E958" s="9" t="n">
        <v>90783.38</v>
      </c>
      <c r="F958" s="9" t="n">
        <v>0</v>
      </c>
      <c r="G958" s="9" t="n">
        <v>0</v>
      </c>
      <c r="H958" s="9">
        <f>IF(D958="USD",E958*$L$1,E958)</f>
        <v/>
      </c>
      <c r="I958" s="9">
        <f>IF(D958="USD",F958*$L$1,F958)</f>
        <v/>
      </c>
      <c r="J958" s="9">
        <f>IF(D958="USD",G958*$L$1,G958)</f>
        <v/>
      </c>
    </row>
    <row r="959">
      <c r="A959" s="8" t="n">
        <v>46187</v>
      </c>
      <c r="B959" t="inlineStr">
        <is>
          <t>2026-W24</t>
        </is>
      </c>
      <c r="C959" t="inlineStr">
        <is>
          <t>Nuvei</t>
        </is>
      </c>
      <c r="D959" t="inlineStr">
        <is>
          <t>EUR</t>
        </is>
      </c>
      <c r="E959" s="9" t="n">
        <v>283038.55</v>
      </c>
      <c r="F959" s="9" t="n">
        <v>279155.77</v>
      </c>
      <c r="G959" s="9" t="n">
        <v>0</v>
      </c>
      <c r="H959" s="9">
        <f>IF(D959="USD",E959*$L$1,E959)</f>
        <v/>
      </c>
      <c r="I959" s="9">
        <f>IF(D959="USD",F959*$L$1,F959)</f>
        <v/>
      </c>
      <c r="J959" s="9">
        <f>IF(D959="USD",G959*$L$1,G959)</f>
        <v/>
      </c>
    </row>
    <row r="960">
      <c r="A960" s="8" t="n">
        <v>46187</v>
      </c>
      <c r="B960" t="inlineStr">
        <is>
          <t>2026-W24</t>
        </is>
      </c>
      <c r="C960" t="inlineStr">
        <is>
          <t>Nuvei</t>
        </is>
      </c>
      <c r="D960" t="inlineStr">
        <is>
          <t>EUR</t>
        </is>
      </c>
      <c r="E960" s="9" t="n">
        <v>245165.37</v>
      </c>
      <c r="F960" s="9" t="n">
        <v>238091.87</v>
      </c>
      <c r="G960" s="9" t="n">
        <v>0</v>
      </c>
      <c r="H960" s="9">
        <f>IF(D960="USD",E960*$L$1,E960)</f>
        <v/>
      </c>
      <c r="I960" s="9">
        <f>IF(D960="USD",F960*$L$1,F960)</f>
        <v/>
      </c>
      <c r="J960" s="9">
        <f>IF(D960="USD",G960*$L$1,G960)</f>
        <v/>
      </c>
    </row>
    <row r="961">
      <c r="A961" s="8" t="n">
        <v>46187</v>
      </c>
      <c r="B961" t="inlineStr">
        <is>
          <t>2026-W24</t>
        </is>
      </c>
      <c r="C961" t="inlineStr">
        <is>
          <t>Nuvei</t>
        </is>
      </c>
      <c r="D961" t="inlineStr">
        <is>
          <t>EUR</t>
        </is>
      </c>
      <c r="E961" s="9" t="n">
        <v>9989.08</v>
      </c>
      <c r="F961" s="9" t="n">
        <v>9714.539999999999</v>
      </c>
      <c r="G961" s="9" t="n">
        <v>0</v>
      </c>
      <c r="H961" s="9">
        <f>IF(D961="USD",E961*$L$1,E961)</f>
        <v/>
      </c>
      <c r="I961" s="9">
        <f>IF(D961="USD",F961*$L$1,F961)</f>
        <v/>
      </c>
      <c r="J961" s="9">
        <f>IF(D961="USD",G961*$L$1,G961)</f>
        <v/>
      </c>
    </row>
    <row r="962">
      <c r="A962" s="8" t="n">
        <v>46187</v>
      </c>
      <c r="B962" t="inlineStr">
        <is>
          <t>2026-W24</t>
        </is>
      </c>
      <c r="C962" t="inlineStr">
        <is>
          <t>Nuvei</t>
        </is>
      </c>
      <c r="D962" t="inlineStr">
        <is>
          <t>USD</t>
        </is>
      </c>
      <c r="E962" s="9" t="n">
        <v>2973.7</v>
      </c>
      <c r="F962" s="9" t="n">
        <v>2885.23</v>
      </c>
      <c r="G962" s="9" t="n">
        <v>0</v>
      </c>
      <c r="H962" s="9">
        <f>IF(D962="USD",E962*$L$1,E962)</f>
        <v/>
      </c>
      <c r="I962" s="9">
        <f>IF(D962="USD",F962*$L$1,F962)</f>
        <v/>
      </c>
      <c r="J962" s="9">
        <f>IF(D962="USD",G962*$L$1,G962)</f>
        <v/>
      </c>
    </row>
    <row r="963">
      <c r="A963" s="8" t="n">
        <v>46187</v>
      </c>
      <c r="B963" t="inlineStr">
        <is>
          <t>2026-W24</t>
        </is>
      </c>
      <c r="C963" t="inlineStr">
        <is>
          <t>Shift4</t>
        </is>
      </c>
      <c r="D963" t="inlineStr">
        <is>
          <t>EUR</t>
        </is>
      </c>
      <c r="E963" s="9" t="n">
        <v>550647.23</v>
      </c>
      <c r="F963" s="9" t="n">
        <v>547132.01006</v>
      </c>
      <c r="G963" s="9" t="n">
        <v>0</v>
      </c>
      <c r="H963" s="9">
        <f>IF(D963="USD",E963*$L$1,E963)</f>
        <v/>
      </c>
      <c r="I963" s="9">
        <f>IF(D963="USD",F963*$L$1,F963)</f>
        <v/>
      </c>
      <c r="J963" s="9">
        <f>IF(D963="USD",G963*$L$1,G963)</f>
        <v/>
      </c>
    </row>
    <row r="964">
      <c r="A964" s="8" t="n">
        <v>46188</v>
      </c>
      <c r="B964" t="inlineStr">
        <is>
          <t>2026-W25</t>
        </is>
      </c>
      <c r="C964" t="inlineStr">
        <is>
          <t>Adyen</t>
        </is>
      </c>
      <c r="D964" t="inlineStr">
        <is>
          <t>EUR</t>
        </is>
      </c>
      <c r="E964" s="9" t="n">
        <v>797183.73</v>
      </c>
      <c r="F964" s="9" t="n">
        <v>0</v>
      </c>
      <c r="G964" s="9" t="n">
        <v>948576.86</v>
      </c>
      <c r="H964" s="9">
        <f>IF(D964="USD",E964*$L$1,E964)</f>
        <v/>
      </c>
      <c r="I964" s="9">
        <f>IF(D964="USD",F964*$L$1,F964)</f>
        <v/>
      </c>
      <c r="J964" s="9">
        <f>IF(D964="USD",G964*$L$1,G964)</f>
        <v/>
      </c>
    </row>
    <row r="965">
      <c r="A965" s="8" t="n">
        <v>46188</v>
      </c>
      <c r="B965" t="inlineStr">
        <is>
          <t>2026-W25</t>
        </is>
      </c>
      <c r="C965" t="inlineStr">
        <is>
          <t>Adyen</t>
        </is>
      </c>
      <c r="D965" t="inlineStr">
        <is>
          <t>EUR</t>
        </is>
      </c>
      <c r="E965" s="9" t="n">
        <v>158370.29</v>
      </c>
      <c r="F965" s="9" t="n">
        <v>0</v>
      </c>
      <c r="G965" s="9" t="n">
        <v>0</v>
      </c>
      <c r="H965" s="9">
        <f>IF(D965="USD",E965*$L$1,E965)</f>
        <v/>
      </c>
      <c r="I965" s="9">
        <f>IF(D965="USD",F965*$L$1,F965)</f>
        <v/>
      </c>
      <c r="J965" s="9">
        <f>IF(D965="USD",G965*$L$1,G965)</f>
        <v/>
      </c>
    </row>
    <row r="966">
      <c r="A966" s="8" t="n">
        <v>46188</v>
      </c>
      <c r="B966" t="inlineStr">
        <is>
          <t>2026-W25</t>
        </is>
      </c>
      <c r="C966" t="inlineStr">
        <is>
          <t>Nuvei</t>
        </is>
      </c>
      <c r="D966" t="inlineStr">
        <is>
          <t>EUR</t>
        </is>
      </c>
      <c r="E966" s="9" t="n">
        <v>380440.64</v>
      </c>
      <c r="F966" s="9" t="n">
        <v>374748.72</v>
      </c>
      <c r="G966" s="9" t="n">
        <v>-887768.3100000001</v>
      </c>
      <c r="H966" s="9">
        <f>IF(D966="USD",E966*$L$1,E966)</f>
        <v/>
      </c>
      <c r="I966" s="9">
        <f>IF(D966="USD",F966*$L$1,F966)</f>
        <v/>
      </c>
      <c r="J966" s="9">
        <f>IF(D966="USD",G966*$L$1,G966)</f>
        <v/>
      </c>
    </row>
    <row r="967">
      <c r="A967" s="8" t="n">
        <v>46188</v>
      </c>
      <c r="B967" t="inlineStr">
        <is>
          <t>2026-W25</t>
        </is>
      </c>
      <c r="C967" t="inlineStr">
        <is>
          <t>Nuvei</t>
        </is>
      </c>
      <c r="D967" t="inlineStr">
        <is>
          <t>EUR</t>
        </is>
      </c>
      <c r="E967" s="9" t="n">
        <v>256604.58</v>
      </c>
      <c r="F967" s="9" t="n">
        <v>249366.07</v>
      </c>
      <c r="G967" s="9" t="n">
        <v>-710238.37</v>
      </c>
      <c r="H967" s="9">
        <f>IF(D967="USD",E967*$L$1,E967)</f>
        <v/>
      </c>
      <c r="I967" s="9">
        <f>IF(D967="USD",F967*$L$1,F967)</f>
        <v/>
      </c>
      <c r="J967" s="9">
        <f>IF(D967="USD",G967*$L$1,G967)</f>
        <v/>
      </c>
    </row>
    <row r="968">
      <c r="A968" s="8" t="n">
        <v>46188</v>
      </c>
      <c r="B968" t="inlineStr">
        <is>
          <t>2026-W25</t>
        </is>
      </c>
      <c r="C968" t="inlineStr">
        <is>
          <t>Nuvei</t>
        </is>
      </c>
      <c r="D968" t="inlineStr">
        <is>
          <t>EUR</t>
        </is>
      </c>
      <c r="E968" s="9" t="n">
        <v>6740.19</v>
      </c>
      <c r="F968" s="9" t="n">
        <v>6509.21</v>
      </c>
      <c r="G968" s="9" t="n">
        <v>0</v>
      </c>
      <c r="H968" s="9">
        <f>IF(D968="USD",E968*$L$1,E968)</f>
        <v/>
      </c>
      <c r="I968" s="9">
        <f>IF(D968="USD",F968*$L$1,F968)</f>
        <v/>
      </c>
      <c r="J968" s="9">
        <f>IF(D968="USD",G968*$L$1,G968)</f>
        <v/>
      </c>
    </row>
    <row r="969">
      <c r="A969" s="8" t="n">
        <v>46188</v>
      </c>
      <c r="B969" t="inlineStr">
        <is>
          <t>2026-W25</t>
        </is>
      </c>
      <c r="C969" t="inlineStr">
        <is>
          <t>Nuvei</t>
        </is>
      </c>
      <c r="D969" t="inlineStr">
        <is>
          <t>USD</t>
        </is>
      </c>
      <c r="E969" s="9" t="n">
        <v>4396.6</v>
      </c>
      <c r="F969" s="9" t="n">
        <v>4248.190000000001</v>
      </c>
      <c r="G969" s="9" t="n">
        <v>0</v>
      </c>
      <c r="H969" s="9">
        <f>IF(D969="USD",E969*$L$1,E969)</f>
        <v/>
      </c>
      <c r="I969" s="9">
        <f>IF(D969="USD",F969*$L$1,F969)</f>
        <v/>
      </c>
      <c r="J969" s="9">
        <f>IF(D969="USD",G969*$L$1,G969)</f>
        <v/>
      </c>
    </row>
    <row r="970">
      <c r="A970" s="8" t="n">
        <v>46188</v>
      </c>
      <c r="B970" t="inlineStr">
        <is>
          <t>2026-W25</t>
        </is>
      </c>
      <c r="C970" t="inlineStr">
        <is>
          <t>Shift4</t>
        </is>
      </c>
      <c r="D970" t="inlineStr">
        <is>
          <t>EUR</t>
        </is>
      </c>
      <c r="E970" s="9" t="n">
        <v>585317.42</v>
      </c>
      <c r="F970" s="9" t="n">
        <v>580741.12107</v>
      </c>
      <c r="G970" s="9" t="n">
        <v>-1481397.03</v>
      </c>
      <c r="H970" s="9">
        <f>IF(D970="USD",E970*$L$1,E970)</f>
        <v/>
      </c>
      <c r="I970" s="9">
        <f>IF(D970="USD",F970*$L$1,F970)</f>
        <v/>
      </c>
      <c r="J970" s="9">
        <f>IF(D970="USD",G970*$L$1,G970)</f>
        <v/>
      </c>
    </row>
    <row r="971">
      <c r="A971" s="8" t="n">
        <v>46189</v>
      </c>
      <c r="B971" t="inlineStr">
        <is>
          <t>2026-W25</t>
        </is>
      </c>
      <c r="C971" t="inlineStr">
        <is>
          <t>Adyen</t>
        </is>
      </c>
      <c r="D971" t="inlineStr">
        <is>
          <t>EUR</t>
        </is>
      </c>
      <c r="E971" s="9" t="n">
        <v>765178.03</v>
      </c>
      <c r="F971" s="9" t="n">
        <v>0</v>
      </c>
      <c r="G971" s="9" t="n">
        <v>906727.3600000001</v>
      </c>
      <c r="H971" s="9">
        <f>IF(D971="USD",E971*$L$1,E971)</f>
        <v/>
      </c>
      <c r="I971" s="9">
        <f>IF(D971="USD",F971*$L$1,F971)</f>
        <v/>
      </c>
      <c r="J971" s="9">
        <f>IF(D971="USD",G971*$L$1,G971)</f>
        <v/>
      </c>
    </row>
    <row r="972">
      <c r="A972" s="8" t="n">
        <v>46189</v>
      </c>
      <c r="B972" t="inlineStr">
        <is>
          <t>2026-W25</t>
        </is>
      </c>
      <c r="C972" t="inlineStr">
        <is>
          <t>Adyen</t>
        </is>
      </c>
      <c r="D972" t="inlineStr">
        <is>
          <t>EUR</t>
        </is>
      </c>
      <c r="E972" s="9" t="n">
        <v>151983.92</v>
      </c>
      <c r="F972" s="9" t="n">
        <v>0</v>
      </c>
      <c r="G972" s="9" t="n">
        <v>0</v>
      </c>
      <c r="H972" s="9">
        <f>IF(D972="USD",E972*$L$1,E972)</f>
        <v/>
      </c>
      <c r="I972" s="9">
        <f>IF(D972="USD",F972*$L$1,F972)</f>
        <v/>
      </c>
      <c r="J972" s="9">
        <f>IF(D972="USD",G972*$L$1,G972)</f>
        <v/>
      </c>
    </row>
    <row r="973">
      <c r="A973" s="8" t="n">
        <v>46189</v>
      </c>
      <c r="B973" t="inlineStr">
        <is>
          <t>2026-W25</t>
        </is>
      </c>
      <c r="C973" t="inlineStr">
        <is>
          <t>Nuvei</t>
        </is>
      </c>
      <c r="D973" t="inlineStr">
        <is>
          <t>EUR</t>
        </is>
      </c>
      <c r="E973" s="9" t="n">
        <v>387320.45</v>
      </c>
      <c r="F973" s="9" t="n">
        <v>381364.86</v>
      </c>
      <c r="G973" s="9" t="n">
        <v>-381329.12</v>
      </c>
      <c r="H973" s="9">
        <f>IF(D973="USD",E973*$L$1,E973)</f>
        <v/>
      </c>
      <c r="I973" s="9">
        <f>IF(D973="USD",F973*$L$1,F973)</f>
        <v/>
      </c>
      <c r="J973" s="9">
        <f>IF(D973="USD",G973*$L$1,G973)</f>
        <v/>
      </c>
    </row>
    <row r="974">
      <c r="A974" s="8" t="n">
        <v>46189</v>
      </c>
      <c r="B974" t="inlineStr">
        <is>
          <t>2026-W25</t>
        </is>
      </c>
      <c r="C974" t="inlineStr">
        <is>
          <t>Nuvei</t>
        </is>
      </c>
      <c r="D974" t="inlineStr">
        <is>
          <t>EUR</t>
        </is>
      </c>
      <c r="E974" s="9" t="n">
        <v>279766.65</v>
      </c>
      <c r="F974" s="9" t="n">
        <v>271765.96</v>
      </c>
      <c r="G974" s="9" t="n">
        <v>-271762.46</v>
      </c>
      <c r="H974" s="9">
        <f>IF(D974="USD",E974*$L$1,E974)</f>
        <v/>
      </c>
      <c r="I974" s="9">
        <f>IF(D974="USD",F974*$L$1,F974)</f>
        <v/>
      </c>
      <c r="J974" s="9">
        <f>IF(D974="USD",G974*$L$1,G974)</f>
        <v/>
      </c>
    </row>
    <row r="975">
      <c r="A975" s="8" t="n">
        <v>46189</v>
      </c>
      <c r="B975" t="inlineStr">
        <is>
          <t>2026-W25</t>
        </is>
      </c>
      <c r="C975" t="inlineStr">
        <is>
          <t>Nuvei</t>
        </is>
      </c>
      <c r="D975" t="inlineStr">
        <is>
          <t>EUR</t>
        </is>
      </c>
      <c r="E975" s="9" t="n">
        <v>39494.4</v>
      </c>
      <c r="F975" s="9" t="n">
        <v>38524.33</v>
      </c>
      <c r="G975" s="9" t="n">
        <v>0</v>
      </c>
      <c r="H975" s="9">
        <f>IF(D975="USD",E975*$L$1,E975)</f>
        <v/>
      </c>
      <c r="I975" s="9">
        <f>IF(D975="USD",F975*$L$1,F975)</f>
        <v/>
      </c>
      <c r="J975" s="9">
        <f>IF(D975="USD",G975*$L$1,G975)</f>
        <v/>
      </c>
    </row>
    <row r="976">
      <c r="A976" s="8" t="n">
        <v>46189</v>
      </c>
      <c r="B976" t="inlineStr">
        <is>
          <t>2026-W25</t>
        </is>
      </c>
      <c r="C976" t="inlineStr">
        <is>
          <t>Nuvei</t>
        </is>
      </c>
      <c r="D976" t="inlineStr">
        <is>
          <t>USD</t>
        </is>
      </c>
      <c r="E976" s="9" t="n">
        <v>9470.9</v>
      </c>
      <c r="F976" s="9" t="n">
        <v>9198.309999999999</v>
      </c>
      <c r="G976" s="9" t="n">
        <v>0</v>
      </c>
      <c r="H976" s="9">
        <f>IF(D976="USD",E976*$L$1,E976)</f>
        <v/>
      </c>
      <c r="I976" s="9">
        <f>IF(D976="USD",F976*$L$1,F976)</f>
        <v/>
      </c>
      <c r="J976" s="9">
        <f>IF(D976="USD",G976*$L$1,G976)</f>
        <v/>
      </c>
    </row>
    <row r="977">
      <c r="A977" s="8" t="n">
        <v>46189</v>
      </c>
      <c r="B977" t="inlineStr">
        <is>
          <t>2026-W25</t>
        </is>
      </c>
      <c r="C977" t="inlineStr">
        <is>
          <t>Shift4</t>
        </is>
      </c>
      <c r="D977" t="inlineStr">
        <is>
          <t>EUR</t>
        </is>
      </c>
      <c r="E977" s="9" t="n">
        <v>581378.46</v>
      </c>
      <c r="F977" s="9" t="n">
        <v>575133.3141999999</v>
      </c>
      <c r="G977" s="9" t="n">
        <v>-575133.3100000001</v>
      </c>
      <c r="H977" s="9">
        <f>IF(D977="USD",E977*$L$1,E977)</f>
        <v/>
      </c>
      <c r="I977" s="9">
        <f>IF(D977="USD",F977*$L$1,F977)</f>
        <v/>
      </c>
      <c r="J977" s="9">
        <f>IF(D977="USD",G977*$L$1,G977)</f>
        <v/>
      </c>
    </row>
    <row r="978">
      <c r="A978" s="8" t="n">
        <v>46190</v>
      </c>
      <c r="B978" t="inlineStr">
        <is>
          <t>2026-W25</t>
        </is>
      </c>
      <c r="C978" t="inlineStr">
        <is>
          <t>Adyen</t>
        </is>
      </c>
      <c r="D978" t="inlineStr">
        <is>
          <t>EUR</t>
        </is>
      </c>
      <c r="E978" s="9" t="n">
        <v>739109.61</v>
      </c>
      <c r="F978" s="9" t="n">
        <v>0</v>
      </c>
      <c r="G978" s="9" t="n">
        <v>885674.51</v>
      </c>
      <c r="H978" s="9">
        <f>IF(D978="USD",E978*$L$1,E978)</f>
        <v/>
      </c>
      <c r="I978" s="9">
        <f>IF(D978="USD",F978*$L$1,F978)</f>
        <v/>
      </c>
      <c r="J978" s="9">
        <f>IF(D978="USD",G978*$L$1,G978)</f>
        <v/>
      </c>
    </row>
    <row r="979">
      <c r="A979" s="8" t="n">
        <v>46190</v>
      </c>
      <c r="B979" t="inlineStr">
        <is>
          <t>2026-W25</t>
        </is>
      </c>
      <c r="C979" t="inlineStr">
        <is>
          <t>Adyen</t>
        </is>
      </c>
      <c r="D979" t="inlineStr">
        <is>
          <t>EUR</t>
        </is>
      </c>
      <c r="E979" s="9" t="n">
        <v>152606.88</v>
      </c>
      <c r="F979" s="9" t="n">
        <v>0</v>
      </c>
      <c r="G979" s="9" t="n">
        <v>0</v>
      </c>
      <c r="H979" s="9">
        <f>IF(D979="USD",E979*$L$1,E979)</f>
        <v/>
      </c>
      <c r="I979" s="9">
        <f>IF(D979="USD",F979*$L$1,F979)</f>
        <v/>
      </c>
      <c r="J979" s="9">
        <f>IF(D979="USD",G979*$L$1,G979)</f>
        <v/>
      </c>
    </row>
    <row r="980">
      <c r="A980" s="8" t="n">
        <v>46190</v>
      </c>
      <c r="B980" t="inlineStr">
        <is>
          <t>2026-W25</t>
        </is>
      </c>
      <c r="C980" t="inlineStr">
        <is>
          <t>Nuvei</t>
        </is>
      </c>
      <c r="D980" t="inlineStr">
        <is>
          <t>EUR</t>
        </is>
      </c>
      <c r="E980" s="9" t="n">
        <v>411756.02</v>
      </c>
      <c r="F980" s="9" t="n">
        <v>404973.39</v>
      </c>
      <c r="G980" s="9" t="n">
        <v>-404931.65</v>
      </c>
      <c r="H980" s="9">
        <f>IF(D980="USD",E980*$L$1,E980)</f>
        <v/>
      </c>
      <c r="I980" s="9">
        <f>IF(D980="USD",F980*$L$1,F980)</f>
        <v/>
      </c>
      <c r="J980" s="9">
        <f>IF(D980="USD",G980*$L$1,G980)</f>
        <v/>
      </c>
    </row>
    <row r="981">
      <c r="A981" s="8" t="n">
        <v>46190</v>
      </c>
      <c r="B981" t="inlineStr">
        <is>
          <t>2026-W25</t>
        </is>
      </c>
      <c r="C981" t="inlineStr">
        <is>
          <t>Nuvei</t>
        </is>
      </c>
      <c r="D981" t="inlineStr">
        <is>
          <t>EUR</t>
        </is>
      </c>
      <c r="E981" s="9" t="n">
        <v>272475.24</v>
      </c>
      <c r="F981" s="9" t="n">
        <v>264671.04</v>
      </c>
      <c r="G981" s="9" t="n">
        <v>-264070.29</v>
      </c>
      <c r="H981" s="9">
        <f>IF(D981="USD",E981*$L$1,E981)</f>
        <v/>
      </c>
      <c r="I981" s="9">
        <f>IF(D981="USD",F981*$L$1,F981)</f>
        <v/>
      </c>
      <c r="J981" s="9">
        <f>IF(D981="USD",G981*$L$1,G981)</f>
        <v/>
      </c>
    </row>
    <row r="982">
      <c r="A982" s="8" t="n">
        <v>46190</v>
      </c>
      <c r="B982" t="inlineStr">
        <is>
          <t>2026-W25</t>
        </is>
      </c>
      <c r="C982" t="inlineStr">
        <is>
          <t>Nuvei</t>
        </is>
      </c>
      <c r="D982" t="inlineStr">
        <is>
          <t>EUR</t>
        </is>
      </c>
      <c r="E982" s="9" t="n">
        <v>35734.21</v>
      </c>
      <c r="F982" s="9" t="n">
        <v>34861.96</v>
      </c>
      <c r="G982" s="9" t="n">
        <v>0</v>
      </c>
      <c r="H982" s="9">
        <f>IF(D982="USD",E982*$L$1,E982)</f>
        <v/>
      </c>
      <c r="I982" s="9">
        <f>IF(D982="USD",F982*$L$1,F982)</f>
        <v/>
      </c>
      <c r="J982" s="9">
        <f>IF(D982="USD",G982*$L$1,G982)</f>
        <v/>
      </c>
    </row>
    <row r="983">
      <c r="A983" s="8" t="n">
        <v>46190</v>
      </c>
      <c r="B983" t="inlineStr">
        <is>
          <t>2026-W25</t>
        </is>
      </c>
      <c r="C983" t="inlineStr">
        <is>
          <t>Nuvei</t>
        </is>
      </c>
      <c r="D983" t="inlineStr">
        <is>
          <t>USD</t>
        </is>
      </c>
      <c r="E983" s="9" t="n">
        <v>13618.9</v>
      </c>
      <c r="F983" s="9" t="n">
        <v>13235.12</v>
      </c>
      <c r="G983" s="9" t="n">
        <v>0</v>
      </c>
      <c r="H983" s="9">
        <f>IF(D983="USD",E983*$L$1,E983)</f>
        <v/>
      </c>
      <c r="I983" s="9">
        <f>IF(D983="USD",F983*$L$1,F983)</f>
        <v/>
      </c>
      <c r="J983" s="9">
        <f>IF(D983="USD",G983*$L$1,G983)</f>
        <v/>
      </c>
    </row>
    <row r="984">
      <c r="A984" s="8" t="n">
        <v>46190</v>
      </c>
      <c r="B984" t="inlineStr">
        <is>
          <t>2026-W25</t>
        </is>
      </c>
      <c r="C984" t="inlineStr">
        <is>
          <t>Shift4</t>
        </is>
      </c>
      <c r="D984" t="inlineStr">
        <is>
          <t>EUR</t>
        </is>
      </c>
      <c r="E984" s="9" t="n">
        <v>559251.89</v>
      </c>
      <c r="F984" s="9" t="n">
        <v>553367.53</v>
      </c>
      <c r="G984" s="9" t="n">
        <v>-553367.53</v>
      </c>
      <c r="H984" s="9">
        <f>IF(D984="USD",E984*$L$1,E984)</f>
        <v/>
      </c>
      <c r="I984" s="9">
        <f>IF(D984="USD",F984*$L$1,F984)</f>
        <v/>
      </c>
      <c r="J984" s="9">
        <f>IF(D984="USD",G984*$L$1,G984)</f>
        <v/>
      </c>
    </row>
    <row r="985">
      <c r="A985" s="8" t="n">
        <v>46191</v>
      </c>
      <c r="B985" t="inlineStr">
        <is>
          <t>2026-W25</t>
        </is>
      </c>
      <c r="C985" t="inlineStr">
        <is>
          <t>Adyen</t>
        </is>
      </c>
      <c r="D985" t="inlineStr">
        <is>
          <t>EUR</t>
        </is>
      </c>
      <c r="E985" s="9" t="n">
        <v>698215.97</v>
      </c>
      <c r="F985" s="9" t="n">
        <v>0</v>
      </c>
      <c r="G985" s="9" t="n">
        <v>804202.91</v>
      </c>
      <c r="H985" s="9">
        <f>IF(D985="USD",E985*$L$1,E985)</f>
        <v/>
      </c>
      <c r="I985" s="9">
        <f>IF(D985="USD",F985*$L$1,F985)</f>
        <v/>
      </c>
      <c r="J985" s="9">
        <f>IF(D985="USD",G985*$L$1,G985)</f>
        <v/>
      </c>
    </row>
    <row r="986">
      <c r="A986" s="8" t="n">
        <v>46191</v>
      </c>
      <c r="B986" t="inlineStr">
        <is>
          <t>2026-W25</t>
        </is>
      </c>
      <c r="C986" t="inlineStr">
        <is>
          <t>Adyen</t>
        </is>
      </c>
      <c r="D986" t="inlineStr">
        <is>
          <t>EUR</t>
        </is>
      </c>
      <c r="E986" s="9" t="n">
        <v>112477.56</v>
      </c>
      <c r="F986" s="9" t="n">
        <v>0</v>
      </c>
      <c r="G986" s="9" t="n">
        <v>0</v>
      </c>
      <c r="H986" s="9">
        <f>IF(D986="USD",E986*$L$1,E986)</f>
        <v/>
      </c>
      <c r="I986" s="9">
        <f>IF(D986="USD",F986*$L$1,F986)</f>
        <v/>
      </c>
      <c r="J986" s="9">
        <f>IF(D986="USD",G986*$L$1,G986)</f>
        <v/>
      </c>
    </row>
    <row r="987">
      <c r="A987" s="8" t="n">
        <v>46191</v>
      </c>
      <c r="B987" t="inlineStr">
        <is>
          <t>2026-W25</t>
        </is>
      </c>
      <c r="C987" t="inlineStr">
        <is>
          <t>Nuvei</t>
        </is>
      </c>
      <c r="D987" t="inlineStr">
        <is>
          <t>EUR</t>
        </is>
      </c>
      <c r="E987" s="9" t="n">
        <v>366895.85</v>
      </c>
      <c r="F987" s="9" t="n">
        <v>365672.02</v>
      </c>
      <c r="G987" s="9" t="n">
        <v>-365672.02</v>
      </c>
      <c r="H987" s="9">
        <f>IF(D987="USD",E987*$L$1,E987)</f>
        <v/>
      </c>
      <c r="I987" s="9">
        <f>IF(D987="USD",F987*$L$1,F987)</f>
        <v/>
      </c>
      <c r="J987" s="9">
        <f>IF(D987="USD",G987*$L$1,G987)</f>
        <v/>
      </c>
    </row>
    <row r="988">
      <c r="A988" s="8" t="n">
        <v>46191</v>
      </c>
      <c r="B988" t="inlineStr">
        <is>
          <t>2026-W25</t>
        </is>
      </c>
      <c r="C988" t="inlineStr">
        <is>
          <t>Nuvei</t>
        </is>
      </c>
      <c r="D988" t="inlineStr">
        <is>
          <t>EUR</t>
        </is>
      </c>
      <c r="E988" s="9" t="n">
        <v>255729.32</v>
      </c>
      <c r="F988" s="9" t="n">
        <v>250091.59</v>
      </c>
      <c r="G988" s="9" t="n">
        <v>-249617.07</v>
      </c>
      <c r="H988" s="9">
        <f>IF(D988="USD",E988*$L$1,E988)</f>
        <v/>
      </c>
      <c r="I988" s="9">
        <f>IF(D988="USD",F988*$L$1,F988)</f>
        <v/>
      </c>
      <c r="J988" s="9">
        <f>IF(D988="USD",G988*$L$1,G988)</f>
        <v/>
      </c>
    </row>
    <row r="989">
      <c r="A989" s="8" t="n">
        <v>46191</v>
      </c>
      <c r="B989" t="inlineStr">
        <is>
          <t>2026-W25</t>
        </is>
      </c>
      <c r="C989" t="inlineStr">
        <is>
          <t>Nuvei</t>
        </is>
      </c>
      <c r="D989" t="inlineStr">
        <is>
          <t>EUR</t>
        </is>
      </c>
      <c r="E989" s="9" t="n">
        <v>39247.25</v>
      </c>
      <c r="F989" s="9" t="n">
        <v>38210.18</v>
      </c>
      <c r="G989" s="9" t="n">
        <v>0</v>
      </c>
      <c r="H989" s="9">
        <f>IF(D989="USD",E989*$L$1,E989)</f>
        <v/>
      </c>
      <c r="I989" s="9">
        <f>IF(D989="USD",F989*$L$1,F989)</f>
        <v/>
      </c>
      <c r="J989" s="9">
        <f>IF(D989="USD",G989*$L$1,G989)</f>
        <v/>
      </c>
    </row>
    <row r="990">
      <c r="A990" s="8" t="n">
        <v>46191</v>
      </c>
      <c r="B990" t="inlineStr">
        <is>
          <t>2026-W25</t>
        </is>
      </c>
      <c r="C990" t="inlineStr">
        <is>
          <t>Nuvei</t>
        </is>
      </c>
      <c r="D990" t="inlineStr">
        <is>
          <t>USD</t>
        </is>
      </c>
      <c r="E990" s="9" t="n">
        <v>36215.3</v>
      </c>
      <c r="F990" s="9" t="n">
        <v>35909.78000000001</v>
      </c>
      <c r="G990" s="9" t="n">
        <v>0</v>
      </c>
      <c r="H990" s="9">
        <f>IF(D990="USD",E990*$L$1,E990)</f>
        <v/>
      </c>
      <c r="I990" s="9">
        <f>IF(D990="USD",F990*$L$1,F990)</f>
        <v/>
      </c>
      <c r="J990" s="9">
        <f>IF(D990="USD",G990*$L$1,G990)</f>
        <v/>
      </c>
    </row>
    <row r="991">
      <c r="A991" s="8" t="n">
        <v>46191</v>
      </c>
      <c r="B991" t="inlineStr">
        <is>
          <t>2026-W25</t>
        </is>
      </c>
      <c r="C991" t="inlineStr">
        <is>
          <t>Shift4</t>
        </is>
      </c>
      <c r="D991" t="inlineStr">
        <is>
          <t>EUR</t>
        </is>
      </c>
      <c r="E991" s="9" t="n">
        <v>543814.9300000001</v>
      </c>
      <c r="F991" s="9" t="n">
        <v>538004.76</v>
      </c>
      <c r="G991" s="9" t="n">
        <v>-538004.76</v>
      </c>
      <c r="H991" s="9">
        <f>IF(D991="USD",E991*$L$1,E991)</f>
        <v/>
      </c>
      <c r="I991" s="9">
        <f>IF(D991="USD",F991*$L$1,F991)</f>
        <v/>
      </c>
      <c r="J991" s="9">
        <f>IF(D991="USD",G991*$L$1,G991)</f>
        <v/>
      </c>
    </row>
    <row r="992">
      <c r="A992" s="8" t="n">
        <v>46192</v>
      </c>
      <c r="B992" t="inlineStr">
        <is>
          <t>2026-W25</t>
        </is>
      </c>
      <c r="C992" t="inlineStr">
        <is>
          <t>Adyen</t>
        </is>
      </c>
      <c r="D992" t="inlineStr">
        <is>
          <t>EUR</t>
        </is>
      </c>
      <c r="E992" s="9" t="n">
        <v>682575.34</v>
      </c>
      <c r="F992" s="9" t="n">
        <v>0</v>
      </c>
      <c r="G992" s="9" t="n">
        <v>1975858.55</v>
      </c>
      <c r="H992" s="9">
        <f>IF(D992="USD",E992*$L$1,E992)</f>
        <v/>
      </c>
      <c r="I992" s="9">
        <f>IF(D992="USD",F992*$L$1,F992)</f>
        <v/>
      </c>
      <c r="J992" s="9">
        <f>IF(D992="USD",G992*$L$1,G992)</f>
        <v/>
      </c>
    </row>
    <row r="993">
      <c r="A993" s="8" t="n">
        <v>46192</v>
      </c>
      <c r="B993" t="inlineStr">
        <is>
          <t>2026-W25</t>
        </is>
      </c>
      <c r="C993" t="inlineStr">
        <is>
          <t>Adyen</t>
        </is>
      </c>
      <c r="D993" t="inlineStr">
        <is>
          <t>EUR</t>
        </is>
      </c>
      <c r="E993" s="9" t="n">
        <v>106915.47</v>
      </c>
      <c r="F993" s="9" t="n">
        <v>0</v>
      </c>
      <c r="G993" s="9" t="n">
        <v>0</v>
      </c>
      <c r="H993" s="9">
        <f>IF(D993="USD",E993*$L$1,E993)</f>
        <v/>
      </c>
      <c r="I993" s="9">
        <f>IF(D993="USD",F993*$L$1,F993)</f>
        <v/>
      </c>
      <c r="J993" s="9">
        <f>IF(D993="USD",G993*$L$1,G993)</f>
        <v/>
      </c>
    </row>
    <row r="994">
      <c r="A994" s="8" t="n">
        <v>46192</v>
      </c>
      <c r="B994" t="inlineStr">
        <is>
          <t>2026-W25</t>
        </is>
      </c>
      <c r="C994" t="inlineStr">
        <is>
          <t>Nuvei</t>
        </is>
      </c>
      <c r="D994" t="inlineStr">
        <is>
          <t>EUR</t>
        </is>
      </c>
      <c r="E994" s="9" t="n">
        <v>360415.67</v>
      </c>
      <c r="F994" s="9" t="n">
        <v>353799.82</v>
      </c>
      <c r="G994" s="9" t="n">
        <v>-353642.97</v>
      </c>
      <c r="H994" s="9">
        <f>IF(D994="USD",E994*$L$1,E994)</f>
        <v/>
      </c>
      <c r="I994" s="9">
        <f>IF(D994="USD",F994*$L$1,F994)</f>
        <v/>
      </c>
      <c r="J994" s="9">
        <f>IF(D994="USD",G994*$L$1,G994)</f>
        <v/>
      </c>
    </row>
    <row r="995">
      <c r="A995" s="8" t="n">
        <v>46192</v>
      </c>
      <c r="B995" t="inlineStr">
        <is>
          <t>2026-W25</t>
        </is>
      </c>
      <c r="C995" t="inlineStr">
        <is>
          <t>Nuvei</t>
        </is>
      </c>
      <c r="D995" t="inlineStr">
        <is>
          <t>EUR</t>
        </is>
      </c>
      <c r="E995" s="9" t="n">
        <v>208801.42</v>
      </c>
      <c r="F995" s="9" t="n">
        <v>202939.34</v>
      </c>
      <c r="G995" s="9" t="n">
        <v>-202935.84</v>
      </c>
      <c r="H995" s="9">
        <f>IF(D995="USD",E995*$L$1,E995)</f>
        <v/>
      </c>
      <c r="I995" s="9">
        <f>IF(D995="USD",F995*$L$1,F995)</f>
        <v/>
      </c>
      <c r="J995" s="9">
        <f>IF(D995="USD",G995*$L$1,G995)</f>
        <v/>
      </c>
    </row>
    <row r="996">
      <c r="A996" s="8" t="n">
        <v>46192</v>
      </c>
      <c r="B996" t="inlineStr">
        <is>
          <t>2026-W25</t>
        </is>
      </c>
      <c r="C996" t="inlineStr">
        <is>
          <t>Nuvei</t>
        </is>
      </c>
      <c r="D996" t="inlineStr">
        <is>
          <t>EUR</t>
        </is>
      </c>
      <c r="E996" s="9" t="n">
        <v>25371</v>
      </c>
      <c r="F996" s="9" t="n">
        <v>24724.54</v>
      </c>
      <c r="G996" s="9" t="n">
        <v>0</v>
      </c>
      <c r="H996" s="9">
        <f>IF(D996="USD",E996*$L$1,E996)</f>
        <v/>
      </c>
      <c r="I996" s="9">
        <f>IF(D996="USD",F996*$L$1,F996)</f>
        <v/>
      </c>
      <c r="J996" s="9">
        <f>IF(D996="USD",G996*$L$1,G996)</f>
        <v/>
      </c>
    </row>
    <row r="997">
      <c r="A997" s="8" t="n">
        <v>46192</v>
      </c>
      <c r="B997" t="inlineStr">
        <is>
          <t>2026-W25</t>
        </is>
      </c>
      <c r="C997" t="inlineStr">
        <is>
          <t>Nuvei</t>
        </is>
      </c>
      <c r="D997" t="inlineStr">
        <is>
          <t>USD</t>
        </is>
      </c>
      <c r="E997" s="9" t="n">
        <v>5675.9</v>
      </c>
      <c r="F997" s="9" t="n">
        <v>5496.54</v>
      </c>
      <c r="G997" s="9" t="n">
        <v>0</v>
      </c>
      <c r="H997" s="9">
        <f>IF(D997="USD",E997*$L$1,E997)</f>
        <v/>
      </c>
      <c r="I997" s="9">
        <f>IF(D997="USD",F997*$L$1,F997)</f>
        <v/>
      </c>
      <c r="J997" s="9">
        <f>IF(D997="USD",G997*$L$1,G997)</f>
        <v/>
      </c>
    </row>
    <row r="998">
      <c r="A998" s="8" t="n">
        <v>46192</v>
      </c>
      <c r="B998" t="inlineStr">
        <is>
          <t>2026-W25</t>
        </is>
      </c>
      <c r="C998" t="inlineStr">
        <is>
          <t>Shift4</t>
        </is>
      </c>
      <c r="D998" t="inlineStr">
        <is>
          <t>EUR</t>
        </is>
      </c>
      <c r="E998" s="9" t="n">
        <v>444761.8</v>
      </c>
      <c r="F998" s="9" t="n">
        <v>439640.63</v>
      </c>
      <c r="G998" s="9" t="n">
        <v>-439640.63</v>
      </c>
      <c r="H998" s="9">
        <f>IF(D998="USD",E998*$L$1,E998)</f>
        <v/>
      </c>
      <c r="I998" s="9">
        <f>IF(D998="USD",F998*$L$1,F998)</f>
        <v/>
      </c>
      <c r="J998" s="9">
        <f>IF(D998="USD",G998*$L$1,G998)</f>
        <v/>
      </c>
    </row>
    <row r="999">
      <c r="A999" s="8" t="n">
        <v>46193</v>
      </c>
      <c r="B999" t="inlineStr">
        <is>
          <t>2026-W25</t>
        </is>
      </c>
      <c r="C999" t="inlineStr">
        <is>
          <t>Adyen</t>
        </is>
      </c>
      <c r="D999" t="inlineStr">
        <is>
          <t>EUR</t>
        </is>
      </c>
      <c r="E999" s="9" t="n">
        <v>492510.79</v>
      </c>
      <c r="F999" s="9" t="n">
        <v>0</v>
      </c>
      <c r="G999" s="9" t="n">
        <v>0</v>
      </c>
      <c r="H999" s="9">
        <f>IF(D999="USD",E999*$L$1,E999)</f>
        <v/>
      </c>
      <c r="I999" s="9">
        <f>IF(D999="USD",F999*$L$1,F999)</f>
        <v/>
      </c>
      <c r="J999" s="9">
        <f>IF(D999="USD",G999*$L$1,G999)</f>
        <v/>
      </c>
    </row>
    <row r="1000">
      <c r="A1000" s="8" t="n">
        <v>46193</v>
      </c>
      <c r="B1000" t="inlineStr">
        <is>
          <t>2026-W25</t>
        </is>
      </c>
      <c r="C1000" t="inlineStr">
        <is>
          <t>Adyen</t>
        </is>
      </c>
      <c r="D1000" t="inlineStr">
        <is>
          <t>EUR</t>
        </is>
      </c>
      <c r="E1000" s="9" t="n">
        <v>94607.03999999999</v>
      </c>
      <c r="F1000" s="9" t="n">
        <v>0</v>
      </c>
      <c r="G1000" s="9" t="n">
        <v>0</v>
      </c>
      <c r="H1000" s="9">
        <f>IF(D1000="USD",E1000*$L$1,E1000)</f>
        <v/>
      </c>
      <c r="I1000" s="9">
        <f>IF(D1000="USD",F1000*$L$1,F1000)</f>
        <v/>
      </c>
      <c r="J1000" s="9">
        <f>IF(D1000="USD",G1000*$L$1,G1000)</f>
        <v/>
      </c>
    </row>
    <row r="1001">
      <c r="A1001" s="8" t="n">
        <v>46193</v>
      </c>
      <c r="B1001" t="inlineStr">
        <is>
          <t>2026-W25</t>
        </is>
      </c>
      <c r="C1001" t="inlineStr">
        <is>
          <t>Nuvei</t>
        </is>
      </c>
      <c r="D1001" t="inlineStr">
        <is>
          <t>EUR</t>
        </is>
      </c>
      <c r="E1001" s="9" t="n">
        <v>266233.37</v>
      </c>
      <c r="F1001" s="9" t="n">
        <v>261368.54</v>
      </c>
      <c r="G1001" s="9" t="n">
        <v>0</v>
      </c>
      <c r="H1001" s="9">
        <f>IF(D1001="USD",E1001*$L$1,E1001)</f>
        <v/>
      </c>
      <c r="I1001" s="9">
        <f>IF(D1001="USD",F1001*$L$1,F1001)</f>
        <v/>
      </c>
      <c r="J1001" s="9">
        <f>IF(D1001="USD",G1001*$L$1,G1001)</f>
        <v/>
      </c>
    </row>
    <row r="1002">
      <c r="A1002" s="8" t="n">
        <v>46193</v>
      </c>
      <c r="B1002" t="inlineStr">
        <is>
          <t>2026-W25</t>
        </is>
      </c>
      <c r="C1002" t="inlineStr">
        <is>
          <t>Nuvei</t>
        </is>
      </c>
      <c r="D1002" t="inlineStr">
        <is>
          <t>EUR</t>
        </is>
      </c>
      <c r="E1002" s="9" t="n">
        <v>183219.14</v>
      </c>
      <c r="F1002" s="9" t="n">
        <v>177946.29</v>
      </c>
      <c r="G1002" s="9" t="n">
        <v>0</v>
      </c>
      <c r="H1002" s="9">
        <f>IF(D1002="USD",E1002*$L$1,E1002)</f>
        <v/>
      </c>
      <c r="I1002" s="9">
        <f>IF(D1002="USD",F1002*$L$1,F1002)</f>
        <v/>
      </c>
      <c r="J1002" s="9">
        <f>IF(D1002="USD",G1002*$L$1,G1002)</f>
        <v/>
      </c>
    </row>
    <row r="1003">
      <c r="A1003" s="8" t="n">
        <v>46193</v>
      </c>
      <c r="B1003" t="inlineStr">
        <is>
          <t>2026-W25</t>
        </is>
      </c>
      <c r="C1003" t="inlineStr">
        <is>
          <t>Nuvei</t>
        </is>
      </c>
      <c r="D1003" t="inlineStr">
        <is>
          <t>EUR</t>
        </is>
      </c>
      <c r="E1003" s="9" t="n">
        <v>42717.5</v>
      </c>
      <c r="F1003" s="9" t="n">
        <v>41597.55</v>
      </c>
      <c r="G1003" s="9" t="n">
        <v>0</v>
      </c>
      <c r="H1003" s="9">
        <f>IF(D1003="USD",E1003*$L$1,E1003)</f>
        <v/>
      </c>
      <c r="I1003" s="9">
        <f>IF(D1003="USD",F1003*$L$1,F1003)</f>
        <v/>
      </c>
      <c r="J1003" s="9">
        <f>IF(D1003="USD",G1003*$L$1,G1003)</f>
        <v/>
      </c>
    </row>
    <row r="1004">
      <c r="A1004" s="8" t="n">
        <v>46193</v>
      </c>
      <c r="B1004" t="inlineStr">
        <is>
          <t>2026-W25</t>
        </is>
      </c>
      <c r="C1004" t="inlineStr">
        <is>
          <t>Nuvei</t>
        </is>
      </c>
      <c r="D1004" t="inlineStr">
        <is>
          <t>USD</t>
        </is>
      </c>
      <c r="E1004" s="9" t="n">
        <v>8009.6</v>
      </c>
      <c r="F1004" s="9" t="n">
        <v>7762.09</v>
      </c>
      <c r="G1004" s="9" t="n">
        <v>0</v>
      </c>
      <c r="H1004" s="9">
        <f>IF(D1004="USD",E1004*$L$1,E1004)</f>
        <v/>
      </c>
      <c r="I1004" s="9">
        <f>IF(D1004="USD",F1004*$L$1,F1004)</f>
        <v/>
      </c>
      <c r="J1004" s="9">
        <f>IF(D1004="USD",G1004*$L$1,G1004)</f>
        <v/>
      </c>
    </row>
    <row r="1005">
      <c r="A1005" s="8" t="n">
        <v>46193</v>
      </c>
      <c r="B1005" t="inlineStr">
        <is>
          <t>2026-W25</t>
        </is>
      </c>
      <c r="C1005" t="inlineStr">
        <is>
          <t>Shift4</t>
        </is>
      </c>
      <c r="D1005" t="inlineStr">
        <is>
          <t>EUR</t>
        </is>
      </c>
      <c r="E1005" s="9" t="n">
        <v>359557.71</v>
      </c>
      <c r="F1005" s="9" t="n">
        <v>356044.93</v>
      </c>
      <c r="G1005" s="9" t="n">
        <v>0</v>
      </c>
      <c r="H1005" s="9">
        <f>IF(D1005="USD",E1005*$L$1,E1005)</f>
        <v/>
      </c>
      <c r="I1005" s="9">
        <f>IF(D1005="USD",F1005*$L$1,F1005)</f>
        <v/>
      </c>
      <c r="J1005" s="9">
        <f>IF(D1005="USD",G1005*$L$1,G1005)</f>
        <v/>
      </c>
    </row>
    <row r="1006">
      <c r="A1006" s="8" t="n">
        <v>46194</v>
      </c>
      <c r="B1006" t="inlineStr">
        <is>
          <t>2026-W25</t>
        </is>
      </c>
      <c r="C1006" t="inlineStr">
        <is>
          <t>Adyen</t>
        </is>
      </c>
      <c r="D1006" t="inlineStr">
        <is>
          <t>EUR</t>
        </is>
      </c>
      <c r="E1006" s="9" t="n">
        <v>527849.61</v>
      </c>
      <c r="F1006" s="9" t="n">
        <v>0</v>
      </c>
      <c r="G1006" s="9" t="n">
        <v>0</v>
      </c>
      <c r="H1006" s="9">
        <f>IF(D1006="USD",E1006*$L$1,E1006)</f>
        <v/>
      </c>
      <c r="I1006" s="9">
        <f>IF(D1006="USD",F1006*$L$1,F1006)</f>
        <v/>
      </c>
      <c r="J1006" s="9">
        <f>IF(D1006="USD",G1006*$L$1,G1006)</f>
        <v/>
      </c>
    </row>
    <row r="1007">
      <c r="A1007" s="8" t="n">
        <v>46194</v>
      </c>
      <c r="B1007" t="inlineStr">
        <is>
          <t>2026-W25</t>
        </is>
      </c>
      <c r="C1007" t="inlineStr">
        <is>
          <t>Adyen</t>
        </is>
      </c>
      <c r="D1007" t="inlineStr">
        <is>
          <t>EUR</t>
        </is>
      </c>
      <c r="E1007" s="9" t="n">
        <v>82009.03999999999</v>
      </c>
      <c r="F1007" s="9" t="n">
        <v>0</v>
      </c>
      <c r="G1007" s="9" t="n">
        <v>0</v>
      </c>
      <c r="H1007" s="9">
        <f>IF(D1007="USD",E1007*$L$1,E1007)</f>
        <v/>
      </c>
      <c r="I1007" s="9">
        <f>IF(D1007="USD",F1007*$L$1,F1007)</f>
        <v/>
      </c>
      <c r="J1007" s="9">
        <f>IF(D1007="USD",G1007*$L$1,G1007)</f>
        <v/>
      </c>
    </row>
    <row r="1008">
      <c r="A1008" s="8" t="n">
        <v>46194</v>
      </c>
      <c r="B1008" t="inlineStr">
        <is>
          <t>2026-W25</t>
        </is>
      </c>
      <c r="C1008" t="inlineStr">
        <is>
          <t>Nuvei</t>
        </is>
      </c>
      <c r="D1008" t="inlineStr">
        <is>
          <t>EUR</t>
        </is>
      </c>
      <c r="E1008" s="9" t="n">
        <v>267283.55</v>
      </c>
      <c r="F1008" s="9" t="n">
        <v>262721.08</v>
      </c>
      <c r="G1008" s="9" t="n">
        <v>0</v>
      </c>
      <c r="H1008" s="9">
        <f>IF(D1008="USD",E1008*$L$1,E1008)</f>
        <v/>
      </c>
      <c r="I1008" s="9">
        <f>IF(D1008="USD",F1008*$L$1,F1008)</f>
        <v/>
      </c>
      <c r="J1008" s="9">
        <f>IF(D1008="USD",G1008*$L$1,G1008)</f>
        <v/>
      </c>
    </row>
    <row r="1009">
      <c r="A1009" s="8" t="n">
        <v>46194</v>
      </c>
      <c r="B1009" t="inlineStr">
        <is>
          <t>2026-W25</t>
        </is>
      </c>
      <c r="C1009" t="inlineStr">
        <is>
          <t>Nuvei</t>
        </is>
      </c>
      <c r="D1009" t="inlineStr">
        <is>
          <t>EUR</t>
        </is>
      </c>
      <c r="E1009" s="9" t="n">
        <v>179768.78</v>
      </c>
      <c r="F1009" s="9" t="n">
        <v>174536.79</v>
      </c>
      <c r="G1009" s="9" t="n">
        <v>0</v>
      </c>
      <c r="H1009" s="9">
        <f>IF(D1009="USD",E1009*$L$1,E1009)</f>
        <v/>
      </c>
      <c r="I1009" s="9">
        <f>IF(D1009="USD",F1009*$L$1,F1009)</f>
        <v/>
      </c>
      <c r="J1009" s="9">
        <f>IF(D1009="USD",G1009*$L$1,G1009)</f>
        <v/>
      </c>
    </row>
    <row r="1010">
      <c r="A1010" s="8" t="n">
        <v>46194</v>
      </c>
      <c r="B1010" t="inlineStr">
        <is>
          <t>2026-W25</t>
        </is>
      </c>
      <c r="C1010" t="inlineStr">
        <is>
          <t>Nuvei</t>
        </is>
      </c>
      <c r="D1010" t="inlineStr">
        <is>
          <t>EUR</t>
        </is>
      </c>
      <c r="E1010" s="9" t="n">
        <v>11077.18</v>
      </c>
      <c r="F1010" s="9" t="n">
        <v>10732.97</v>
      </c>
      <c r="G1010" s="9" t="n">
        <v>0</v>
      </c>
      <c r="H1010" s="9">
        <f>IF(D1010="USD",E1010*$L$1,E1010)</f>
        <v/>
      </c>
      <c r="I1010" s="9">
        <f>IF(D1010="USD",F1010*$L$1,F1010)</f>
        <v/>
      </c>
      <c r="J1010" s="9">
        <f>IF(D1010="USD",G1010*$L$1,G1010)</f>
        <v/>
      </c>
    </row>
    <row r="1011">
      <c r="A1011" s="8" t="n">
        <v>46194</v>
      </c>
      <c r="B1011" t="inlineStr">
        <is>
          <t>2026-W25</t>
        </is>
      </c>
      <c r="C1011" t="inlineStr">
        <is>
          <t>Nuvei</t>
        </is>
      </c>
      <c r="D1011" t="inlineStr">
        <is>
          <t>USD</t>
        </is>
      </c>
      <c r="E1011" s="9" t="n">
        <v>6641.4</v>
      </c>
      <c r="F1011" s="9" t="n">
        <v>6428.179999999999</v>
      </c>
      <c r="G1011" s="9" t="n">
        <v>0</v>
      </c>
      <c r="H1011" s="9">
        <f>IF(D1011="USD",E1011*$L$1,E1011)</f>
        <v/>
      </c>
      <c r="I1011" s="9">
        <f>IF(D1011="USD",F1011*$L$1,F1011)</f>
        <v/>
      </c>
      <c r="J1011" s="9">
        <f>IF(D1011="USD",G1011*$L$1,G1011)</f>
        <v/>
      </c>
    </row>
    <row r="1012">
      <c r="A1012" s="8" t="n">
        <v>46194</v>
      </c>
      <c r="B1012" t="inlineStr">
        <is>
          <t>2026-W25</t>
        </is>
      </c>
      <c r="C1012" t="inlineStr">
        <is>
          <t>Shift4</t>
        </is>
      </c>
      <c r="D1012" t="inlineStr">
        <is>
          <t>EUR</t>
        </is>
      </c>
      <c r="E1012" s="9" t="n">
        <v>441783.72</v>
      </c>
      <c r="F1012" s="9" t="n">
        <v>437805.58</v>
      </c>
      <c r="G1012" s="9" t="n">
        <v>0</v>
      </c>
      <c r="H1012" s="9">
        <f>IF(D1012="USD",E1012*$L$1,E1012)</f>
        <v/>
      </c>
      <c r="I1012" s="9">
        <f>IF(D1012="USD",F1012*$L$1,F1012)</f>
        <v/>
      </c>
      <c r="J1012" s="9">
        <f>IF(D1012="USD",G1012*$L$1,G1012)</f>
        <v/>
      </c>
    </row>
    <row r="1013">
      <c r="A1013" s="8" t="n">
        <v>46195</v>
      </c>
      <c r="B1013" t="inlineStr">
        <is>
          <t>2026-W26</t>
        </is>
      </c>
      <c r="C1013" t="inlineStr">
        <is>
          <t>Adyen</t>
        </is>
      </c>
      <c r="D1013" t="inlineStr">
        <is>
          <t>EUR</t>
        </is>
      </c>
      <c r="E1013" s="9" t="n">
        <v>795762.6899999999</v>
      </c>
      <c r="F1013" s="9" t="n">
        <v>0</v>
      </c>
      <c r="G1013" s="9" t="n">
        <v>916913.1099999999</v>
      </c>
      <c r="H1013" s="9">
        <f>IF(D1013="USD",E1013*$L$1,E1013)</f>
        <v/>
      </c>
      <c r="I1013" s="9">
        <f>IF(D1013="USD",F1013*$L$1,F1013)</f>
        <v/>
      </c>
      <c r="J1013" s="9">
        <f>IF(D1013="USD",G1013*$L$1,G1013)</f>
        <v/>
      </c>
    </row>
    <row r="1014">
      <c r="A1014" s="8" t="n">
        <v>46195</v>
      </c>
      <c r="B1014" t="inlineStr">
        <is>
          <t>2026-W26</t>
        </is>
      </c>
      <c r="C1014" t="inlineStr">
        <is>
          <t>Adyen</t>
        </is>
      </c>
      <c r="D1014" t="inlineStr">
        <is>
          <t>EUR</t>
        </is>
      </c>
      <c r="E1014" s="9" t="n">
        <v>126623.47</v>
      </c>
      <c r="F1014" s="9" t="n">
        <v>0</v>
      </c>
      <c r="G1014" s="9" t="n">
        <v>0</v>
      </c>
      <c r="H1014" s="9">
        <f>IF(D1014="USD",E1014*$L$1,E1014)</f>
        <v/>
      </c>
      <c r="I1014" s="9">
        <f>IF(D1014="USD",F1014*$L$1,F1014)</f>
        <v/>
      </c>
      <c r="J1014" s="9">
        <f>IF(D1014="USD",G1014*$L$1,G1014)</f>
        <v/>
      </c>
    </row>
    <row r="1015">
      <c r="A1015" s="8" t="n">
        <v>46195</v>
      </c>
      <c r="B1015" t="inlineStr">
        <is>
          <t>2026-W26</t>
        </is>
      </c>
      <c r="C1015" t="inlineStr">
        <is>
          <t>Nuvei</t>
        </is>
      </c>
      <c r="D1015" t="inlineStr">
        <is>
          <t>EUR</t>
        </is>
      </c>
      <c r="E1015" s="9" t="n">
        <v>369255.48</v>
      </c>
      <c r="F1015" s="9" t="n">
        <v>362501.69</v>
      </c>
      <c r="G1015" s="9" t="n">
        <v>-885550.67</v>
      </c>
      <c r="H1015" s="9">
        <f>IF(D1015="USD",E1015*$L$1,E1015)</f>
        <v/>
      </c>
      <c r="I1015" s="9">
        <f>IF(D1015="USD",F1015*$L$1,F1015)</f>
        <v/>
      </c>
      <c r="J1015" s="9">
        <f>IF(D1015="USD",G1015*$L$1,G1015)</f>
        <v/>
      </c>
    </row>
    <row r="1016">
      <c r="A1016" s="8" t="n">
        <v>46195</v>
      </c>
      <c r="B1016" t="inlineStr">
        <is>
          <t>2026-W26</t>
        </is>
      </c>
      <c r="C1016" t="inlineStr">
        <is>
          <t>Nuvei</t>
        </is>
      </c>
      <c r="D1016" t="inlineStr">
        <is>
          <t>EUR</t>
        </is>
      </c>
      <c r="E1016" s="9" t="n">
        <v>188123.99</v>
      </c>
      <c r="F1016" s="9" t="n">
        <v>182843.86</v>
      </c>
      <c r="G1016" s="9" t="n">
        <v>-535096.11</v>
      </c>
      <c r="H1016" s="9">
        <f>IF(D1016="USD",E1016*$L$1,E1016)</f>
        <v/>
      </c>
      <c r="I1016" s="9">
        <f>IF(D1016="USD",F1016*$L$1,F1016)</f>
        <v/>
      </c>
      <c r="J1016" s="9">
        <f>IF(D1016="USD",G1016*$L$1,G1016)</f>
        <v/>
      </c>
    </row>
    <row r="1017">
      <c r="A1017" s="8" t="n">
        <v>46195</v>
      </c>
      <c r="B1017" t="inlineStr">
        <is>
          <t>2026-W26</t>
        </is>
      </c>
      <c r="C1017" t="inlineStr">
        <is>
          <t>Nuvei</t>
        </is>
      </c>
      <c r="D1017" t="inlineStr">
        <is>
          <t>EUR</t>
        </is>
      </c>
      <c r="E1017" s="9" t="n">
        <v>3254.21</v>
      </c>
      <c r="F1017" s="9" t="n">
        <v>3150.25</v>
      </c>
      <c r="G1017" s="9" t="n">
        <v>0</v>
      </c>
      <c r="H1017" s="9">
        <f>IF(D1017="USD",E1017*$L$1,E1017)</f>
        <v/>
      </c>
      <c r="I1017" s="9">
        <f>IF(D1017="USD",F1017*$L$1,F1017)</f>
        <v/>
      </c>
      <c r="J1017" s="9">
        <f>IF(D1017="USD",G1017*$L$1,G1017)</f>
        <v/>
      </c>
    </row>
    <row r="1018">
      <c r="A1018" s="8" t="n">
        <v>46195</v>
      </c>
      <c r="B1018" t="inlineStr">
        <is>
          <t>2026-W26</t>
        </is>
      </c>
      <c r="C1018" t="inlineStr">
        <is>
          <t>Nuvei</t>
        </is>
      </c>
      <c r="D1018" t="inlineStr">
        <is>
          <t>USD</t>
        </is>
      </c>
      <c r="E1018" s="9" t="n">
        <v>8949.700000000001</v>
      </c>
      <c r="F1018" s="9" t="n">
        <v>8673.33</v>
      </c>
      <c r="G1018" s="9" t="n">
        <v>0</v>
      </c>
      <c r="H1018" s="9">
        <f>IF(D1018="USD",E1018*$L$1,E1018)</f>
        <v/>
      </c>
      <c r="I1018" s="9">
        <f>IF(D1018="USD",F1018*$L$1,F1018)</f>
        <v/>
      </c>
      <c r="J1018" s="9">
        <f>IF(D1018="USD",G1018*$L$1,G1018)</f>
        <v/>
      </c>
    </row>
    <row r="1019">
      <c r="A1019" s="8" t="n">
        <v>46195</v>
      </c>
      <c r="B1019" t="inlineStr">
        <is>
          <t>2026-W26</t>
        </is>
      </c>
      <c r="C1019" t="inlineStr">
        <is>
          <t>Shift4</t>
        </is>
      </c>
      <c r="D1019" t="inlineStr">
        <is>
          <t>EUR</t>
        </is>
      </c>
      <c r="E1019" s="9" t="n">
        <v>475270.19</v>
      </c>
      <c r="F1019" s="9" t="n">
        <v>470208.85</v>
      </c>
      <c r="G1019" s="9" t="n">
        <v>-1264059.36</v>
      </c>
      <c r="H1019" s="9">
        <f>IF(D1019="USD",E1019*$L$1,E1019)</f>
        <v/>
      </c>
      <c r="I1019" s="9">
        <f>IF(D1019="USD",F1019*$L$1,F1019)</f>
        <v/>
      </c>
      <c r="J1019" s="9">
        <f>IF(D1019="USD",G1019*$L$1,G1019)</f>
        <v/>
      </c>
    </row>
    <row r="1020">
      <c r="A1020" s="8" t="n">
        <v>46196</v>
      </c>
      <c r="B1020" t="inlineStr">
        <is>
          <t>2026-W26</t>
        </is>
      </c>
      <c r="C1020" t="inlineStr">
        <is>
          <t>Adyen</t>
        </is>
      </c>
      <c r="D1020" t="inlineStr">
        <is>
          <t>EUR</t>
        </is>
      </c>
      <c r="E1020" s="9" t="n">
        <v>774534.48</v>
      </c>
      <c r="F1020" s="9" t="n">
        <v>0</v>
      </c>
      <c r="G1020" s="9" t="n">
        <v>879426.52</v>
      </c>
      <c r="H1020" s="9">
        <f>IF(D1020="USD",E1020*$L$1,E1020)</f>
        <v/>
      </c>
      <c r="I1020" s="9">
        <f>IF(D1020="USD",F1020*$L$1,F1020)</f>
        <v/>
      </c>
      <c r="J1020" s="9">
        <f>IF(D1020="USD",G1020*$L$1,G1020)</f>
        <v/>
      </c>
    </row>
    <row r="1021">
      <c r="A1021" s="8" t="n">
        <v>46196</v>
      </c>
      <c r="B1021" t="inlineStr">
        <is>
          <t>2026-W26</t>
        </is>
      </c>
      <c r="C1021" t="inlineStr">
        <is>
          <t>Adyen</t>
        </is>
      </c>
      <c r="D1021" t="inlineStr">
        <is>
          <t>EUR</t>
        </is>
      </c>
      <c r="E1021" s="9" t="n">
        <v>112173.05</v>
      </c>
      <c r="F1021" s="9" t="n">
        <v>0</v>
      </c>
      <c r="G1021" s="9" t="n">
        <v>0</v>
      </c>
      <c r="H1021" s="9">
        <f>IF(D1021="USD",E1021*$L$1,E1021)</f>
        <v/>
      </c>
      <c r="I1021" s="9">
        <f>IF(D1021="USD",F1021*$L$1,F1021)</f>
        <v/>
      </c>
      <c r="J1021" s="9">
        <f>IF(D1021="USD",G1021*$L$1,G1021)</f>
        <v/>
      </c>
    </row>
    <row r="1022">
      <c r="A1022" s="8" t="n">
        <v>46196</v>
      </c>
      <c r="B1022" t="inlineStr">
        <is>
          <t>2026-W26</t>
        </is>
      </c>
      <c r="C1022" t="inlineStr">
        <is>
          <t>Nuvei</t>
        </is>
      </c>
      <c r="D1022" t="inlineStr">
        <is>
          <t>EUR</t>
        </is>
      </c>
      <c r="E1022" s="9" t="n">
        <v>382189.29</v>
      </c>
      <c r="F1022" s="9" t="n">
        <v>375371.84</v>
      </c>
      <c r="G1022" s="9" t="n">
        <v>-375368.34</v>
      </c>
      <c r="H1022" s="9">
        <f>IF(D1022="USD",E1022*$L$1,E1022)</f>
        <v/>
      </c>
      <c r="I1022" s="9">
        <f>IF(D1022="USD",F1022*$L$1,F1022)</f>
        <v/>
      </c>
      <c r="J1022" s="9">
        <f>IF(D1022="USD",G1022*$L$1,G1022)</f>
        <v/>
      </c>
    </row>
    <row r="1023">
      <c r="A1023" s="8" t="n">
        <v>46196</v>
      </c>
      <c r="B1023" t="inlineStr">
        <is>
          <t>2026-W26</t>
        </is>
      </c>
      <c r="C1023" t="inlineStr">
        <is>
          <t>Nuvei</t>
        </is>
      </c>
      <c r="D1023" t="inlineStr">
        <is>
          <t>EUR</t>
        </is>
      </c>
      <c r="E1023" s="9" t="n">
        <v>236560.71</v>
      </c>
      <c r="F1023" s="9" t="n">
        <v>229903.54</v>
      </c>
      <c r="G1023" s="9" t="n">
        <v>-229459.54</v>
      </c>
      <c r="H1023" s="9">
        <f>IF(D1023="USD",E1023*$L$1,E1023)</f>
        <v/>
      </c>
      <c r="I1023" s="9">
        <f>IF(D1023="USD",F1023*$L$1,F1023)</f>
        <v/>
      </c>
      <c r="J1023" s="9">
        <f>IF(D1023="USD",G1023*$L$1,G1023)</f>
        <v/>
      </c>
    </row>
    <row r="1024">
      <c r="A1024" s="8" t="n">
        <v>46196</v>
      </c>
      <c r="B1024" t="inlineStr">
        <is>
          <t>2026-W26</t>
        </is>
      </c>
      <c r="C1024" t="inlineStr">
        <is>
          <t>Nuvei</t>
        </is>
      </c>
      <c r="D1024" t="inlineStr">
        <is>
          <t>EUR</t>
        </is>
      </c>
      <c r="E1024" s="9" t="n">
        <v>21991.51</v>
      </c>
      <c r="F1024" s="9" t="n">
        <v>21429.03</v>
      </c>
      <c r="G1024" s="9" t="n">
        <v>0</v>
      </c>
      <c r="H1024" s="9">
        <f>IF(D1024="USD",E1024*$L$1,E1024)</f>
        <v/>
      </c>
      <c r="I1024" s="9">
        <f>IF(D1024="USD",F1024*$L$1,F1024)</f>
        <v/>
      </c>
      <c r="J1024" s="9">
        <f>IF(D1024="USD",G1024*$L$1,G1024)</f>
        <v/>
      </c>
    </row>
    <row r="1025">
      <c r="A1025" s="8" t="n">
        <v>46196</v>
      </c>
      <c r="B1025" t="inlineStr">
        <is>
          <t>2026-W26</t>
        </is>
      </c>
      <c r="C1025" t="inlineStr">
        <is>
          <t>Nuvei</t>
        </is>
      </c>
      <c r="D1025" t="inlineStr">
        <is>
          <t>USD</t>
        </is>
      </c>
      <c r="E1025" s="9" t="n">
        <v>9002.700000000001</v>
      </c>
      <c r="F1025" s="9" t="n">
        <v>8721.560000000001</v>
      </c>
      <c r="G1025" s="9" t="n">
        <v>0</v>
      </c>
      <c r="H1025" s="9">
        <f>IF(D1025="USD",E1025*$L$1,E1025)</f>
        <v/>
      </c>
      <c r="I1025" s="9">
        <f>IF(D1025="USD",F1025*$L$1,F1025)</f>
        <v/>
      </c>
      <c r="J1025" s="9">
        <f>IF(D1025="USD",G1025*$L$1,G1025)</f>
        <v/>
      </c>
    </row>
    <row r="1026">
      <c r="A1026" s="8" t="n">
        <v>46196</v>
      </c>
      <c r="B1026" t="inlineStr">
        <is>
          <t>2026-W26</t>
        </is>
      </c>
      <c r="C1026" t="inlineStr">
        <is>
          <t>Shift4</t>
        </is>
      </c>
      <c r="D1026" t="inlineStr">
        <is>
          <t>EUR</t>
        </is>
      </c>
      <c r="E1026" s="9" t="n">
        <v>483495.75</v>
      </c>
      <c r="F1026" s="9" t="n">
        <v>478138.08</v>
      </c>
      <c r="G1026" s="9" t="n">
        <v>-478138.08</v>
      </c>
      <c r="H1026" s="9">
        <f>IF(D1026="USD",E1026*$L$1,E1026)</f>
        <v/>
      </c>
      <c r="I1026" s="9">
        <f>IF(D1026="USD",F1026*$L$1,F1026)</f>
        <v/>
      </c>
      <c r="J1026" s="9">
        <f>IF(D1026="USD",G1026*$L$1,G1026)</f>
        <v/>
      </c>
    </row>
    <row r="1027">
      <c r="A1027" s="8" t="n">
        <v>46197</v>
      </c>
      <c r="B1027" t="inlineStr">
        <is>
          <t>2026-W26</t>
        </is>
      </c>
      <c r="C1027" t="inlineStr">
        <is>
          <t>Adyen</t>
        </is>
      </c>
      <c r="D1027" t="inlineStr">
        <is>
          <t>EUR</t>
        </is>
      </c>
      <c r="E1027" s="9" t="n">
        <v>771194.46</v>
      </c>
      <c r="F1027" s="9" t="n">
        <v>0</v>
      </c>
      <c r="G1027" s="9" t="n">
        <v>841899.1900000001</v>
      </c>
      <c r="H1027" s="9">
        <f>IF(D1027="USD",E1027*$L$1,E1027)</f>
        <v/>
      </c>
      <c r="I1027" s="9">
        <f>IF(D1027="USD",F1027*$L$1,F1027)</f>
        <v/>
      </c>
      <c r="J1027" s="9">
        <f>IF(D1027="USD",G1027*$L$1,G1027)</f>
        <v/>
      </c>
    </row>
    <row r="1028">
      <c r="A1028" s="8" t="n">
        <v>46197</v>
      </c>
      <c r="B1028" t="inlineStr">
        <is>
          <t>2026-W26</t>
        </is>
      </c>
      <c r="C1028" t="inlineStr">
        <is>
          <t>Adyen</t>
        </is>
      </c>
      <c r="D1028" t="inlineStr">
        <is>
          <t>EUR</t>
        </is>
      </c>
      <c r="E1028" s="9" t="n">
        <v>129677.89</v>
      </c>
      <c r="F1028" s="9" t="n">
        <v>0</v>
      </c>
      <c r="G1028" s="9" t="n">
        <v>0</v>
      </c>
      <c r="H1028" s="9">
        <f>IF(D1028="USD",E1028*$L$1,E1028)</f>
        <v/>
      </c>
      <c r="I1028" s="9">
        <f>IF(D1028="USD",F1028*$L$1,F1028)</f>
        <v/>
      </c>
      <c r="J1028" s="9">
        <f>IF(D1028="USD",G1028*$L$1,G1028)</f>
        <v/>
      </c>
    </row>
    <row r="1029">
      <c r="A1029" s="8" t="n">
        <v>46197</v>
      </c>
      <c r="B1029" t="inlineStr">
        <is>
          <t>2026-W26</t>
        </is>
      </c>
      <c r="C1029" t="inlineStr">
        <is>
          <t>Nuvei</t>
        </is>
      </c>
      <c r="D1029" t="inlineStr">
        <is>
          <t>EUR</t>
        </is>
      </c>
      <c r="E1029" s="9" t="n">
        <v>372851.11</v>
      </c>
      <c r="F1029" s="9" t="n">
        <v>366395.94</v>
      </c>
      <c r="G1029" s="9" t="n">
        <v>-366392.44</v>
      </c>
      <c r="H1029" s="9">
        <f>IF(D1029="USD",E1029*$L$1,E1029)</f>
        <v/>
      </c>
      <c r="I1029" s="9">
        <f>IF(D1029="USD",F1029*$L$1,F1029)</f>
        <v/>
      </c>
      <c r="J1029" s="9">
        <f>IF(D1029="USD",G1029*$L$1,G1029)</f>
        <v/>
      </c>
    </row>
    <row r="1030">
      <c r="A1030" s="8" t="n">
        <v>46197</v>
      </c>
      <c r="B1030" t="inlineStr">
        <is>
          <t>2026-W26</t>
        </is>
      </c>
      <c r="C1030" t="inlineStr">
        <is>
          <t>Nuvei</t>
        </is>
      </c>
      <c r="D1030" t="inlineStr">
        <is>
          <t>EUR</t>
        </is>
      </c>
      <c r="E1030" s="9" t="n">
        <v>235322.97</v>
      </c>
      <c r="F1030" s="9" t="n">
        <v>228704.01</v>
      </c>
      <c r="G1030" s="9" t="n">
        <v>-228700.51</v>
      </c>
      <c r="H1030" s="9">
        <f>IF(D1030="USD",E1030*$L$1,E1030)</f>
        <v/>
      </c>
      <c r="I1030" s="9">
        <f>IF(D1030="USD",F1030*$L$1,F1030)</f>
        <v/>
      </c>
      <c r="J1030" s="9">
        <f>IF(D1030="USD",G1030*$L$1,G1030)</f>
        <v/>
      </c>
    </row>
    <row r="1031">
      <c r="A1031" s="8" t="n">
        <v>46197</v>
      </c>
      <c r="B1031" t="inlineStr">
        <is>
          <t>2026-W26</t>
        </is>
      </c>
      <c r="C1031" t="inlineStr">
        <is>
          <t>Nuvei</t>
        </is>
      </c>
      <c r="D1031" t="inlineStr">
        <is>
          <t>EUR</t>
        </is>
      </c>
      <c r="E1031" s="9" t="n">
        <v>25059.59</v>
      </c>
      <c r="F1031" s="9" t="n">
        <v>24358.47</v>
      </c>
      <c r="G1031" s="9" t="n">
        <v>0</v>
      </c>
      <c r="H1031" s="9">
        <f>IF(D1031="USD",E1031*$L$1,E1031)</f>
        <v/>
      </c>
      <c r="I1031" s="9">
        <f>IF(D1031="USD",F1031*$L$1,F1031)</f>
        <v/>
      </c>
      <c r="J1031" s="9">
        <f>IF(D1031="USD",G1031*$L$1,G1031)</f>
        <v/>
      </c>
    </row>
    <row r="1032">
      <c r="A1032" s="8" t="n">
        <v>46197</v>
      </c>
      <c r="B1032" t="inlineStr">
        <is>
          <t>2026-W26</t>
        </is>
      </c>
      <c r="C1032" t="inlineStr">
        <is>
          <t>Nuvei</t>
        </is>
      </c>
      <c r="D1032" t="inlineStr">
        <is>
          <t>USD</t>
        </is>
      </c>
      <c r="E1032" s="9" t="n">
        <v>7833.6</v>
      </c>
      <c r="F1032" s="9" t="n">
        <v>7590.400000000001</v>
      </c>
      <c r="G1032" s="9" t="n">
        <v>0</v>
      </c>
      <c r="H1032" s="9">
        <f>IF(D1032="USD",E1032*$L$1,E1032)</f>
        <v/>
      </c>
      <c r="I1032" s="9">
        <f>IF(D1032="USD",F1032*$L$1,F1032)</f>
        <v/>
      </c>
      <c r="J1032" s="9">
        <f>IF(D1032="USD",G1032*$L$1,G1032)</f>
        <v/>
      </c>
    </row>
    <row r="1033">
      <c r="A1033" s="8" t="n">
        <v>46197</v>
      </c>
      <c r="B1033" t="inlineStr">
        <is>
          <t>2026-W26</t>
        </is>
      </c>
      <c r="C1033" t="inlineStr">
        <is>
          <t>Shift4</t>
        </is>
      </c>
      <c r="D1033" t="inlineStr">
        <is>
          <t>EUR</t>
        </is>
      </c>
      <c r="E1033" s="9" t="n">
        <v>452546.5</v>
      </c>
      <c r="F1033" s="9" t="n">
        <v>447296.25</v>
      </c>
      <c r="G1033" s="9" t="n">
        <v>-447296.25</v>
      </c>
      <c r="H1033" s="9">
        <f>IF(D1033="USD",E1033*$L$1,E1033)</f>
        <v/>
      </c>
      <c r="I1033" s="9">
        <f>IF(D1033="USD",F1033*$L$1,F1033)</f>
        <v/>
      </c>
      <c r="J1033" s="9">
        <f>IF(D1033="USD",G1033*$L$1,G1033)</f>
        <v/>
      </c>
    </row>
    <row r="1034">
      <c r="A1034" s="8" t="n">
        <v>46198</v>
      </c>
      <c r="B1034" t="inlineStr">
        <is>
          <t>2026-W26</t>
        </is>
      </c>
      <c r="C1034" t="inlineStr">
        <is>
          <t>Adyen</t>
        </is>
      </c>
      <c r="D1034" t="inlineStr">
        <is>
          <t>EUR</t>
        </is>
      </c>
      <c r="E1034" s="9" t="n">
        <v>672559.24</v>
      </c>
      <c r="F1034" s="9" t="n">
        <v>0</v>
      </c>
      <c r="G1034" s="9" t="n">
        <v>786920.9399999999</v>
      </c>
      <c r="H1034" s="9">
        <f>IF(D1034="USD",E1034*$L$1,E1034)</f>
        <v/>
      </c>
      <c r="I1034" s="9">
        <f>IF(D1034="USD",F1034*$L$1,F1034)</f>
        <v/>
      </c>
      <c r="J1034" s="9">
        <f>IF(D1034="USD",G1034*$L$1,G1034)</f>
        <v/>
      </c>
    </row>
    <row r="1035">
      <c r="A1035" s="8" t="n">
        <v>46198</v>
      </c>
      <c r="B1035" t="inlineStr">
        <is>
          <t>2026-W26</t>
        </is>
      </c>
      <c r="C1035" t="inlineStr">
        <is>
          <t>Adyen</t>
        </is>
      </c>
      <c r="D1035" t="inlineStr">
        <is>
          <t>EUR</t>
        </is>
      </c>
      <c r="E1035" s="9" t="n">
        <v>125801.45</v>
      </c>
      <c r="F1035" s="9" t="n">
        <v>0</v>
      </c>
      <c r="G1035" s="9" t="n">
        <v>0</v>
      </c>
      <c r="H1035" s="9">
        <f>IF(D1035="USD",E1035*$L$1,E1035)</f>
        <v/>
      </c>
      <c r="I1035" s="9">
        <f>IF(D1035="USD",F1035*$L$1,F1035)</f>
        <v/>
      </c>
      <c r="J1035" s="9">
        <f>IF(D1035="USD",G1035*$L$1,G1035)</f>
        <v/>
      </c>
    </row>
    <row r="1036">
      <c r="A1036" s="8" t="n">
        <v>46198</v>
      </c>
      <c r="B1036" t="inlineStr">
        <is>
          <t>2026-W26</t>
        </is>
      </c>
      <c r="C1036" t="inlineStr">
        <is>
          <t>Nuvei</t>
        </is>
      </c>
      <c r="D1036" t="inlineStr">
        <is>
          <t>EUR</t>
        </is>
      </c>
      <c r="E1036" s="9" t="n">
        <v>355326.54</v>
      </c>
      <c r="F1036" s="9" t="n">
        <v>349056.35</v>
      </c>
      <c r="G1036" s="9" t="n">
        <v>-348893.24</v>
      </c>
      <c r="H1036" s="9">
        <f>IF(D1036="USD",E1036*$L$1,E1036)</f>
        <v/>
      </c>
      <c r="I1036" s="9">
        <f>IF(D1036="USD",F1036*$L$1,F1036)</f>
        <v/>
      </c>
      <c r="J1036" s="9">
        <f>IF(D1036="USD",G1036*$L$1,G1036)</f>
        <v/>
      </c>
    </row>
    <row r="1037">
      <c r="A1037" s="8" t="n">
        <v>46198</v>
      </c>
      <c r="B1037" t="inlineStr">
        <is>
          <t>2026-W26</t>
        </is>
      </c>
      <c r="C1037" t="inlineStr">
        <is>
          <t>Nuvei</t>
        </is>
      </c>
      <c r="D1037" t="inlineStr">
        <is>
          <t>EUR</t>
        </is>
      </c>
      <c r="E1037" s="9" t="n">
        <v>208887.27</v>
      </c>
      <c r="F1037" s="9" t="n">
        <v>203001.6</v>
      </c>
      <c r="G1037" s="9" t="n">
        <v>-202998.1</v>
      </c>
      <c r="H1037" s="9">
        <f>IF(D1037="USD",E1037*$L$1,E1037)</f>
        <v/>
      </c>
      <c r="I1037" s="9">
        <f>IF(D1037="USD",F1037*$L$1,F1037)</f>
        <v/>
      </c>
      <c r="J1037" s="9">
        <f>IF(D1037="USD",G1037*$L$1,G1037)</f>
        <v/>
      </c>
    </row>
    <row r="1038">
      <c r="A1038" s="8" t="n">
        <v>46198</v>
      </c>
      <c r="B1038" t="inlineStr">
        <is>
          <t>2026-W26</t>
        </is>
      </c>
      <c r="C1038" t="inlineStr">
        <is>
          <t>Nuvei</t>
        </is>
      </c>
      <c r="D1038" t="inlineStr">
        <is>
          <t>EUR</t>
        </is>
      </c>
      <c r="E1038" s="9" t="n">
        <v>31773.16</v>
      </c>
      <c r="F1038" s="9" t="n">
        <v>30888.79</v>
      </c>
      <c r="G1038" s="9" t="n">
        <v>0</v>
      </c>
      <c r="H1038" s="9">
        <f>IF(D1038="USD",E1038*$L$1,E1038)</f>
        <v/>
      </c>
      <c r="I1038" s="9">
        <f>IF(D1038="USD",F1038*$L$1,F1038)</f>
        <v/>
      </c>
      <c r="J1038" s="9">
        <f>IF(D1038="USD",G1038*$L$1,G1038)</f>
        <v/>
      </c>
    </row>
    <row r="1039">
      <c r="A1039" s="8" t="n">
        <v>46198</v>
      </c>
      <c r="B1039" t="inlineStr">
        <is>
          <t>2026-W26</t>
        </is>
      </c>
      <c r="C1039" t="inlineStr">
        <is>
          <t>Nuvei</t>
        </is>
      </c>
      <c r="D1039" t="inlineStr">
        <is>
          <t>USD</t>
        </is>
      </c>
      <c r="E1039" s="9" t="n">
        <v>9536.5</v>
      </c>
      <c r="F1039" s="9" t="n">
        <v>9228.65</v>
      </c>
      <c r="G1039" s="9" t="n">
        <v>0</v>
      </c>
      <c r="H1039" s="9">
        <f>IF(D1039="USD",E1039*$L$1,E1039)</f>
        <v/>
      </c>
      <c r="I1039" s="9">
        <f>IF(D1039="USD",F1039*$L$1,F1039)</f>
        <v/>
      </c>
      <c r="J1039" s="9">
        <f>IF(D1039="USD",G1039*$L$1,G1039)</f>
        <v/>
      </c>
    </row>
    <row r="1040">
      <c r="A1040" s="8" t="n">
        <v>46198</v>
      </c>
      <c r="B1040" t="inlineStr">
        <is>
          <t>2026-W26</t>
        </is>
      </c>
      <c r="C1040" t="inlineStr">
        <is>
          <t>Shift4</t>
        </is>
      </c>
      <c r="D1040" t="inlineStr">
        <is>
          <t>EUR</t>
        </is>
      </c>
      <c r="E1040" s="9" t="n">
        <v>482335.67</v>
      </c>
      <c r="F1040" s="9" t="n">
        <v>476524.97</v>
      </c>
      <c r="G1040" s="9" t="n">
        <v>-476524.97</v>
      </c>
      <c r="H1040" s="9">
        <f>IF(D1040="USD",E1040*$L$1,E1040)</f>
        <v/>
      </c>
      <c r="I1040" s="9">
        <f>IF(D1040="USD",F1040*$L$1,F1040)</f>
        <v/>
      </c>
      <c r="J1040" s="9">
        <f>IF(D1040="USD",G1040*$L$1,G1040)</f>
        <v/>
      </c>
    </row>
    <row r="1041">
      <c r="A1041" s="8" t="n">
        <v>46199</v>
      </c>
      <c r="B1041" t="inlineStr">
        <is>
          <t>2026-W26</t>
        </is>
      </c>
      <c r="C1041" t="inlineStr">
        <is>
          <t>Adyen</t>
        </is>
      </c>
      <c r="D1041" t="inlineStr">
        <is>
          <t>EUR</t>
        </is>
      </c>
      <c r="E1041" s="9" t="n">
        <v>662864.59</v>
      </c>
      <c r="F1041" s="9" t="n">
        <v>0</v>
      </c>
      <c r="G1041" s="9" t="n">
        <v>2087607.65</v>
      </c>
      <c r="H1041" s="9">
        <f>IF(D1041="USD",E1041*$L$1,E1041)</f>
        <v/>
      </c>
      <c r="I1041" s="9">
        <f>IF(D1041="USD",F1041*$L$1,F1041)</f>
        <v/>
      </c>
      <c r="J1041" s="9">
        <f>IF(D1041="USD",G1041*$L$1,G1041)</f>
        <v/>
      </c>
    </row>
    <row r="1042">
      <c r="A1042" s="8" t="n">
        <v>46199</v>
      </c>
      <c r="B1042" t="inlineStr">
        <is>
          <t>2026-W26</t>
        </is>
      </c>
      <c r="C1042" t="inlineStr">
        <is>
          <t>Adyen</t>
        </is>
      </c>
      <c r="D1042" t="inlineStr">
        <is>
          <t>EUR</t>
        </is>
      </c>
      <c r="E1042" s="9" t="n">
        <v>111906.6</v>
      </c>
      <c r="F1042" s="9" t="n">
        <v>0</v>
      </c>
      <c r="G1042" s="9" t="n">
        <v>0</v>
      </c>
      <c r="H1042" s="9">
        <f>IF(D1042="USD",E1042*$L$1,E1042)</f>
        <v/>
      </c>
      <c r="I1042" s="9">
        <f>IF(D1042="USD",F1042*$L$1,F1042)</f>
        <v/>
      </c>
      <c r="J1042" s="9">
        <f>IF(D1042="USD",G1042*$L$1,G1042)</f>
        <v/>
      </c>
    </row>
    <row r="1043">
      <c r="A1043" s="8" t="n">
        <v>46199</v>
      </c>
      <c r="B1043" t="inlineStr">
        <is>
          <t>2026-W26</t>
        </is>
      </c>
      <c r="C1043" t="inlineStr">
        <is>
          <t>Nuvei</t>
        </is>
      </c>
      <c r="D1043" t="inlineStr">
        <is>
          <t>EUR</t>
        </is>
      </c>
      <c r="E1043" s="9" t="n">
        <v>291090.37</v>
      </c>
      <c r="F1043" s="9" t="n">
        <v>285707.72</v>
      </c>
      <c r="G1043" s="9" t="n">
        <v>-285704.23</v>
      </c>
      <c r="H1043" s="9">
        <f>IF(D1043="USD",E1043*$L$1,E1043)</f>
        <v/>
      </c>
      <c r="I1043" s="9">
        <f>IF(D1043="USD",F1043*$L$1,F1043)</f>
        <v/>
      </c>
      <c r="J1043" s="9">
        <f>IF(D1043="USD",G1043*$L$1,G1043)</f>
        <v/>
      </c>
    </row>
    <row r="1044">
      <c r="A1044" s="8" t="n">
        <v>46199</v>
      </c>
      <c r="B1044" t="inlineStr">
        <is>
          <t>2026-W26</t>
        </is>
      </c>
      <c r="C1044" t="inlineStr">
        <is>
          <t>Nuvei</t>
        </is>
      </c>
      <c r="D1044" t="inlineStr">
        <is>
          <t>EUR</t>
        </is>
      </c>
      <c r="E1044" s="9" t="n">
        <v>216439.65</v>
      </c>
      <c r="F1044" s="9" t="n">
        <v>210366.28</v>
      </c>
      <c r="G1044" s="9" t="n">
        <v>-210362.79</v>
      </c>
      <c r="H1044" s="9">
        <f>IF(D1044="USD",E1044*$L$1,E1044)</f>
        <v/>
      </c>
      <c r="I1044" s="9">
        <f>IF(D1044="USD",F1044*$L$1,F1044)</f>
        <v/>
      </c>
      <c r="J1044" s="9">
        <f>IF(D1044="USD",G1044*$L$1,G1044)</f>
        <v/>
      </c>
    </row>
    <row r="1045">
      <c r="A1045" s="8" t="n">
        <v>46199</v>
      </c>
      <c r="B1045" t="inlineStr">
        <is>
          <t>2026-W26</t>
        </is>
      </c>
      <c r="C1045" t="inlineStr">
        <is>
          <t>Nuvei</t>
        </is>
      </c>
      <c r="D1045" t="inlineStr">
        <is>
          <t>EUR</t>
        </is>
      </c>
      <c r="E1045" s="9" t="n">
        <v>35669.64</v>
      </c>
      <c r="F1045" s="9" t="n">
        <v>34703.73</v>
      </c>
      <c r="G1045" s="9" t="n">
        <v>-631198.96</v>
      </c>
      <c r="H1045" s="9">
        <f>IF(D1045="USD",E1045*$L$1,E1045)</f>
        <v/>
      </c>
      <c r="I1045" s="9">
        <f>IF(D1045="USD",F1045*$L$1,F1045)</f>
        <v/>
      </c>
      <c r="J1045" s="9">
        <f>IF(D1045="USD",G1045*$L$1,G1045)</f>
        <v/>
      </c>
    </row>
    <row r="1046">
      <c r="A1046" s="8" t="n">
        <v>46199</v>
      </c>
      <c r="B1046" t="inlineStr">
        <is>
          <t>2026-W26</t>
        </is>
      </c>
      <c r="C1046" t="inlineStr">
        <is>
          <t>Nuvei</t>
        </is>
      </c>
      <c r="D1046" t="inlineStr">
        <is>
          <t>USD</t>
        </is>
      </c>
      <c r="E1046" s="9" t="n">
        <v>7057.6</v>
      </c>
      <c r="F1046" s="9" t="n">
        <v>6832.190000000001</v>
      </c>
      <c r="G1046" s="9" t="n">
        <v>0</v>
      </c>
      <c r="H1046" s="9">
        <f>IF(D1046="USD",E1046*$L$1,E1046)</f>
        <v/>
      </c>
      <c r="I1046" s="9">
        <f>IF(D1046="USD",F1046*$L$1,F1046)</f>
        <v/>
      </c>
      <c r="J1046" s="9">
        <f>IF(D1046="USD",G1046*$L$1,G1046)</f>
        <v/>
      </c>
    </row>
    <row r="1047">
      <c r="A1047" s="8" t="n">
        <v>46199</v>
      </c>
      <c r="B1047" t="inlineStr">
        <is>
          <t>2026-W26</t>
        </is>
      </c>
      <c r="C1047" t="inlineStr">
        <is>
          <t>Paysafe</t>
        </is>
      </c>
      <c r="D1047" t="inlineStr">
        <is>
          <t>EUR</t>
        </is>
      </c>
      <c r="E1047" s="9" t="n">
        <v>1092.16</v>
      </c>
      <c r="F1047" s="9" t="n">
        <v>1092.16</v>
      </c>
      <c r="G1047" s="9" t="n">
        <v>0</v>
      </c>
      <c r="H1047" s="9">
        <f>IF(D1047="USD",E1047*$L$1,E1047)</f>
        <v/>
      </c>
      <c r="I1047" s="9">
        <f>IF(D1047="USD",F1047*$L$1,F1047)</f>
        <v/>
      </c>
      <c r="J1047" s="9">
        <f>IF(D1047="USD",G1047*$L$1,G1047)</f>
        <v/>
      </c>
    </row>
    <row r="1048">
      <c r="A1048" s="8" t="n">
        <v>46199</v>
      </c>
      <c r="B1048" t="inlineStr">
        <is>
          <t>2026-W26</t>
        </is>
      </c>
      <c r="C1048" t="inlineStr">
        <is>
          <t>Shift4</t>
        </is>
      </c>
      <c r="D1048" t="inlineStr">
        <is>
          <t>EUR</t>
        </is>
      </c>
      <c r="E1048" s="9" t="n">
        <v>410346.96</v>
      </c>
      <c r="F1048" s="9" t="n">
        <v>405085.99</v>
      </c>
      <c r="G1048" s="9" t="n">
        <v>-405085.99</v>
      </c>
      <c r="H1048" s="9">
        <f>IF(D1048="USD",E1048*$L$1,E1048)</f>
        <v/>
      </c>
      <c r="I1048" s="9">
        <f>IF(D1048="USD",F1048*$L$1,F1048)</f>
        <v/>
      </c>
      <c r="J1048" s="9">
        <f>IF(D1048="USD",G1048*$L$1,G1048)</f>
        <v/>
      </c>
    </row>
    <row r="1049">
      <c r="A1049" s="8" t="n">
        <v>46200</v>
      </c>
      <c r="B1049" t="inlineStr">
        <is>
          <t>2026-W26</t>
        </is>
      </c>
      <c r="C1049" t="inlineStr">
        <is>
          <t>Adyen</t>
        </is>
      </c>
      <c r="D1049" t="inlineStr">
        <is>
          <t>EUR</t>
        </is>
      </c>
      <c r="E1049" s="9" t="n">
        <v>553567.02</v>
      </c>
      <c r="F1049" s="9" t="n">
        <v>0</v>
      </c>
      <c r="G1049" s="9" t="n">
        <v>0</v>
      </c>
      <c r="H1049" s="9">
        <f>IF(D1049="USD",E1049*$L$1,E1049)</f>
        <v/>
      </c>
      <c r="I1049" s="9">
        <f>IF(D1049="USD",F1049*$L$1,F1049)</f>
        <v/>
      </c>
      <c r="J1049" s="9">
        <f>IF(D1049="USD",G1049*$L$1,G1049)</f>
        <v/>
      </c>
    </row>
    <row r="1050">
      <c r="A1050" s="8" t="n">
        <v>46200</v>
      </c>
      <c r="B1050" t="inlineStr">
        <is>
          <t>2026-W26</t>
        </is>
      </c>
      <c r="C1050" t="inlineStr">
        <is>
          <t>Adyen</t>
        </is>
      </c>
      <c r="D1050" t="inlineStr">
        <is>
          <t>EUR</t>
        </is>
      </c>
      <c r="E1050" s="9" t="n">
        <v>95675.71000000001</v>
      </c>
      <c r="F1050" s="9" t="n">
        <v>0</v>
      </c>
      <c r="G1050" s="9" t="n">
        <v>0</v>
      </c>
      <c r="H1050" s="9">
        <f>IF(D1050="USD",E1050*$L$1,E1050)</f>
        <v/>
      </c>
      <c r="I1050" s="9">
        <f>IF(D1050="USD",F1050*$L$1,F1050)</f>
        <v/>
      </c>
      <c r="J1050" s="9">
        <f>IF(D1050="USD",G1050*$L$1,G1050)</f>
        <v/>
      </c>
    </row>
    <row r="1051">
      <c r="A1051" s="8" t="n">
        <v>46200</v>
      </c>
      <c r="B1051" t="inlineStr">
        <is>
          <t>2026-W26</t>
        </is>
      </c>
      <c r="C1051" t="inlineStr">
        <is>
          <t>Nuvei</t>
        </is>
      </c>
      <c r="D1051" t="inlineStr">
        <is>
          <t>EUR</t>
        </is>
      </c>
      <c r="E1051" s="9" t="n">
        <v>230500.51</v>
      </c>
      <c r="F1051" s="9" t="n">
        <v>226417.07</v>
      </c>
      <c r="G1051" s="9" t="n">
        <v>0</v>
      </c>
      <c r="H1051" s="9">
        <f>IF(D1051="USD",E1051*$L$1,E1051)</f>
        <v/>
      </c>
      <c r="I1051" s="9">
        <f>IF(D1051="USD",F1051*$L$1,F1051)</f>
        <v/>
      </c>
      <c r="J1051" s="9">
        <f>IF(D1051="USD",G1051*$L$1,G1051)</f>
        <v/>
      </c>
    </row>
    <row r="1052">
      <c r="A1052" s="8" t="n">
        <v>46200</v>
      </c>
      <c r="B1052" t="inlineStr">
        <is>
          <t>2026-W26</t>
        </is>
      </c>
      <c r="C1052" t="inlineStr">
        <is>
          <t>Nuvei</t>
        </is>
      </c>
      <c r="D1052" t="inlineStr">
        <is>
          <t>EUR</t>
        </is>
      </c>
      <c r="E1052" s="9" t="n">
        <v>199488.04</v>
      </c>
      <c r="F1052" s="9" t="n">
        <v>193797.52</v>
      </c>
      <c r="G1052" s="9" t="n">
        <v>0</v>
      </c>
      <c r="H1052" s="9">
        <f>IF(D1052="USD",E1052*$L$1,E1052)</f>
        <v/>
      </c>
      <c r="I1052" s="9">
        <f>IF(D1052="USD",F1052*$L$1,F1052)</f>
        <v/>
      </c>
      <c r="J1052" s="9">
        <f>IF(D1052="USD",G1052*$L$1,G1052)</f>
        <v/>
      </c>
    </row>
    <row r="1053">
      <c r="A1053" s="8" t="n">
        <v>46200</v>
      </c>
      <c r="B1053" t="inlineStr">
        <is>
          <t>2026-W26</t>
        </is>
      </c>
      <c r="C1053" t="inlineStr">
        <is>
          <t>Nuvei</t>
        </is>
      </c>
      <c r="D1053" t="inlineStr">
        <is>
          <t>EUR</t>
        </is>
      </c>
      <c r="E1053" s="9" t="n">
        <v>33522.65</v>
      </c>
      <c r="F1053" s="9" t="n">
        <v>32608.03</v>
      </c>
      <c r="G1053" s="9" t="n">
        <v>0</v>
      </c>
      <c r="H1053" s="9">
        <f>IF(D1053="USD",E1053*$L$1,E1053)</f>
        <v/>
      </c>
      <c r="I1053" s="9">
        <f>IF(D1053="USD",F1053*$L$1,F1053)</f>
        <v/>
      </c>
      <c r="J1053" s="9">
        <f>IF(D1053="USD",G1053*$L$1,G1053)</f>
        <v/>
      </c>
    </row>
    <row r="1054">
      <c r="A1054" s="8" t="n">
        <v>46200</v>
      </c>
      <c r="B1054" t="inlineStr">
        <is>
          <t>2026-W26</t>
        </is>
      </c>
      <c r="C1054" t="inlineStr">
        <is>
          <t>Nuvei</t>
        </is>
      </c>
      <c r="D1054" t="inlineStr">
        <is>
          <t>USD</t>
        </is>
      </c>
      <c r="E1054" s="9" t="n">
        <v>7162.1</v>
      </c>
      <c r="F1054" s="9" t="n">
        <v>6954.35</v>
      </c>
      <c r="G1054" s="9" t="n">
        <v>0</v>
      </c>
      <c r="H1054" s="9">
        <f>IF(D1054="USD",E1054*$L$1,E1054)</f>
        <v/>
      </c>
      <c r="I1054" s="9">
        <f>IF(D1054="USD",F1054*$L$1,F1054)</f>
        <v/>
      </c>
      <c r="J1054" s="9">
        <f>IF(D1054="USD",G1054*$L$1,G1054)</f>
        <v/>
      </c>
    </row>
    <row r="1055">
      <c r="A1055" s="8" t="n">
        <v>46200</v>
      </c>
      <c r="B1055" t="inlineStr">
        <is>
          <t>2026-W26</t>
        </is>
      </c>
      <c r="C1055" t="inlineStr">
        <is>
          <t>Shift4</t>
        </is>
      </c>
      <c r="D1055" t="inlineStr">
        <is>
          <t>EUR</t>
        </is>
      </c>
      <c r="E1055" s="9" t="n">
        <v>339381.22</v>
      </c>
      <c r="F1055" s="9" t="n">
        <v>335421.98</v>
      </c>
      <c r="G1055" s="9" t="n">
        <v>0</v>
      </c>
      <c r="H1055" s="9">
        <f>IF(D1055="USD",E1055*$L$1,E1055)</f>
        <v/>
      </c>
      <c r="I1055" s="9">
        <f>IF(D1055="USD",F1055*$L$1,F1055)</f>
        <v/>
      </c>
      <c r="J1055" s="9">
        <f>IF(D1055="USD",G1055*$L$1,G1055)</f>
        <v/>
      </c>
    </row>
    <row r="1056">
      <c r="A1056" s="8" t="n">
        <v>46201</v>
      </c>
      <c r="B1056" t="inlineStr">
        <is>
          <t>2026-W26</t>
        </is>
      </c>
      <c r="C1056" t="inlineStr">
        <is>
          <t>Adyen</t>
        </is>
      </c>
      <c r="D1056" t="inlineStr">
        <is>
          <t>EUR</t>
        </is>
      </c>
      <c r="E1056" s="9" t="n">
        <v>578593.95</v>
      </c>
      <c r="F1056" s="9" t="n">
        <v>0</v>
      </c>
      <c r="G1056" s="9" t="n">
        <v>0</v>
      </c>
      <c r="H1056" s="9">
        <f>IF(D1056="USD",E1056*$L$1,E1056)</f>
        <v/>
      </c>
      <c r="I1056" s="9">
        <f>IF(D1056="USD",F1056*$L$1,F1056)</f>
        <v/>
      </c>
      <c r="J1056" s="9">
        <f>IF(D1056="USD",G1056*$L$1,G1056)</f>
        <v/>
      </c>
    </row>
    <row r="1057">
      <c r="A1057" s="8" t="n">
        <v>46201</v>
      </c>
      <c r="B1057" t="inlineStr">
        <is>
          <t>2026-W26</t>
        </is>
      </c>
      <c r="C1057" t="inlineStr">
        <is>
          <t>Adyen</t>
        </is>
      </c>
      <c r="D1057" t="inlineStr">
        <is>
          <t>EUR</t>
        </is>
      </c>
      <c r="E1057" s="9" t="n">
        <v>100149.37</v>
      </c>
      <c r="F1057" s="9" t="n">
        <v>0</v>
      </c>
      <c r="G1057" s="9" t="n">
        <v>0</v>
      </c>
      <c r="H1057" s="9">
        <f>IF(D1057="USD",E1057*$L$1,E1057)</f>
        <v/>
      </c>
      <c r="I1057" s="9">
        <f>IF(D1057="USD",F1057*$L$1,F1057)</f>
        <v/>
      </c>
      <c r="J1057" s="9">
        <f>IF(D1057="USD",G1057*$L$1,G1057)</f>
        <v/>
      </c>
    </row>
    <row r="1058">
      <c r="A1058" s="8" t="n">
        <v>46201</v>
      </c>
      <c r="B1058" t="inlineStr">
        <is>
          <t>2026-W26</t>
        </is>
      </c>
      <c r="C1058" t="inlineStr">
        <is>
          <t>Nuvei</t>
        </is>
      </c>
      <c r="D1058" t="inlineStr">
        <is>
          <t>EUR</t>
        </is>
      </c>
      <c r="E1058" s="9" t="n">
        <v>248261.4</v>
      </c>
      <c r="F1058" s="9" t="n">
        <v>244079.63</v>
      </c>
      <c r="G1058" s="9" t="n">
        <v>0</v>
      </c>
      <c r="H1058" s="9">
        <f>IF(D1058="USD",E1058*$L$1,E1058)</f>
        <v/>
      </c>
      <c r="I1058" s="9">
        <f>IF(D1058="USD",F1058*$L$1,F1058)</f>
        <v/>
      </c>
      <c r="J1058" s="9">
        <f>IF(D1058="USD",G1058*$L$1,G1058)</f>
        <v/>
      </c>
    </row>
    <row r="1059">
      <c r="A1059" s="8" t="n">
        <v>46201</v>
      </c>
      <c r="B1059" t="inlineStr">
        <is>
          <t>2026-W26</t>
        </is>
      </c>
      <c r="C1059" t="inlineStr">
        <is>
          <t>Nuvei</t>
        </is>
      </c>
      <c r="D1059" t="inlineStr">
        <is>
          <t>EUR</t>
        </is>
      </c>
      <c r="E1059" s="9" t="n">
        <v>201270.07</v>
      </c>
      <c r="F1059" s="9" t="n">
        <v>195534.67</v>
      </c>
      <c r="G1059" s="9" t="n">
        <v>0</v>
      </c>
      <c r="H1059" s="9">
        <f>IF(D1059="USD",E1059*$L$1,E1059)</f>
        <v/>
      </c>
      <c r="I1059" s="9">
        <f>IF(D1059="USD",F1059*$L$1,F1059)</f>
        <v/>
      </c>
      <c r="J1059" s="9">
        <f>IF(D1059="USD",G1059*$L$1,G1059)</f>
        <v/>
      </c>
    </row>
    <row r="1060">
      <c r="A1060" s="8" t="n">
        <v>46201</v>
      </c>
      <c r="B1060" t="inlineStr">
        <is>
          <t>2026-W26</t>
        </is>
      </c>
      <c r="C1060" t="inlineStr">
        <is>
          <t>Nuvei</t>
        </is>
      </c>
      <c r="D1060" t="inlineStr">
        <is>
          <t>EUR</t>
        </is>
      </c>
      <c r="E1060" s="9" t="n">
        <v>13957.59</v>
      </c>
      <c r="F1060" s="9" t="n">
        <v>13573.12</v>
      </c>
      <c r="G1060" s="9" t="n">
        <v>0</v>
      </c>
      <c r="H1060" s="9">
        <f>IF(D1060="USD",E1060*$L$1,E1060)</f>
        <v/>
      </c>
      <c r="I1060" s="9">
        <f>IF(D1060="USD",F1060*$L$1,F1060)</f>
        <v/>
      </c>
      <c r="J1060" s="9">
        <f>IF(D1060="USD",G1060*$L$1,G1060)</f>
        <v/>
      </c>
    </row>
    <row r="1061">
      <c r="A1061" s="8" t="n">
        <v>46201</v>
      </c>
      <c r="B1061" t="inlineStr">
        <is>
          <t>2026-W26</t>
        </is>
      </c>
      <c r="C1061" t="inlineStr">
        <is>
          <t>Nuvei</t>
        </is>
      </c>
      <c r="D1061" t="inlineStr">
        <is>
          <t>USD</t>
        </is>
      </c>
      <c r="E1061" s="9" t="n">
        <v>4965.1</v>
      </c>
      <c r="F1061" s="9" t="n">
        <v>4828.08</v>
      </c>
      <c r="G1061" s="9" t="n">
        <v>0</v>
      </c>
      <c r="H1061" s="9">
        <f>IF(D1061="USD",E1061*$L$1,E1061)</f>
        <v/>
      </c>
      <c r="I1061" s="9">
        <f>IF(D1061="USD",F1061*$L$1,F1061)</f>
        <v/>
      </c>
      <c r="J1061" s="9">
        <f>IF(D1061="USD",G1061*$L$1,G1061)</f>
        <v/>
      </c>
    </row>
    <row r="1062">
      <c r="A1062" s="8" t="n">
        <v>46201</v>
      </c>
      <c r="B1062" t="inlineStr">
        <is>
          <t>2026-W26</t>
        </is>
      </c>
      <c r="C1062" t="inlineStr">
        <is>
          <t>Shift4</t>
        </is>
      </c>
      <c r="D1062" t="inlineStr">
        <is>
          <t>EUR</t>
        </is>
      </c>
      <c r="E1062" s="9" t="n">
        <v>427058.91</v>
      </c>
      <c r="F1062" s="9" t="n">
        <v>422727.05</v>
      </c>
      <c r="G1062" s="9" t="n">
        <v>0</v>
      </c>
      <c r="H1062" s="9">
        <f>IF(D1062="USD",E1062*$L$1,E1062)</f>
        <v/>
      </c>
      <c r="I1062" s="9">
        <f>IF(D1062="USD",F1062*$L$1,F1062)</f>
        <v/>
      </c>
      <c r="J1062" s="9">
        <f>IF(D1062="USD",G1062*$L$1,G1062)</f>
        <v/>
      </c>
    </row>
    <row r="1063">
      <c r="A1063" s="8" t="n">
        <v>46202</v>
      </c>
      <c r="B1063" t="inlineStr">
        <is>
          <t>2026-W27</t>
        </is>
      </c>
      <c r="C1063" t="inlineStr">
        <is>
          <t>Adyen</t>
        </is>
      </c>
      <c r="D1063" t="inlineStr">
        <is>
          <t>EUR</t>
        </is>
      </c>
      <c r="E1063" s="9" t="n">
        <v>807881.55</v>
      </c>
      <c r="F1063" s="9" t="n">
        <v>0</v>
      </c>
      <c r="G1063" s="9" t="n">
        <v>831807.6</v>
      </c>
      <c r="H1063" s="9">
        <f>IF(D1063="USD",E1063*$L$1,E1063)</f>
        <v/>
      </c>
      <c r="I1063" s="9">
        <f>IF(D1063="USD",F1063*$L$1,F1063)</f>
        <v/>
      </c>
      <c r="J1063" s="9">
        <f>IF(D1063="USD",G1063*$L$1,G1063)</f>
        <v/>
      </c>
    </row>
    <row r="1064">
      <c r="A1064" s="8" t="n">
        <v>46202</v>
      </c>
      <c r="B1064" t="inlineStr">
        <is>
          <t>2026-W27</t>
        </is>
      </c>
      <c r="C1064" t="inlineStr">
        <is>
          <t>Adyen</t>
        </is>
      </c>
      <c r="D1064" t="inlineStr">
        <is>
          <t>EUR</t>
        </is>
      </c>
      <c r="E1064" s="9" t="n">
        <v>27841.44</v>
      </c>
      <c r="F1064" s="9" t="n">
        <v>0</v>
      </c>
      <c r="G1064" s="9" t="n">
        <v>0</v>
      </c>
      <c r="H1064" s="9">
        <f>IF(D1064="USD",E1064*$L$1,E1064)</f>
        <v/>
      </c>
      <c r="I1064" s="9">
        <f>IF(D1064="USD",F1064*$L$1,F1064)</f>
        <v/>
      </c>
      <c r="J1064" s="9">
        <f>IF(D1064="USD",G1064*$L$1,G1064)</f>
        <v/>
      </c>
    </row>
    <row r="1065">
      <c r="A1065" s="8" t="n">
        <v>46202</v>
      </c>
      <c r="B1065" t="inlineStr">
        <is>
          <t>2026-W27</t>
        </is>
      </c>
      <c r="C1065" t="inlineStr">
        <is>
          <t>Nuvei</t>
        </is>
      </c>
      <c r="D1065" t="inlineStr">
        <is>
          <t>EUR</t>
        </is>
      </c>
      <c r="E1065" s="9" t="n">
        <v>330869.85</v>
      </c>
      <c r="F1065" s="9" t="n">
        <v>324579.46</v>
      </c>
      <c r="G1065" s="9" t="n">
        <v>-795072.66</v>
      </c>
      <c r="H1065" s="9">
        <f>IF(D1065="USD",E1065*$L$1,E1065)</f>
        <v/>
      </c>
      <c r="I1065" s="9">
        <f>IF(D1065="USD",F1065*$L$1,F1065)</f>
        <v/>
      </c>
      <c r="J1065" s="9">
        <f>IF(D1065="USD",G1065*$L$1,G1065)</f>
        <v/>
      </c>
    </row>
    <row r="1066">
      <c r="A1066" s="8" t="n">
        <v>46202</v>
      </c>
      <c r="B1066" t="inlineStr">
        <is>
          <t>2026-W27</t>
        </is>
      </c>
      <c r="C1066" t="inlineStr">
        <is>
          <t>Nuvei</t>
        </is>
      </c>
      <c r="D1066" t="inlineStr">
        <is>
          <t>EUR</t>
        </is>
      </c>
      <c r="E1066" s="9" t="n">
        <v>62896.03</v>
      </c>
      <c r="F1066" s="9" t="n">
        <v>61060.38</v>
      </c>
      <c r="G1066" s="9" t="n">
        <v>-450389.07</v>
      </c>
      <c r="H1066" s="9">
        <f>IF(D1066="USD",E1066*$L$1,E1066)</f>
        <v/>
      </c>
      <c r="I1066" s="9">
        <f>IF(D1066="USD",F1066*$L$1,F1066)</f>
        <v/>
      </c>
      <c r="J1066" s="9">
        <f>IF(D1066="USD",G1066*$L$1,G1066)</f>
        <v/>
      </c>
    </row>
    <row r="1067">
      <c r="A1067" s="8" t="n">
        <v>46202</v>
      </c>
      <c r="B1067" t="inlineStr">
        <is>
          <t>2026-W27</t>
        </is>
      </c>
      <c r="C1067" t="inlineStr">
        <is>
          <t>Nuvei</t>
        </is>
      </c>
      <c r="D1067" t="inlineStr">
        <is>
          <t>EUR</t>
        </is>
      </c>
      <c r="E1067" s="9" t="n">
        <v>2846.4</v>
      </c>
      <c r="F1067" s="9" t="n">
        <v>2768.96</v>
      </c>
      <c r="G1067" s="9" t="n">
        <v>-48950.11</v>
      </c>
      <c r="H1067" s="9">
        <f>IF(D1067="USD",E1067*$L$1,E1067)</f>
        <v/>
      </c>
      <c r="I1067" s="9">
        <f>IF(D1067="USD",F1067*$L$1,F1067)</f>
        <v/>
      </c>
      <c r="J1067" s="9">
        <f>IF(D1067="USD",G1067*$L$1,G1067)</f>
        <v/>
      </c>
    </row>
    <row r="1068">
      <c r="A1068" s="8" t="n">
        <v>46202</v>
      </c>
      <c r="B1068" t="inlineStr">
        <is>
          <t>2026-W27</t>
        </is>
      </c>
      <c r="C1068" t="inlineStr">
        <is>
          <t>Nuvei</t>
        </is>
      </c>
      <c r="D1068" t="inlineStr">
        <is>
          <t>USD</t>
        </is>
      </c>
      <c r="E1068" s="9" t="n">
        <v>12243.9</v>
      </c>
      <c r="F1068" s="9" t="n">
        <v>11872.31</v>
      </c>
      <c r="G1068" s="9" t="n">
        <v>0</v>
      </c>
      <c r="H1068" s="9">
        <f>IF(D1068="USD",E1068*$L$1,E1068)</f>
        <v/>
      </c>
      <c r="I1068" s="9">
        <f>IF(D1068="USD",F1068*$L$1,F1068)</f>
        <v/>
      </c>
      <c r="J1068" s="9">
        <f>IF(D1068="USD",G1068*$L$1,G1068)</f>
        <v/>
      </c>
    </row>
    <row r="1069">
      <c r="A1069" s="8" t="n">
        <v>46202</v>
      </c>
      <c r="B1069" t="inlineStr">
        <is>
          <t>2026-W27</t>
        </is>
      </c>
      <c r="C1069" t="inlineStr">
        <is>
          <t>Paysafe</t>
        </is>
      </c>
      <c r="D1069" t="inlineStr">
        <is>
          <t>EUR</t>
        </is>
      </c>
      <c r="E1069" s="9" t="n">
        <v>0</v>
      </c>
      <c r="F1069" s="9" t="n">
        <v>-116.67</v>
      </c>
      <c r="G1069" s="9" t="n">
        <v>0</v>
      </c>
      <c r="H1069" s="9">
        <f>IF(D1069="USD",E1069*$L$1,E1069)</f>
        <v/>
      </c>
      <c r="I1069" s="9">
        <f>IF(D1069="USD",F1069*$L$1,F1069)</f>
        <v/>
      </c>
      <c r="J1069" s="9">
        <f>IF(D1069="USD",G1069*$L$1,G1069)</f>
        <v/>
      </c>
    </row>
    <row r="1070">
      <c r="A1070" s="8" t="n">
        <v>46202</v>
      </c>
      <c r="B1070" t="inlineStr">
        <is>
          <t>2026-W27</t>
        </is>
      </c>
      <c r="C1070" t="inlineStr">
        <is>
          <t>Shift4</t>
        </is>
      </c>
      <c r="D1070" t="inlineStr">
        <is>
          <t>EUR</t>
        </is>
      </c>
      <c r="E1070" s="9" t="n">
        <v>445487.2</v>
      </c>
      <c r="F1070" s="9" t="n">
        <v>440028.39</v>
      </c>
      <c r="G1070" s="9" t="n">
        <v>-1198177.42</v>
      </c>
      <c r="H1070" s="9">
        <f>IF(D1070="USD",E1070*$L$1,E1070)</f>
        <v/>
      </c>
      <c r="I1070" s="9">
        <f>IF(D1070="USD",F1070*$L$1,F1070)</f>
        <v/>
      </c>
      <c r="J1070" s="9">
        <f>IF(D1070="USD",G1070*$L$1,G1070)</f>
        <v/>
      </c>
    </row>
    <row r="1071">
      <c r="A1071" s="8" t="n">
        <v>46203</v>
      </c>
      <c r="B1071" t="inlineStr">
        <is>
          <t>2026-W27</t>
        </is>
      </c>
      <c r="C1071" t="inlineStr">
        <is>
          <t>Adyen</t>
        </is>
      </c>
      <c r="D1071" t="inlineStr">
        <is>
          <t>EUR</t>
        </is>
      </c>
      <c r="E1071" s="9" t="n">
        <v>852826.64</v>
      </c>
      <c r="F1071" s="9" t="n">
        <v>0</v>
      </c>
      <c r="G1071" s="9" t="n">
        <v>847738.17</v>
      </c>
      <c r="H1071" s="9">
        <f>IF(D1071="USD",E1071*$L$1,E1071)</f>
        <v/>
      </c>
      <c r="I1071" s="9">
        <f>IF(D1071="USD",F1071*$L$1,F1071)</f>
        <v/>
      </c>
      <c r="J1071" s="9">
        <f>IF(D1071="USD",G1071*$L$1,G1071)</f>
        <v/>
      </c>
    </row>
    <row r="1072">
      <c r="A1072" s="8" t="n">
        <v>46203</v>
      </c>
      <c r="B1072" t="inlineStr">
        <is>
          <t>2026-W27</t>
        </is>
      </c>
      <c r="C1072" t="inlineStr">
        <is>
          <t>Adyen</t>
        </is>
      </c>
      <c r="D1072" t="inlineStr">
        <is>
          <t>EUR</t>
        </is>
      </c>
      <c r="E1072" s="9" t="n">
        <v>0</v>
      </c>
      <c r="F1072" s="9" t="n">
        <v>0</v>
      </c>
      <c r="G1072" s="9" t="n">
        <v>0</v>
      </c>
      <c r="H1072" s="9">
        <f>IF(D1072="USD",E1072*$L$1,E1072)</f>
        <v/>
      </c>
      <c r="I1072" s="9">
        <f>IF(D1072="USD",F1072*$L$1,F1072)</f>
        <v/>
      </c>
      <c r="J1072" s="9">
        <f>IF(D1072="USD",G1072*$L$1,G1072)</f>
        <v/>
      </c>
    </row>
    <row r="1073">
      <c r="A1073" s="8" t="n">
        <v>46203</v>
      </c>
      <c r="B1073" t="inlineStr">
        <is>
          <t>2026-W27</t>
        </is>
      </c>
      <c r="C1073" t="inlineStr">
        <is>
          <t>Nuvei</t>
        </is>
      </c>
      <c r="D1073" t="inlineStr">
        <is>
          <t>EUR</t>
        </is>
      </c>
      <c r="E1073" s="9" t="n">
        <v>356484.37</v>
      </c>
      <c r="F1073" s="9" t="n">
        <v>349986.29</v>
      </c>
      <c r="G1073" s="9" t="n">
        <v>-349855.22</v>
      </c>
      <c r="H1073" s="9">
        <f>IF(D1073="USD",E1073*$L$1,E1073)</f>
        <v/>
      </c>
      <c r="I1073" s="9">
        <f>IF(D1073="USD",F1073*$L$1,F1073)</f>
        <v/>
      </c>
      <c r="J1073" s="9">
        <f>IF(D1073="USD",G1073*$L$1,G1073)</f>
        <v/>
      </c>
    </row>
    <row r="1074">
      <c r="A1074" s="8" t="n">
        <v>46203</v>
      </c>
      <c r="B1074" t="inlineStr">
        <is>
          <t>2026-W27</t>
        </is>
      </c>
      <c r="C1074" t="inlineStr">
        <is>
          <t>Nuvei</t>
        </is>
      </c>
      <c r="D1074" t="inlineStr">
        <is>
          <t>EUR</t>
        </is>
      </c>
      <c r="E1074" s="9" t="n">
        <v>-2433.8</v>
      </c>
      <c r="F1074" s="9" t="n">
        <v>-2436.72</v>
      </c>
      <c r="G1074" s="9" t="n">
        <v>0</v>
      </c>
      <c r="H1074" s="9">
        <f>IF(D1074="USD",E1074*$L$1,E1074)</f>
        <v/>
      </c>
      <c r="I1074" s="9">
        <f>IF(D1074="USD",F1074*$L$1,F1074)</f>
        <v/>
      </c>
      <c r="J1074" s="9">
        <f>IF(D1074="USD",G1074*$L$1,G1074)</f>
        <v/>
      </c>
    </row>
    <row r="1075">
      <c r="A1075" s="8" t="n">
        <v>46203</v>
      </c>
      <c r="B1075" t="inlineStr">
        <is>
          <t>2026-W27</t>
        </is>
      </c>
      <c r="C1075" t="inlineStr">
        <is>
          <t>Nuvei</t>
        </is>
      </c>
      <c r="D1075" t="inlineStr">
        <is>
          <t>EUR</t>
        </is>
      </c>
      <c r="E1075" s="9" t="n">
        <v>39660.58</v>
      </c>
      <c r="F1075" s="9" t="n">
        <v>38685.03</v>
      </c>
      <c r="G1075" s="9" t="n">
        <v>-38681.53</v>
      </c>
      <c r="H1075" s="9">
        <f>IF(D1075="USD",E1075*$L$1,E1075)</f>
        <v/>
      </c>
      <c r="I1075" s="9">
        <f>IF(D1075="USD",F1075*$L$1,F1075)</f>
        <v/>
      </c>
      <c r="J1075" s="9">
        <f>IF(D1075="USD",G1075*$L$1,G1075)</f>
        <v/>
      </c>
    </row>
    <row r="1076">
      <c r="A1076" s="8" t="n">
        <v>46203</v>
      </c>
      <c r="B1076" t="inlineStr">
        <is>
          <t>2026-W27</t>
        </is>
      </c>
      <c r="C1076" t="inlineStr">
        <is>
          <t>Nuvei</t>
        </is>
      </c>
      <c r="D1076" t="inlineStr">
        <is>
          <t>USD</t>
        </is>
      </c>
      <c r="E1076" s="9" t="n">
        <v>7710.5</v>
      </c>
      <c r="F1076" s="9" t="n">
        <v>7338.91</v>
      </c>
      <c r="G1076" s="9" t="n">
        <v>0</v>
      </c>
      <c r="H1076" s="9">
        <f>IF(D1076="USD",E1076*$L$1,E1076)</f>
        <v/>
      </c>
      <c r="I1076" s="9">
        <f>IF(D1076="USD",F1076*$L$1,F1076)</f>
        <v/>
      </c>
      <c r="J1076" s="9">
        <f>IF(D1076="USD",G1076*$L$1,G1076)</f>
        <v/>
      </c>
    </row>
    <row r="1077">
      <c r="A1077" s="8" t="n">
        <v>46203</v>
      </c>
      <c r="B1077" t="inlineStr">
        <is>
          <t>2026-W27</t>
        </is>
      </c>
      <c r="C1077" t="inlineStr">
        <is>
          <t>Paysafe</t>
        </is>
      </c>
      <c r="D1077" t="inlineStr">
        <is>
          <t>EUR</t>
        </is>
      </c>
      <c r="E1077" s="9" t="n">
        <v>1249.39</v>
      </c>
      <c r="F1077" s="9" t="n">
        <v>1249.39</v>
      </c>
      <c r="G1077" s="9" t="n">
        <v>0</v>
      </c>
      <c r="H1077" s="9">
        <f>IF(D1077="USD",E1077*$L$1,E1077)</f>
        <v/>
      </c>
      <c r="I1077" s="9">
        <f>IF(D1077="USD",F1077*$L$1,F1077)</f>
        <v/>
      </c>
      <c r="J1077" s="9">
        <f>IF(D1077="USD",G1077*$L$1,G1077)</f>
        <v/>
      </c>
    </row>
    <row r="1078">
      <c r="A1078" s="8" t="n">
        <v>46203</v>
      </c>
      <c r="B1078" t="inlineStr">
        <is>
          <t>2026-W27</t>
        </is>
      </c>
      <c r="C1078" t="inlineStr">
        <is>
          <t>Shift4</t>
        </is>
      </c>
      <c r="D1078" t="inlineStr">
        <is>
          <t>EUR</t>
        </is>
      </c>
      <c r="E1078" s="9" t="n">
        <v>483762.14</v>
      </c>
      <c r="F1078" s="9" t="n">
        <v>478108.85</v>
      </c>
      <c r="G1078" s="9" t="n">
        <v>-478108.85</v>
      </c>
      <c r="H1078" s="9">
        <f>IF(D1078="USD",E1078*$L$1,E1078)</f>
        <v/>
      </c>
      <c r="I1078" s="9">
        <f>IF(D1078="USD",F1078*$L$1,F1078)</f>
        <v/>
      </c>
      <c r="J1078" s="9">
        <f>IF(D1078="USD",G1078*$L$1,G1078)</f>
        <v/>
      </c>
    </row>
    <row r="1079">
      <c r="A1079" s="8" t="n">
        <v>46204</v>
      </c>
      <c r="B1079" t="inlineStr">
        <is>
          <t>2026-W27</t>
        </is>
      </c>
      <c r="C1079" t="inlineStr">
        <is>
          <t>Adyen</t>
        </is>
      </c>
      <c r="D1079" t="inlineStr">
        <is>
          <t>EUR</t>
        </is>
      </c>
      <c r="E1079" s="9" t="n">
        <v>906243.51</v>
      </c>
      <c r="F1079" s="9" t="n">
        <v>0</v>
      </c>
      <c r="G1079" s="9" t="n">
        <v>902467.79</v>
      </c>
      <c r="H1079" s="9">
        <f>IF(D1079="USD",E1079*$L$1,E1079)</f>
        <v/>
      </c>
      <c r="I1079" s="9">
        <f>IF(D1079="USD",F1079*$L$1,F1079)</f>
        <v/>
      </c>
      <c r="J1079" s="9">
        <f>IF(D1079="USD",G1079*$L$1,G1079)</f>
        <v/>
      </c>
    </row>
    <row r="1080">
      <c r="A1080" s="8" t="n">
        <v>46204</v>
      </c>
      <c r="B1080" t="inlineStr">
        <is>
          <t>2026-W27</t>
        </is>
      </c>
      <c r="C1080" t="inlineStr">
        <is>
          <t>Adyen</t>
        </is>
      </c>
      <c r="D1080" t="inlineStr">
        <is>
          <t>EUR</t>
        </is>
      </c>
      <c r="E1080" s="9" t="n">
        <v>0</v>
      </c>
      <c r="F1080" s="9" t="n">
        <v>0</v>
      </c>
      <c r="G1080" s="9" t="n">
        <v>0</v>
      </c>
      <c r="H1080" s="9">
        <f>IF(D1080="USD",E1080*$L$1,E1080)</f>
        <v/>
      </c>
      <c r="I1080" s="9">
        <f>IF(D1080="USD",F1080*$L$1,F1080)</f>
        <v/>
      </c>
      <c r="J1080" s="9">
        <f>IF(D1080="USD",G1080*$L$1,G1080)</f>
        <v/>
      </c>
    </row>
    <row r="1081">
      <c r="A1081" s="8" t="n">
        <v>46204</v>
      </c>
      <c r="B1081" t="inlineStr">
        <is>
          <t>2026-W27</t>
        </is>
      </c>
      <c r="C1081" t="inlineStr">
        <is>
          <t>Nuvei</t>
        </is>
      </c>
      <c r="D1081" t="inlineStr">
        <is>
          <t>EUR</t>
        </is>
      </c>
      <c r="E1081" s="9" t="n">
        <v>363659.33</v>
      </c>
      <c r="F1081" s="9" t="n">
        <v>357063.09</v>
      </c>
      <c r="G1081" s="9" t="n">
        <v>-357059.6</v>
      </c>
      <c r="H1081" s="9">
        <f>IF(D1081="USD",E1081*$L$1,E1081)</f>
        <v/>
      </c>
      <c r="I1081" s="9">
        <f>IF(D1081="USD",F1081*$L$1,F1081)</f>
        <v/>
      </c>
      <c r="J1081" s="9">
        <f>IF(D1081="USD",G1081*$L$1,G1081)</f>
        <v/>
      </c>
    </row>
    <row r="1082">
      <c r="A1082" s="8" t="n">
        <v>46204</v>
      </c>
      <c r="B1082" t="inlineStr">
        <is>
          <t>2026-W27</t>
        </is>
      </c>
      <c r="C1082" t="inlineStr">
        <is>
          <t>Nuvei</t>
        </is>
      </c>
      <c r="D1082" t="inlineStr">
        <is>
          <t>EUR</t>
        </is>
      </c>
      <c r="E1082" s="9" t="n">
        <v>-1811.63</v>
      </c>
      <c r="F1082" s="9" t="n">
        <v>-1826.93</v>
      </c>
      <c r="G1082" s="9" t="n">
        <v>0</v>
      </c>
      <c r="H1082" s="9">
        <f>IF(D1082="USD",E1082*$L$1,E1082)</f>
        <v/>
      </c>
      <c r="I1082" s="9">
        <f>IF(D1082="USD",F1082*$L$1,F1082)</f>
        <v/>
      </c>
      <c r="J1082" s="9">
        <f>IF(D1082="USD",G1082*$L$1,G1082)</f>
        <v/>
      </c>
    </row>
    <row r="1083">
      <c r="A1083" s="8" t="n">
        <v>46204</v>
      </c>
      <c r="B1083" t="inlineStr">
        <is>
          <t>2026-W27</t>
        </is>
      </c>
      <c r="C1083" t="inlineStr">
        <is>
          <t>Nuvei</t>
        </is>
      </c>
      <c r="D1083" t="inlineStr">
        <is>
          <t>EUR</t>
        </is>
      </c>
      <c r="E1083" s="9" t="n">
        <v>0</v>
      </c>
      <c r="F1083" s="9" t="n">
        <v>0</v>
      </c>
      <c r="G1083" s="9" t="n">
        <v>0</v>
      </c>
      <c r="H1083" s="9">
        <f>IF(D1083="USD",E1083*$L$1,E1083)</f>
        <v/>
      </c>
      <c r="I1083" s="9">
        <f>IF(D1083="USD",F1083*$L$1,F1083)</f>
        <v/>
      </c>
      <c r="J1083" s="9">
        <f>IF(D1083="USD",G1083*$L$1,G1083)</f>
        <v/>
      </c>
    </row>
    <row r="1084">
      <c r="A1084" s="8" t="n">
        <v>46204</v>
      </c>
      <c r="B1084" t="inlineStr">
        <is>
          <t>2026-W27</t>
        </is>
      </c>
      <c r="C1084" t="inlineStr">
        <is>
          <t>Nuvei</t>
        </is>
      </c>
      <c r="D1084" t="inlineStr">
        <is>
          <t>USD</t>
        </is>
      </c>
      <c r="E1084" s="9" t="n">
        <v>17428</v>
      </c>
      <c r="F1084" s="9" t="n">
        <v>16893.38</v>
      </c>
      <c r="G1084" s="9" t="n">
        <v>-16893.38</v>
      </c>
      <c r="H1084" s="9">
        <f>IF(D1084="USD",E1084*$L$1,E1084)</f>
        <v/>
      </c>
      <c r="I1084" s="9">
        <f>IF(D1084="USD",F1084*$L$1,F1084)</f>
        <v/>
      </c>
      <c r="J1084" s="9">
        <f>IF(D1084="USD",G1084*$L$1,G1084)</f>
        <v/>
      </c>
    </row>
    <row r="1085">
      <c r="A1085" s="8" t="n">
        <v>46204</v>
      </c>
      <c r="B1085" t="inlineStr">
        <is>
          <t>2026-W27</t>
        </is>
      </c>
      <c r="C1085" t="inlineStr">
        <is>
          <t>Paysafe</t>
        </is>
      </c>
      <c r="D1085" t="inlineStr">
        <is>
          <t>EUR</t>
        </is>
      </c>
      <c r="E1085" s="9" t="n">
        <v>96284.77999999987</v>
      </c>
      <c r="F1085" s="9" t="n">
        <v>96181.98999999987</v>
      </c>
      <c r="G1085" s="9" t="n">
        <v>0</v>
      </c>
      <c r="H1085" s="9">
        <f>IF(D1085="USD",E1085*$L$1,E1085)</f>
        <v/>
      </c>
      <c r="I1085" s="9">
        <f>IF(D1085="USD",F1085*$L$1,F1085)</f>
        <v/>
      </c>
      <c r="J1085" s="9">
        <f>IF(D1085="USD",G1085*$L$1,G1085)</f>
        <v/>
      </c>
    </row>
    <row r="1086">
      <c r="A1086" s="8" t="n">
        <v>46204</v>
      </c>
      <c r="B1086" t="inlineStr">
        <is>
          <t>2026-W27</t>
        </is>
      </c>
      <c r="C1086" t="inlineStr">
        <is>
          <t>Shift4</t>
        </is>
      </c>
      <c r="D1086" t="inlineStr">
        <is>
          <t>EUR</t>
        </is>
      </c>
      <c r="E1086" s="9" t="n">
        <v>505055.42</v>
      </c>
      <c r="F1086" s="9" t="n">
        <v>498702.15</v>
      </c>
      <c r="G1086" s="9" t="n">
        <v>-498702.15</v>
      </c>
      <c r="H1086" s="9">
        <f>IF(D1086="USD",E1086*$L$1,E1086)</f>
        <v/>
      </c>
      <c r="I1086" s="9">
        <f>IF(D1086="USD",F1086*$L$1,F1086)</f>
        <v/>
      </c>
      <c r="J1086" s="9">
        <f>IF(D1086="USD",G1086*$L$1,G1086)</f>
        <v/>
      </c>
    </row>
    <row r="1087">
      <c r="A1087" s="8" t="n">
        <v>46205</v>
      </c>
      <c r="B1087" t="inlineStr">
        <is>
          <t>2026-W27</t>
        </is>
      </c>
      <c r="C1087" t="inlineStr">
        <is>
          <t>Adyen</t>
        </is>
      </c>
      <c r="D1087" t="inlineStr">
        <is>
          <t>EUR</t>
        </is>
      </c>
      <c r="E1087" s="9" t="n">
        <v>786526.01</v>
      </c>
      <c r="F1087" s="9" t="n">
        <v>0</v>
      </c>
      <c r="G1087" s="9" t="n">
        <v>845386.0600000001</v>
      </c>
      <c r="H1087" s="9">
        <f>IF(D1087="USD",E1087*$L$1,E1087)</f>
        <v/>
      </c>
      <c r="I1087" s="9">
        <f>IF(D1087="USD",F1087*$L$1,F1087)</f>
        <v/>
      </c>
      <c r="J1087" s="9">
        <f>IF(D1087="USD",G1087*$L$1,G1087)</f>
        <v/>
      </c>
    </row>
    <row r="1088">
      <c r="A1088" s="8" t="n">
        <v>46205</v>
      </c>
      <c r="B1088" t="inlineStr">
        <is>
          <t>2026-W27</t>
        </is>
      </c>
      <c r="C1088" t="inlineStr">
        <is>
          <t>Adyen</t>
        </is>
      </c>
      <c r="D1088" t="inlineStr">
        <is>
          <t>EUR</t>
        </is>
      </c>
      <c r="E1088" s="9" t="n">
        <v>63385.23</v>
      </c>
      <c r="F1088" s="9" t="n">
        <v>0</v>
      </c>
      <c r="G1088" s="9" t="n">
        <v>0</v>
      </c>
      <c r="H1088" s="9">
        <f>IF(D1088="USD",E1088*$L$1,E1088)</f>
        <v/>
      </c>
      <c r="I1088" s="9">
        <f>IF(D1088="USD",F1088*$L$1,F1088)</f>
        <v/>
      </c>
      <c r="J1088" s="9">
        <f>IF(D1088="USD",G1088*$L$1,G1088)</f>
        <v/>
      </c>
    </row>
    <row r="1089">
      <c r="A1089" s="8" t="n">
        <v>46205</v>
      </c>
      <c r="B1089" t="inlineStr">
        <is>
          <t>2026-W27</t>
        </is>
      </c>
      <c r="C1089" t="inlineStr">
        <is>
          <t>Nuvei</t>
        </is>
      </c>
      <c r="D1089" t="inlineStr">
        <is>
          <t>EUR</t>
        </is>
      </c>
      <c r="E1089" s="9" t="n">
        <v>289114.11</v>
      </c>
      <c r="F1089" s="9" t="n">
        <v>283649.31</v>
      </c>
      <c r="G1089" s="9" t="n">
        <v>-283492.68</v>
      </c>
      <c r="H1089" s="9">
        <f>IF(D1089="USD",E1089*$L$1,E1089)</f>
        <v/>
      </c>
      <c r="I1089" s="9">
        <f>IF(D1089="USD",F1089*$L$1,F1089)</f>
        <v/>
      </c>
      <c r="J1089" s="9">
        <f>IF(D1089="USD",G1089*$L$1,G1089)</f>
        <v/>
      </c>
    </row>
    <row r="1090">
      <c r="A1090" s="8" t="n">
        <v>46205</v>
      </c>
      <c r="B1090" t="inlineStr">
        <is>
          <t>2026-W27</t>
        </is>
      </c>
      <c r="C1090" t="inlineStr">
        <is>
          <t>Nuvei</t>
        </is>
      </c>
      <c r="D1090" t="inlineStr">
        <is>
          <t>EUR</t>
        </is>
      </c>
      <c r="E1090" s="9" t="n">
        <v>96770.7</v>
      </c>
      <c r="F1090" s="9" t="n">
        <v>93965.69</v>
      </c>
      <c r="G1090" s="9" t="n">
        <v>-89399.89</v>
      </c>
      <c r="H1090" s="9">
        <f>IF(D1090="USD",E1090*$L$1,E1090)</f>
        <v/>
      </c>
      <c r="I1090" s="9">
        <f>IF(D1090="USD",F1090*$L$1,F1090)</f>
        <v/>
      </c>
      <c r="J1090" s="9">
        <f>IF(D1090="USD",G1090*$L$1,G1090)</f>
        <v/>
      </c>
    </row>
    <row r="1091">
      <c r="A1091" s="8" t="n">
        <v>46205</v>
      </c>
      <c r="B1091" t="inlineStr">
        <is>
          <t>2026-W27</t>
        </is>
      </c>
      <c r="C1091" t="inlineStr">
        <is>
          <t>Nuvei</t>
        </is>
      </c>
      <c r="D1091" t="inlineStr">
        <is>
          <t>EUR</t>
        </is>
      </c>
      <c r="E1091" s="9" t="n">
        <v>0</v>
      </c>
      <c r="F1091" s="9" t="n">
        <v>0</v>
      </c>
      <c r="G1091" s="9" t="n">
        <v>0</v>
      </c>
      <c r="H1091" s="9">
        <f>IF(D1091="USD",E1091*$L$1,E1091)</f>
        <v/>
      </c>
      <c r="I1091" s="9">
        <f>IF(D1091="USD",F1091*$L$1,F1091)</f>
        <v/>
      </c>
      <c r="J1091" s="9">
        <f>IF(D1091="USD",G1091*$L$1,G1091)</f>
        <v/>
      </c>
    </row>
    <row r="1092">
      <c r="A1092" s="8" t="n">
        <v>46205</v>
      </c>
      <c r="B1092" t="inlineStr">
        <is>
          <t>2026-W27</t>
        </is>
      </c>
      <c r="C1092" t="inlineStr">
        <is>
          <t>Nuvei</t>
        </is>
      </c>
      <c r="D1092" t="inlineStr">
        <is>
          <t>USD</t>
        </is>
      </c>
      <c r="E1092" s="9" t="n">
        <v>62423.21</v>
      </c>
      <c r="F1092" s="9" t="n">
        <v>62213.09</v>
      </c>
      <c r="G1092" s="9" t="n">
        <v>-62213.09</v>
      </c>
      <c r="H1092" s="9">
        <f>IF(D1092="USD",E1092*$L$1,E1092)</f>
        <v/>
      </c>
      <c r="I1092" s="9">
        <f>IF(D1092="USD",F1092*$L$1,F1092)</f>
        <v/>
      </c>
      <c r="J1092" s="9">
        <f>IF(D1092="USD",G1092*$L$1,G1092)</f>
        <v/>
      </c>
    </row>
    <row r="1093">
      <c r="A1093" s="8" t="n">
        <v>46205</v>
      </c>
      <c r="B1093" t="inlineStr">
        <is>
          <t>2026-W27</t>
        </is>
      </c>
      <c r="C1093" t="inlineStr">
        <is>
          <t>Paysafe</t>
        </is>
      </c>
      <c r="D1093" t="inlineStr">
        <is>
          <t>EUR</t>
        </is>
      </c>
      <c r="E1093" s="9" t="n">
        <v>162611.9000000002</v>
      </c>
      <c r="F1093" s="9" t="n">
        <v>162611.9000000002</v>
      </c>
      <c r="G1093" s="9" t="n">
        <v>0</v>
      </c>
      <c r="H1093" s="9">
        <f>IF(D1093="USD",E1093*$L$1,E1093)</f>
        <v/>
      </c>
      <c r="I1093" s="9">
        <f>IF(D1093="USD",F1093*$L$1,F1093)</f>
        <v/>
      </c>
      <c r="J1093" s="9">
        <f>IF(D1093="USD",G1093*$L$1,G1093)</f>
        <v/>
      </c>
    </row>
    <row r="1094">
      <c r="A1094" s="8" t="n">
        <v>46205</v>
      </c>
      <c r="B1094" t="inlineStr">
        <is>
          <t>2026-W27</t>
        </is>
      </c>
      <c r="C1094" t="inlineStr">
        <is>
          <t>Shift4</t>
        </is>
      </c>
      <c r="D1094" t="inlineStr">
        <is>
          <t>EUR</t>
        </is>
      </c>
      <c r="E1094" s="9" t="n">
        <v>373754.47</v>
      </c>
      <c r="F1094" s="9" t="n">
        <v>369586.99</v>
      </c>
      <c r="G1094" s="9" t="n">
        <v>-369586.99</v>
      </c>
      <c r="H1094" s="9">
        <f>IF(D1094="USD",E1094*$L$1,E1094)</f>
        <v/>
      </c>
      <c r="I1094" s="9">
        <f>IF(D1094="USD",F1094*$L$1,F1094)</f>
        <v/>
      </c>
      <c r="J1094" s="9">
        <f>IF(D1094="USD",G1094*$L$1,G1094)</f>
        <v/>
      </c>
    </row>
    <row r="1095">
      <c r="A1095" s="8" t="n">
        <v>46206</v>
      </c>
      <c r="B1095" t="inlineStr">
        <is>
          <t>2026-W27</t>
        </is>
      </c>
      <c r="C1095" t="inlineStr">
        <is>
          <t>Adyen</t>
        </is>
      </c>
      <c r="D1095" t="inlineStr">
        <is>
          <t>EUR</t>
        </is>
      </c>
      <c r="E1095" s="9" t="n">
        <v>753918.7</v>
      </c>
      <c r="F1095" s="9" t="n">
        <v>0</v>
      </c>
      <c r="G1095" s="9" t="n">
        <v>2413917.08</v>
      </c>
      <c r="H1095" s="9">
        <f>IF(D1095="USD",E1095*$L$1,E1095)</f>
        <v/>
      </c>
      <c r="I1095" s="9">
        <f>IF(D1095="USD",F1095*$L$1,F1095)</f>
        <v/>
      </c>
      <c r="J1095" s="9">
        <f>IF(D1095="USD",G1095*$L$1,G1095)</f>
        <v/>
      </c>
    </row>
    <row r="1096">
      <c r="A1096" s="8" t="n">
        <v>46206</v>
      </c>
      <c r="B1096" t="inlineStr">
        <is>
          <t>2026-W27</t>
        </is>
      </c>
      <c r="C1096" t="inlineStr">
        <is>
          <t>Adyen</t>
        </is>
      </c>
      <c r="D1096" t="inlineStr">
        <is>
          <t>EUR</t>
        </is>
      </c>
      <c r="E1096" s="9" t="n">
        <v>150324.41</v>
      </c>
      <c r="F1096" s="9" t="n">
        <v>0</v>
      </c>
      <c r="G1096" s="9" t="n">
        <v>0</v>
      </c>
      <c r="H1096" s="9">
        <f>IF(D1096="USD",E1096*$L$1,E1096)</f>
        <v/>
      </c>
      <c r="I1096" s="9">
        <f>IF(D1096="USD",F1096*$L$1,F1096)</f>
        <v/>
      </c>
      <c r="J1096" s="9">
        <f>IF(D1096="USD",G1096*$L$1,G1096)</f>
        <v/>
      </c>
    </row>
    <row r="1097">
      <c r="A1097" s="8" t="n">
        <v>46206</v>
      </c>
      <c r="B1097" t="inlineStr">
        <is>
          <t>2026-W27</t>
        </is>
      </c>
      <c r="C1097" t="inlineStr">
        <is>
          <t>Nuvei</t>
        </is>
      </c>
      <c r="D1097" t="inlineStr">
        <is>
          <t>EUR</t>
        </is>
      </c>
      <c r="E1097" s="9" t="n">
        <v>267096.73</v>
      </c>
      <c r="F1097" s="9" t="n">
        <v>261998.36</v>
      </c>
      <c r="G1097" s="9" t="n">
        <v>-261882.07</v>
      </c>
      <c r="H1097" s="9">
        <f>IF(D1097="USD",E1097*$L$1,E1097)</f>
        <v/>
      </c>
      <c r="I1097" s="9">
        <f>IF(D1097="USD",F1097*$L$1,F1097)</f>
        <v/>
      </c>
      <c r="J1097" s="9">
        <f>IF(D1097="USD",G1097*$L$1,G1097)</f>
        <v/>
      </c>
    </row>
    <row r="1098">
      <c r="A1098" s="8" t="n">
        <v>46206</v>
      </c>
      <c r="B1098" t="inlineStr">
        <is>
          <t>2026-W27</t>
        </is>
      </c>
      <c r="C1098" t="inlineStr">
        <is>
          <t>Nuvei</t>
        </is>
      </c>
      <c r="D1098" t="inlineStr">
        <is>
          <t>EUR</t>
        </is>
      </c>
      <c r="E1098" s="9" t="n">
        <v>244263.21</v>
      </c>
      <c r="F1098" s="9" t="n">
        <v>237332.88</v>
      </c>
      <c r="G1098" s="9" t="n">
        <v>-237329.39</v>
      </c>
      <c r="H1098" s="9">
        <f>IF(D1098="USD",E1098*$L$1,E1098)</f>
        <v/>
      </c>
      <c r="I1098" s="9">
        <f>IF(D1098="USD",F1098*$L$1,F1098)</f>
        <v/>
      </c>
      <c r="J1098" s="9">
        <f>IF(D1098="USD",G1098*$L$1,G1098)</f>
        <v/>
      </c>
    </row>
    <row r="1099">
      <c r="A1099" s="8" t="n">
        <v>46206</v>
      </c>
      <c r="B1099" t="inlineStr">
        <is>
          <t>2026-W27</t>
        </is>
      </c>
      <c r="C1099" t="inlineStr">
        <is>
          <t>Nuvei</t>
        </is>
      </c>
      <c r="D1099" t="inlineStr">
        <is>
          <t>EUR</t>
        </is>
      </c>
      <c r="E1099" s="9" t="n">
        <v>693.04</v>
      </c>
      <c r="F1099" s="9" t="n">
        <v>676.92</v>
      </c>
      <c r="G1099" s="9" t="n">
        <v>0</v>
      </c>
      <c r="H1099" s="9">
        <f>IF(D1099="USD",E1099*$L$1,E1099)</f>
        <v/>
      </c>
      <c r="I1099" s="9">
        <f>IF(D1099="USD",F1099*$L$1,F1099)</f>
        <v/>
      </c>
      <c r="J1099" s="9">
        <f>IF(D1099="USD",G1099*$L$1,G1099)</f>
        <v/>
      </c>
    </row>
    <row r="1100">
      <c r="A1100" s="8" t="n">
        <v>46206</v>
      </c>
      <c r="B1100" t="inlineStr">
        <is>
          <t>2026-W27</t>
        </is>
      </c>
      <c r="C1100" t="inlineStr">
        <is>
          <t>Nuvei</t>
        </is>
      </c>
      <c r="D1100" t="inlineStr">
        <is>
          <t>USD</t>
        </is>
      </c>
      <c r="E1100" s="9" t="n">
        <v>13713.7</v>
      </c>
      <c r="F1100" s="9" t="n">
        <v>13309.77</v>
      </c>
      <c r="G1100" s="9" t="n">
        <v>-13309.77</v>
      </c>
      <c r="H1100" s="9">
        <f>IF(D1100="USD",E1100*$L$1,E1100)</f>
        <v/>
      </c>
      <c r="I1100" s="9">
        <f>IF(D1100="USD",F1100*$L$1,F1100)</f>
        <v/>
      </c>
      <c r="J1100" s="9">
        <f>IF(D1100="USD",G1100*$L$1,G1100)</f>
        <v/>
      </c>
    </row>
    <row r="1101">
      <c r="A1101" s="8" t="n">
        <v>46206</v>
      </c>
      <c r="B1101" t="inlineStr">
        <is>
          <t>2026-W27</t>
        </is>
      </c>
      <c r="C1101" t="inlineStr">
        <is>
          <t>Paysafe</t>
        </is>
      </c>
      <c r="D1101" t="inlineStr">
        <is>
          <t>EUR</t>
        </is>
      </c>
      <c r="E1101" s="9" t="n">
        <v>149702.38</v>
      </c>
      <c r="F1101" s="9" t="n">
        <v>149402.32</v>
      </c>
      <c r="G1101" s="9" t="n">
        <v>0</v>
      </c>
      <c r="H1101" s="9">
        <f>IF(D1101="USD",E1101*$L$1,E1101)</f>
        <v/>
      </c>
      <c r="I1101" s="9">
        <f>IF(D1101="USD",F1101*$L$1,F1101)</f>
        <v/>
      </c>
      <c r="J1101" s="9">
        <f>IF(D1101="USD",G1101*$L$1,G1101)</f>
        <v/>
      </c>
    </row>
    <row r="1102">
      <c r="A1102" s="8" t="n">
        <v>46206</v>
      </c>
      <c r="B1102" t="inlineStr">
        <is>
          <t>2026-W27</t>
        </is>
      </c>
      <c r="C1102" t="inlineStr">
        <is>
          <t>Shift4</t>
        </is>
      </c>
      <c r="D1102" t="inlineStr">
        <is>
          <t>EUR</t>
        </is>
      </c>
      <c r="E1102" s="9" t="n">
        <v>333158.9</v>
      </c>
      <c r="F1102" s="9" t="n">
        <v>329087.89</v>
      </c>
      <c r="G1102" s="9" t="n">
        <v>-329087.89</v>
      </c>
      <c r="H1102" s="9">
        <f>IF(D1102="USD",E1102*$L$1,E1102)</f>
        <v/>
      </c>
      <c r="I1102" s="9">
        <f>IF(D1102="USD",F1102*$L$1,F1102)</f>
        <v/>
      </c>
      <c r="J1102" s="9">
        <f>IF(D1102="USD",G1102*$L$1,G1102)</f>
        <v/>
      </c>
    </row>
    <row r="1103">
      <c r="A1103" s="8" t="n">
        <v>46207</v>
      </c>
      <c r="B1103" t="inlineStr">
        <is>
          <t>2026-W27</t>
        </is>
      </c>
      <c r="C1103" t="inlineStr">
        <is>
          <t>Adyen</t>
        </is>
      </c>
      <c r="D1103" t="inlineStr">
        <is>
          <t>EUR</t>
        </is>
      </c>
      <c r="E1103" s="9" t="n">
        <v>621629.1899999999</v>
      </c>
      <c r="F1103" s="9" t="n">
        <v>0</v>
      </c>
      <c r="G1103" s="9" t="n">
        <v>0</v>
      </c>
      <c r="H1103" s="9">
        <f>IF(D1103="USD",E1103*$L$1,E1103)</f>
        <v/>
      </c>
      <c r="I1103" s="9">
        <f>IF(D1103="USD",F1103*$L$1,F1103)</f>
        <v/>
      </c>
      <c r="J1103" s="9">
        <f>IF(D1103="USD",G1103*$L$1,G1103)</f>
        <v/>
      </c>
    </row>
    <row r="1104">
      <c r="A1104" s="8" t="n">
        <v>46207</v>
      </c>
      <c r="B1104" t="inlineStr">
        <is>
          <t>2026-W27</t>
        </is>
      </c>
      <c r="C1104" t="inlineStr">
        <is>
          <t>Adyen</t>
        </is>
      </c>
      <c r="D1104" t="inlineStr">
        <is>
          <t>EUR</t>
        </is>
      </c>
      <c r="E1104" s="9" t="n">
        <v>138964.37</v>
      </c>
      <c r="F1104" s="9" t="n">
        <v>0</v>
      </c>
      <c r="G1104" s="9" t="n">
        <v>0</v>
      </c>
      <c r="H1104" s="9">
        <f>IF(D1104="USD",E1104*$L$1,E1104)</f>
        <v/>
      </c>
      <c r="I1104" s="9">
        <f>IF(D1104="USD",F1104*$L$1,F1104)</f>
        <v/>
      </c>
      <c r="J1104" s="9">
        <f>IF(D1104="USD",G1104*$L$1,G1104)</f>
        <v/>
      </c>
    </row>
    <row r="1105">
      <c r="A1105" s="8" t="n">
        <v>46207</v>
      </c>
      <c r="B1105" t="inlineStr">
        <is>
          <t>2026-W27</t>
        </is>
      </c>
      <c r="C1105" t="inlineStr">
        <is>
          <t>Nuvei</t>
        </is>
      </c>
      <c r="D1105" t="inlineStr">
        <is>
          <t>EUR</t>
        </is>
      </c>
      <c r="E1105" s="9" t="n">
        <v>188146.55</v>
      </c>
      <c r="F1105" s="9" t="n">
        <v>184542.46</v>
      </c>
      <c r="G1105" s="9" t="n">
        <v>0</v>
      </c>
      <c r="H1105" s="9">
        <f>IF(D1105="USD",E1105*$L$1,E1105)</f>
        <v/>
      </c>
      <c r="I1105" s="9">
        <f>IF(D1105="USD",F1105*$L$1,F1105)</f>
        <v/>
      </c>
      <c r="J1105" s="9">
        <f>IF(D1105="USD",G1105*$L$1,G1105)</f>
        <v/>
      </c>
    </row>
    <row r="1106">
      <c r="A1106" s="8" t="n">
        <v>46207</v>
      </c>
      <c r="B1106" t="inlineStr">
        <is>
          <t>2026-W27</t>
        </is>
      </c>
      <c r="C1106" t="inlineStr">
        <is>
          <t>Nuvei</t>
        </is>
      </c>
      <c r="D1106" t="inlineStr">
        <is>
          <t>EUR</t>
        </is>
      </c>
      <c r="E1106" s="9" t="n">
        <v>220801.33</v>
      </c>
      <c r="F1106" s="9" t="n">
        <v>214461.86</v>
      </c>
      <c r="G1106" s="9" t="n">
        <v>0</v>
      </c>
      <c r="H1106" s="9">
        <f>IF(D1106="USD",E1106*$L$1,E1106)</f>
        <v/>
      </c>
      <c r="I1106" s="9">
        <f>IF(D1106="USD",F1106*$L$1,F1106)</f>
        <v/>
      </c>
      <c r="J1106" s="9">
        <f>IF(D1106="USD",G1106*$L$1,G1106)</f>
        <v/>
      </c>
    </row>
    <row r="1107">
      <c r="A1107" s="8" t="n">
        <v>46207</v>
      </c>
      <c r="B1107" t="inlineStr">
        <is>
          <t>2026-W27</t>
        </is>
      </c>
      <c r="C1107" t="inlineStr">
        <is>
          <t>Nuvei</t>
        </is>
      </c>
      <c r="D1107" t="inlineStr">
        <is>
          <t>USD</t>
        </is>
      </c>
      <c r="E1107" s="9" t="n">
        <v>12893.5</v>
      </c>
      <c r="F1107" s="9" t="n">
        <v>12535.36</v>
      </c>
      <c r="G1107" s="9" t="n">
        <v>0</v>
      </c>
      <c r="H1107" s="9">
        <f>IF(D1107="USD",E1107*$L$1,E1107)</f>
        <v/>
      </c>
      <c r="I1107" s="9">
        <f>IF(D1107="USD",F1107*$L$1,F1107)</f>
        <v/>
      </c>
      <c r="J1107" s="9">
        <f>IF(D1107="USD",G1107*$L$1,G1107)</f>
        <v/>
      </c>
    </row>
    <row r="1108">
      <c r="A1108" s="8" t="n">
        <v>46207</v>
      </c>
      <c r="B1108" t="inlineStr">
        <is>
          <t>2026-W27</t>
        </is>
      </c>
      <c r="C1108" t="inlineStr">
        <is>
          <t>Paysafe</t>
        </is>
      </c>
      <c r="D1108" t="inlineStr">
        <is>
          <t>EUR</t>
        </is>
      </c>
      <c r="E1108" s="9" t="n">
        <v>125391.4199999998</v>
      </c>
      <c r="F1108" s="9" t="n">
        <v>125391.4199999998</v>
      </c>
      <c r="G1108" s="9" t="n">
        <v>0</v>
      </c>
      <c r="H1108" s="9">
        <f>IF(D1108="USD",E1108*$L$1,E1108)</f>
        <v/>
      </c>
      <c r="I1108" s="9">
        <f>IF(D1108="USD",F1108*$L$1,F1108)</f>
        <v/>
      </c>
      <c r="J1108" s="9">
        <f>IF(D1108="USD",G1108*$L$1,G1108)</f>
        <v/>
      </c>
    </row>
    <row r="1109">
      <c r="A1109" s="8" t="n">
        <v>46207</v>
      </c>
      <c r="B1109" t="inlineStr">
        <is>
          <t>2026-W27</t>
        </is>
      </c>
      <c r="C1109" t="inlineStr">
        <is>
          <t>Shift4</t>
        </is>
      </c>
      <c r="D1109" t="inlineStr">
        <is>
          <t>EUR</t>
        </is>
      </c>
      <c r="E1109" s="9" t="n">
        <v>270696.79</v>
      </c>
      <c r="F1109" s="9" t="n">
        <v>267770.65</v>
      </c>
      <c r="G1109" s="9" t="n">
        <v>0</v>
      </c>
      <c r="H1109" s="9">
        <f>IF(D1109="USD",E1109*$L$1,E1109)</f>
        <v/>
      </c>
      <c r="I1109" s="9">
        <f>IF(D1109="USD",F1109*$L$1,F1109)</f>
        <v/>
      </c>
      <c r="J1109" s="9">
        <f>IF(D1109="USD",G1109*$L$1,G1109)</f>
        <v/>
      </c>
    </row>
    <row r="1110">
      <c r="A1110" s="8" t="n">
        <v>46208</v>
      </c>
      <c r="B1110" t="inlineStr">
        <is>
          <t>2026-W27</t>
        </is>
      </c>
      <c r="C1110" t="inlineStr">
        <is>
          <t>Adyen</t>
        </is>
      </c>
      <c r="D1110" t="inlineStr">
        <is>
          <t>EUR</t>
        </is>
      </c>
      <c r="E1110" s="9" t="n">
        <v>649756.84</v>
      </c>
      <c r="F1110" s="9" t="n">
        <v>0</v>
      </c>
      <c r="G1110" s="9" t="n">
        <v>0</v>
      </c>
      <c r="H1110" s="9">
        <f>IF(D1110="USD",E1110*$L$1,E1110)</f>
        <v/>
      </c>
      <c r="I1110" s="9">
        <f>IF(D1110="USD",F1110*$L$1,F1110)</f>
        <v/>
      </c>
      <c r="J1110" s="9">
        <f>IF(D1110="USD",G1110*$L$1,G1110)</f>
        <v/>
      </c>
    </row>
    <row r="1111">
      <c r="A1111" s="8" t="n">
        <v>46208</v>
      </c>
      <c r="B1111" t="inlineStr">
        <is>
          <t>2026-W27</t>
        </is>
      </c>
      <c r="C1111" t="inlineStr">
        <is>
          <t>Adyen</t>
        </is>
      </c>
      <c r="D1111" t="inlineStr">
        <is>
          <t>EUR</t>
        </is>
      </c>
      <c r="E1111" s="9" t="n">
        <v>118489.18</v>
      </c>
      <c r="F1111" s="9" t="n">
        <v>0</v>
      </c>
      <c r="G1111" s="9" t="n">
        <v>0</v>
      </c>
      <c r="H1111" s="9">
        <f>IF(D1111="USD",E1111*$L$1,E1111)</f>
        <v/>
      </c>
      <c r="I1111" s="9">
        <f>IF(D1111="USD",F1111*$L$1,F1111)</f>
        <v/>
      </c>
      <c r="J1111" s="9">
        <f>IF(D1111="USD",G1111*$L$1,G1111)</f>
        <v/>
      </c>
    </row>
    <row r="1112">
      <c r="A1112" s="8" t="n">
        <v>46208</v>
      </c>
      <c r="B1112" t="inlineStr">
        <is>
          <t>2026-W27</t>
        </is>
      </c>
      <c r="C1112" t="inlineStr">
        <is>
          <t>Nuvei</t>
        </is>
      </c>
      <c r="D1112" t="inlineStr">
        <is>
          <t>EUR</t>
        </is>
      </c>
      <c r="E1112" s="9" t="n">
        <v>201022.76</v>
      </c>
      <c r="F1112" s="9" t="n">
        <v>197320.76</v>
      </c>
      <c r="G1112" s="9" t="n">
        <v>0</v>
      </c>
      <c r="H1112" s="9">
        <f>IF(D1112="USD",E1112*$L$1,E1112)</f>
        <v/>
      </c>
      <c r="I1112" s="9">
        <f>IF(D1112="USD",F1112*$L$1,F1112)</f>
        <v/>
      </c>
      <c r="J1112" s="9">
        <f>IF(D1112="USD",G1112*$L$1,G1112)</f>
        <v/>
      </c>
    </row>
    <row r="1113">
      <c r="A1113" s="8" t="n">
        <v>46208</v>
      </c>
      <c r="B1113" t="inlineStr">
        <is>
          <t>2026-W27</t>
        </is>
      </c>
      <c r="C1113" t="inlineStr">
        <is>
          <t>Nuvei</t>
        </is>
      </c>
      <c r="D1113" t="inlineStr">
        <is>
          <t>EUR</t>
        </is>
      </c>
      <c r="E1113" s="9" t="n">
        <v>213479.84</v>
      </c>
      <c r="F1113" s="9" t="n">
        <v>207278.77</v>
      </c>
      <c r="G1113" s="9" t="n">
        <v>0</v>
      </c>
      <c r="H1113" s="9">
        <f>IF(D1113="USD",E1113*$L$1,E1113)</f>
        <v/>
      </c>
      <c r="I1113" s="9">
        <f>IF(D1113="USD",F1113*$L$1,F1113)</f>
        <v/>
      </c>
      <c r="J1113" s="9">
        <f>IF(D1113="USD",G1113*$L$1,G1113)</f>
        <v/>
      </c>
    </row>
    <row r="1114">
      <c r="A1114" s="8" t="n">
        <v>46208</v>
      </c>
      <c r="B1114" t="inlineStr">
        <is>
          <t>2026-W27</t>
        </is>
      </c>
      <c r="C1114" t="inlineStr">
        <is>
          <t>Nuvei</t>
        </is>
      </c>
      <c r="D1114" t="inlineStr">
        <is>
          <t>USD</t>
        </is>
      </c>
      <c r="E1114" s="9" t="n">
        <v>9370.4</v>
      </c>
      <c r="F1114" s="9" t="n">
        <v>9126.449999999999</v>
      </c>
      <c r="G1114" s="9" t="n">
        <v>0</v>
      </c>
      <c r="H1114" s="9">
        <f>IF(D1114="USD",E1114*$L$1,E1114)</f>
        <v/>
      </c>
      <c r="I1114" s="9">
        <f>IF(D1114="USD",F1114*$L$1,F1114)</f>
        <v/>
      </c>
      <c r="J1114" s="9">
        <f>IF(D1114="USD",G1114*$L$1,G1114)</f>
        <v/>
      </c>
    </row>
    <row r="1115">
      <c r="A1115" s="8" t="n">
        <v>46208</v>
      </c>
      <c r="B1115" t="inlineStr">
        <is>
          <t>2026-W27</t>
        </is>
      </c>
      <c r="C1115" t="inlineStr">
        <is>
          <t>Paysafe</t>
        </is>
      </c>
      <c r="D1115" t="inlineStr">
        <is>
          <t>EUR</t>
        </is>
      </c>
      <c r="E1115" s="9" t="n">
        <v>145271.71</v>
      </c>
      <c r="F1115" s="9" t="n">
        <v>144988.78</v>
      </c>
      <c r="G1115" s="9" t="n">
        <v>0</v>
      </c>
      <c r="H1115" s="9">
        <f>IF(D1115="USD",E1115*$L$1,E1115)</f>
        <v/>
      </c>
      <c r="I1115" s="9">
        <f>IF(D1115="USD",F1115*$L$1,F1115)</f>
        <v/>
      </c>
      <c r="J1115" s="9">
        <f>IF(D1115="USD",G1115*$L$1,G1115)</f>
        <v/>
      </c>
    </row>
    <row r="1116">
      <c r="A1116" s="8" t="n">
        <v>46208</v>
      </c>
      <c r="B1116" t="inlineStr">
        <is>
          <t>2026-W27</t>
        </is>
      </c>
      <c r="C1116" t="inlineStr">
        <is>
          <t>Shift4</t>
        </is>
      </c>
      <c r="D1116" t="inlineStr">
        <is>
          <t>EUR</t>
        </is>
      </c>
      <c r="E1116" s="9" t="n">
        <v>333569.35</v>
      </c>
      <c r="F1116" s="9" t="n">
        <v>330090.06</v>
      </c>
      <c r="G1116" s="9" t="n">
        <v>0</v>
      </c>
      <c r="H1116" s="9">
        <f>IF(D1116="USD",E1116*$L$1,E1116)</f>
        <v/>
      </c>
      <c r="I1116" s="9">
        <f>IF(D1116="USD",F1116*$L$1,F1116)</f>
        <v/>
      </c>
      <c r="J1116" s="9">
        <f>IF(D1116="USD",G1116*$L$1,G1116)</f>
        <v/>
      </c>
    </row>
    <row r="1117">
      <c r="A1117" s="8" t="n">
        <v>46209</v>
      </c>
      <c r="B1117" t="inlineStr">
        <is>
          <t>2026-W28</t>
        </is>
      </c>
      <c r="C1117" t="inlineStr">
        <is>
          <t>Adyen</t>
        </is>
      </c>
      <c r="D1117" t="inlineStr">
        <is>
          <t>EUR</t>
        </is>
      </c>
      <c r="E1117" s="9" t="n">
        <v>976335.8100000001</v>
      </c>
      <c r="F1117" s="9" t="n">
        <v>0</v>
      </c>
      <c r="G1117" s="9" t="n">
        <v>1147607.52</v>
      </c>
      <c r="H1117" s="9">
        <f>IF(D1117="USD",E1117*$L$1,E1117)</f>
        <v/>
      </c>
      <c r="I1117" s="9">
        <f>IF(D1117="USD",F1117*$L$1,F1117)</f>
        <v/>
      </c>
      <c r="J1117" s="9">
        <f>IF(D1117="USD",G1117*$L$1,G1117)</f>
        <v/>
      </c>
    </row>
    <row r="1118">
      <c r="A1118" s="8" t="n">
        <v>46209</v>
      </c>
      <c r="B1118" t="inlineStr">
        <is>
          <t>2026-W28</t>
        </is>
      </c>
      <c r="C1118" t="inlineStr">
        <is>
          <t>Adyen</t>
        </is>
      </c>
      <c r="D1118" t="inlineStr">
        <is>
          <t>EUR</t>
        </is>
      </c>
      <c r="E1118" s="9" t="n">
        <v>182674.1</v>
      </c>
      <c r="F1118" s="9" t="n">
        <v>0</v>
      </c>
      <c r="G1118" s="9" t="n">
        <v>0</v>
      </c>
      <c r="H1118" s="9">
        <f>IF(D1118="USD",E1118*$L$1,E1118)</f>
        <v/>
      </c>
      <c r="I1118" s="9">
        <f>IF(D1118="USD",F1118*$L$1,F1118)</f>
        <v/>
      </c>
      <c r="J1118" s="9">
        <f>IF(D1118="USD",G1118*$L$1,G1118)</f>
        <v/>
      </c>
    </row>
    <row r="1119">
      <c r="A1119" s="8" t="n">
        <v>46209</v>
      </c>
      <c r="B1119" t="inlineStr">
        <is>
          <t>2026-W28</t>
        </is>
      </c>
      <c r="C1119" t="inlineStr">
        <is>
          <t>Nuvei</t>
        </is>
      </c>
      <c r="D1119" t="inlineStr">
        <is>
          <t>EUR</t>
        </is>
      </c>
      <c r="E1119" s="9" t="n">
        <v>287070.65</v>
      </c>
      <c r="F1119" s="9" t="n">
        <v>281358.26</v>
      </c>
      <c r="G1119" s="9" t="n">
        <v>-663158.64</v>
      </c>
      <c r="H1119" s="9">
        <f>IF(D1119="USD",E1119*$L$1,E1119)</f>
        <v/>
      </c>
      <c r="I1119" s="9">
        <f>IF(D1119="USD",F1119*$L$1,F1119)</f>
        <v/>
      </c>
      <c r="J1119" s="9">
        <f>IF(D1119="USD",G1119*$L$1,G1119)</f>
        <v/>
      </c>
    </row>
    <row r="1120">
      <c r="A1120" s="8" t="n">
        <v>46209</v>
      </c>
      <c r="B1120" t="inlineStr">
        <is>
          <t>2026-W28</t>
        </is>
      </c>
      <c r="C1120" t="inlineStr">
        <is>
          <t>Nuvei</t>
        </is>
      </c>
      <c r="D1120" t="inlineStr">
        <is>
          <t>EUR</t>
        </is>
      </c>
      <c r="E1120" s="9" t="n">
        <v>268827.88</v>
      </c>
      <c r="F1120" s="9" t="n">
        <v>261293.34</v>
      </c>
      <c r="G1120" s="9" t="n">
        <v>-683033.98</v>
      </c>
      <c r="H1120" s="9">
        <f>IF(D1120="USD",E1120*$L$1,E1120)</f>
        <v/>
      </c>
      <c r="I1120" s="9">
        <f>IF(D1120="USD",F1120*$L$1,F1120)</f>
        <v/>
      </c>
      <c r="J1120" s="9">
        <f>IF(D1120="USD",G1120*$L$1,G1120)</f>
        <v/>
      </c>
    </row>
    <row r="1121">
      <c r="A1121" s="8" t="n">
        <v>46209</v>
      </c>
      <c r="B1121" t="inlineStr">
        <is>
          <t>2026-W28</t>
        </is>
      </c>
      <c r="C1121" t="inlineStr">
        <is>
          <t>Nuvei</t>
        </is>
      </c>
      <c r="D1121" t="inlineStr">
        <is>
          <t>USD</t>
        </is>
      </c>
      <c r="E1121" s="9" t="n">
        <v>12505.5</v>
      </c>
      <c r="F1121" s="9" t="n">
        <v>12163.71</v>
      </c>
      <c r="G1121" s="9" t="n">
        <v>-33602.13</v>
      </c>
      <c r="H1121" s="9">
        <f>IF(D1121="USD",E1121*$L$1,E1121)</f>
        <v/>
      </c>
      <c r="I1121" s="9">
        <f>IF(D1121="USD",F1121*$L$1,F1121)</f>
        <v/>
      </c>
      <c r="J1121" s="9">
        <f>IF(D1121="USD",G1121*$L$1,G1121)</f>
        <v/>
      </c>
    </row>
    <row r="1122">
      <c r="A1122" s="8" t="n">
        <v>46209</v>
      </c>
      <c r="B1122" t="inlineStr">
        <is>
          <t>2026-W28</t>
        </is>
      </c>
      <c r="C1122" t="inlineStr">
        <is>
          <t>Paysafe</t>
        </is>
      </c>
      <c r="D1122" t="inlineStr">
        <is>
          <t>EUR</t>
        </is>
      </c>
      <c r="E1122" s="9" t="n">
        <v>177639.11</v>
      </c>
      <c r="F1122" s="9" t="n">
        <v>175703.73</v>
      </c>
      <c r="G1122" s="9" t="n">
        <v>0</v>
      </c>
      <c r="H1122" s="9">
        <f>IF(D1122="USD",E1122*$L$1,E1122)</f>
        <v/>
      </c>
      <c r="I1122" s="9">
        <f>IF(D1122="USD",F1122*$L$1,F1122)</f>
        <v/>
      </c>
      <c r="J1122" s="9">
        <f>IF(D1122="USD",G1122*$L$1,G1122)</f>
        <v/>
      </c>
    </row>
    <row r="1123">
      <c r="A1123" s="8" t="n">
        <v>46209</v>
      </c>
      <c r="B1123" t="inlineStr">
        <is>
          <t>2026-W28</t>
        </is>
      </c>
      <c r="C1123" t="inlineStr">
        <is>
          <t>Shift4</t>
        </is>
      </c>
      <c r="D1123" t="inlineStr">
        <is>
          <t>EUR</t>
        </is>
      </c>
      <c r="E1123" s="9" t="n">
        <v>398738.16</v>
      </c>
      <c r="F1123" s="9" t="n">
        <v>394077</v>
      </c>
      <c r="G1123" s="9" t="n">
        <v>-991937.71</v>
      </c>
      <c r="H1123" s="9">
        <f>IF(D1123="USD",E1123*$L$1,E1123)</f>
        <v/>
      </c>
      <c r="I1123" s="9">
        <f>IF(D1123="USD",F1123*$L$1,F1123)</f>
        <v/>
      </c>
      <c r="J1123" s="9">
        <f>IF(D1123="USD",G1123*$L$1,G1123)</f>
        <v/>
      </c>
    </row>
    <row r="1124">
      <c r="A1124" s="8" t="n">
        <v>46210</v>
      </c>
      <c r="B1124" t="inlineStr">
        <is>
          <t>2026-W28</t>
        </is>
      </c>
      <c r="C1124" t="inlineStr">
        <is>
          <t>Adyen</t>
        </is>
      </c>
      <c r="D1124" t="inlineStr">
        <is>
          <t>EUR</t>
        </is>
      </c>
      <c r="E1124" s="9" t="n">
        <v>963422.77</v>
      </c>
      <c r="F1124" s="9" t="n">
        <v>0</v>
      </c>
      <c r="G1124" s="9" t="n">
        <v>0</v>
      </c>
      <c r="H1124" s="9">
        <f>IF(D1124="USD",E1124*$L$1,E1124)</f>
        <v/>
      </c>
      <c r="I1124" s="9">
        <f>IF(D1124="USD",F1124*$L$1,F1124)</f>
        <v/>
      </c>
      <c r="J1124" s="9">
        <f>IF(D1124="USD",G1124*$L$1,G1124)</f>
        <v/>
      </c>
    </row>
    <row r="1125">
      <c r="A1125" s="8" t="n">
        <v>46210</v>
      </c>
      <c r="B1125" t="inlineStr">
        <is>
          <t>2026-W28</t>
        </is>
      </c>
      <c r="C1125" t="inlineStr">
        <is>
          <t>Adyen</t>
        </is>
      </c>
      <c r="D1125" t="inlineStr">
        <is>
          <t>EUR</t>
        </is>
      </c>
      <c r="E1125" s="9" t="n">
        <v>164212.82</v>
      </c>
      <c r="F1125" s="9" t="n">
        <v>0</v>
      </c>
      <c r="G1125" s="9" t="n">
        <v>0</v>
      </c>
      <c r="H1125" s="9">
        <f>IF(D1125="USD",E1125*$L$1,E1125)</f>
        <v/>
      </c>
      <c r="I1125" s="9">
        <f>IF(D1125="USD",F1125*$L$1,F1125)</f>
        <v/>
      </c>
      <c r="J1125" s="9">
        <f>IF(D1125="USD",G1125*$L$1,G1125)</f>
        <v/>
      </c>
    </row>
    <row r="1126">
      <c r="A1126" s="8" t="n">
        <v>46210</v>
      </c>
      <c r="B1126" t="inlineStr">
        <is>
          <t>2026-W28</t>
        </is>
      </c>
      <c r="C1126" t="inlineStr">
        <is>
          <t>Nuvei</t>
        </is>
      </c>
      <c r="D1126" t="inlineStr">
        <is>
          <t>EUR</t>
        </is>
      </c>
      <c r="E1126" s="9" t="n">
        <v>288918.61</v>
      </c>
      <c r="F1126" s="9" t="n">
        <v>283324.62</v>
      </c>
      <c r="G1126" s="9" t="n">
        <v>-283215.01</v>
      </c>
      <c r="H1126" s="9">
        <f>IF(D1126="USD",E1126*$L$1,E1126)</f>
        <v/>
      </c>
      <c r="I1126" s="9">
        <f>IF(D1126="USD",F1126*$L$1,F1126)</f>
        <v/>
      </c>
      <c r="J1126" s="9">
        <f>IF(D1126="USD",G1126*$L$1,G1126)</f>
        <v/>
      </c>
    </row>
    <row r="1127">
      <c r="A1127" s="8" t="n">
        <v>46210</v>
      </c>
      <c r="B1127" t="inlineStr">
        <is>
          <t>2026-W28</t>
        </is>
      </c>
      <c r="C1127" t="inlineStr">
        <is>
          <t>Nuvei</t>
        </is>
      </c>
      <c r="D1127" t="inlineStr">
        <is>
          <t>EUR</t>
        </is>
      </c>
      <c r="E1127" s="9" t="n">
        <v>298656</v>
      </c>
      <c r="F1127" s="9" t="n">
        <v>290157.2</v>
      </c>
      <c r="G1127" s="9" t="n">
        <v>-290157.19</v>
      </c>
      <c r="H1127" s="9">
        <f>IF(D1127="USD",E1127*$L$1,E1127)</f>
        <v/>
      </c>
      <c r="I1127" s="9">
        <f>IF(D1127="USD",F1127*$L$1,F1127)</f>
        <v/>
      </c>
      <c r="J1127" s="9">
        <f>IF(D1127="USD",G1127*$L$1,G1127)</f>
        <v/>
      </c>
    </row>
    <row r="1128">
      <c r="A1128" s="8" t="n">
        <v>46210</v>
      </c>
      <c r="B1128" t="inlineStr">
        <is>
          <t>2026-W28</t>
        </is>
      </c>
      <c r="C1128" t="inlineStr">
        <is>
          <t>Nuvei</t>
        </is>
      </c>
      <c r="D1128" t="inlineStr">
        <is>
          <t>USD</t>
        </is>
      </c>
      <c r="E1128" s="9" t="n">
        <v>10409.5</v>
      </c>
      <c r="F1128" s="9" t="n">
        <v>10108.64</v>
      </c>
      <c r="G1128" s="9" t="n">
        <v>-10108.63</v>
      </c>
      <c r="H1128" s="9">
        <f>IF(D1128="USD",E1128*$L$1,E1128)</f>
        <v/>
      </c>
      <c r="I1128" s="9">
        <f>IF(D1128="USD",F1128*$L$1,F1128)</f>
        <v/>
      </c>
      <c r="J1128" s="9">
        <f>IF(D1128="USD",G1128*$L$1,G1128)</f>
        <v/>
      </c>
    </row>
    <row r="1129">
      <c r="A1129" s="8" t="n">
        <v>46210</v>
      </c>
      <c r="B1129" t="inlineStr">
        <is>
          <t>2026-W28</t>
        </is>
      </c>
      <c r="C1129" t="inlineStr">
        <is>
          <t>Paysafe</t>
        </is>
      </c>
      <c r="D1129" t="inlineStr">
        <is>
          <t>EUR</t>
        </is>
      </c>
      <c r="E1129" s="9" t="n">
        <v>176573.66</v>
      </c>
      <c r="F1129" s="9" t="n">
        <v>176303.43</v>
      </c>
      <c r="G1129" s="9" t="n">
        <v>0</v>
      </c>
      <c r="H1129" s="9">
        <f>IF(D1129="USD",E1129*$L$1,E1129)</f>
        <v/>
      </c>
      <c r="I1129" s="9">
        <f>IF(D1129="USD",F1129*$L$1,F1129)</f>
        <v/>
      </c>
      <c r="J1129" s="9">
        <f>IF(D1129="USD",G1129*$L$1,G1129)</f>
        <v/>
      </c>
    </row>
    <row r="1130">
      <c r="A1130" s="8" t="n">
        <v>46210</v>
      </c>
      <c r="B1130" t="inlineStr">
        <is>
          <t>2026-W28</t>
        </is>
      </c>
      <c r="C1130" t="inlineStr">
        <is>
          <t>Shift4</t>
        </is>
      </c>
      <c r="D1130" t="inlineStr">
        <is>
          <t>EUR</t>
        </is>
      </c>
      <c r="E1130" s="9" t="n">
        <v>408852.17</v>
      </c>
      <c r="F1130" s="9" t="n">
        <v>403809.02</v>
      </c>
      <c r="G1130" s="9" t="n">
        <v>-403809.02</v>
      </c>
      <c r="H1130" s="9">
        <f>IF(D1130="USD",E1130*$L$1,E1130)</f>
        <v/>
      </c>
      <c r="I1130" s="9">
        <f>IF(D1130="USD",F1130*$L$1,F1130)</f>
        <v/>
      </c>
      <c r="J1130" s="9">
        <f>IF(D1130="USD",G1130*$L$1,G1130)</f>
        <v/>
      </c>
    </row>
    <row r="1131">
      <c r="A1131" s="8" t="n">
        <v>46211</v>
      </c>
      <c r="B1131" t="inlineStr">
        <is>
          <t>2026-W28</t>
        </is>
      </c>
      <c r="C1131" t="inlineStr">
        <is>
          <t>Adyen</t>
        </is>
      </c>
      <c r="D1131" t="inlineStr">
        <is>
          <t>EUR</t>
        </is>
      </c>
      <c r="E1131" s="9" t="n">
        <v>935638.36</v>
      </c>
      <c r="F1131" s="9" t="n">
        <v>0</v>
      </c>
      <c r="G1131" s="9" t="n">
        <v>0</v>
      </c>
      <c r="H1131" s="9">
        <f>IF(D1131="USD",E1131*$L$1,E1131)</f>
        <v/>
      </c>
      <c r="I1131" s="9">
        <f>IF(D1131="USD",F1131*$L$1,F1131)</f>
        <v/>
      </c>
      <c r="J1131" s="9">
        <f>IF(D1131="USD",G1131*$L$1,G1131)</f>
        <v/>
      </c>
    </row>
    <row r="1132">
      <c r="A1132" s="8" t="n">
        <v>46211</v>
      </c>
      <c r="B1132" t="inlineStr">
        <is>
          <t>2026-W28</t>
        </is>
      </c>
      <c r="C1132" t="inlineStr">
        <is>
          <t>Adyen</t>
        </is>
      </c>
      <c r="D1132" t="inlineStr">
        <is>
          <t>EUR</t>
        </is>
      </c>
      <c r="E1132" s="9" t="n">
        <v>178863.49</v>
      </c>
      <c r="F1132" s="9" t="n">
        <v>0</v>
      </c>
      <c r="G1132" s="9" t="n">
        <v>0</v>
      </c>
      <c r="H1132" s="9">
        <f>IF(D1132="USD",E1132*$L$1,E1132)</f>
        <v/>
      </c>
      <c r="I1132" s="9">
        <f>IF(D1132="USD",F1132*$L$1,F1132)</f>
        <v/>
      </c>
      <c r="J1132" s="9">
        <f>IF(D1132="USD",G1132*$L$1,G1132)</f>
        <v/>
      </c>
    </row>
    <row r="1133">
      <c r="A1133" s="8" t="n">
        <v>46211</v>
      </c>
      <c r="B1133" t="inlineStr">
        <is>
          <t>2026-W28</t>
        </is>
      </c>
      <c r="C1133" t="inlineStr">
        <is>
          <t>Nuvei</t>
        </is>
      </c>
      <c r="D1133" t="inlineStr">
        <is>
          <t>EUR</t>
        </is>
      </c>
      <c r="E1133" s="9" t="n">
        <v>330395.81</v>
      </c>
      <c r="F1133" s="9" t="n">
        <v>324271.14</v>
      </c>
      <c r="G1133" s="9" t="n">
        <v>-324267.64</v>
      </c>
      <c r="H1133" s="9">
        <f>IF(D1133="USD",E1133*$L$1,E1133)</f>
        <v/>
      </c>
      <c r="I1133" s="9">
        <f>IF(D1133="USD",F1133*$L$1,F1133)</f>
        <v/>
      </c>
      <c r="J1133" s="9">
        <f>IF(D1133="USD",G1133*$L$1,G1133)</f>
        <v/>
      </c>
    </row>
    <row r="1134">
      <c r="A1134" s="8" t="n">
        <v>46211</v>
      </c>
      <c r="B1134" t="inlineStr">
        <is>
          <t>2026-W28</t>
        </is>
      </c>
      <c r="C1134" t="inlineStr">
        <is>
          <t>Nuvei</t>
        </is>
      </c>
      <c r="D1134" t="inlineStr">
        <is>
          <t>EUR</t>
        </is>
      </c>
      <c r="E1134" s="9" t="n">
        <v>282530.23</v>
      </c>
      <c r="F1134" s="9" t="n">
        <v>274434.2</v>
      </c>
      <c r="G1134" s="9" t="n">
        <v>-274430.69</v>
      </c>
      <c r="H1134" s="9">
        <f>IF(D1134="USD",E1134*$L$1,E1134)</f>
        <v/>
      </c>
      <c r="I1134" s="9">
        <f>IF(D1134="USD",F1134*$L$1,F1134)</f>
        <v/>
      </c>
      <c r="J1134" s="9">
        <f>IF(D1134="USD",G1134*$L$1,G1134)</f>
        <v/>
      </c>
    </row>
    <row r="1135">
      <c r="A1135" s="8" t="n">
        <v>46211</v>
      </c>
      <c r="B1135" t="inlineStr">
        <is>
          <t>2026-W28</t>
        </is>
      </c>
      <c r="C1135" t="inlineStr">
        <is>
          <t>Nuvei</t>
        </is>
      </c>
      <c r="D1135" t="inlineStr">
        <is>
          <t>USD</t>
        </is>
      </c>
      <c r="E1135" s="9" t="n">
        <v>12184</v>
      </c>
      <c r="F1135" s="9" t="n">
        <v>11827.2</v>
      </c>
      <c r="G1135" s="9" t="n">
        <v>-11827.2</v>
      </c>
      <c r="H1135" s="9">
        <f>IF(D1135="USD",E1135*$L$1,E1135)</f>
        <v/>
      </c>
      <c r="I1135" s="9">
        <f>IF(D1135="USD",F1135*$L$1,F1135)</f>
        <v/>
      </c>
      <c r="J1135" s="9">
        <f>IF(D1135="USD",G1135*$L$1,G1135)</f>
        <v/>
      </c>
    </row>
    <row r="1136">
      <c r="A1136" s="8" t="n">
        <v>46211</v>
      </c>
      <c r="B1136" t="inlineStr">
        <is>
          <t>2026-W28</t>
        </is>
      </c>
      <c r="C1136" t="inlineStr">
        <is>
          <t>Paysafe</t>
        </is>
      </c>
      <c r="D1136" t="inlineStr">
        <is>
          <t>EUR</t>
        </is>
      </c>
      <c r="E1136" s="9" t="n">
        <v>174256.68</v>
      </c>
      <c r="F1136" s="9" t="n">
        <v>173399.71</v>
      </c>
      <c r="G1136" s="9" t="n">
        <v>0</v>
      </c>
      <c r="H1136" s="9">
        <f>IF(D1136="USD",E1136*$L$1,E1136)</f>
        <v/>
      </c>
      <c r="I1136" s="9">
        <f>IF(D1136="USD",F1136*$L$1,F1136)</f>
        <v/>
      </c>
      <c r="J1136" s="9">
        <f>IF(D1136="USD",G1136*$L$1,G1136)</f>
        <v/>
      </c>
    </row>
    <row r="1137">
      <c r="A1137" s="8" t="n">
        <v>46211</v>
      </c>
      <c r="B1137" t="inlineStr">
        <is>
          <t>2026-W28</t>
        </is>
      </c>
      <c r="C1137" t="inlineStr">
        <is>
          <t>Shift4</t>
        </is>
      </c>
      <c r="D1137" t="inlineStr">
        <is>
          <t>EUR</t>
        </is>
      </c>
      <c r="E1137" s="9" t="n">
        <v>410762.74</v>
      </c>
      <c r="F1137" s="9" t="n">
        <v>406069.92</v>
      </c>
      <c r="G1137" s="9" t="n">
        <v>-406069.92</v>
      </c>
      <c r="H1137" s="9">
        <f>IF(D1137="USD",E1137*$L$1,E1137)</f>
        <v/>
      </c>
      <c r="I1137" s="9">
        <f>IF(D1137="USD",F1137*$L$1,F1137)</f>
        <v/>
      </c>
      <c r="J1137" s="9">
        <f>IF(D1137="USD",G1137*$L$1,G1137)</f>
        <v/>
      </c>
    </row>
    <row r="1138">
      <c r="A1138" s="8" t="n">
        <v>46212</v>
      </c>
      <c r="B1138" t="inlineStr">
        <is>
          <t>2026-W28</t>
        </is>
      </c>
      <c r="C1138" t="inlineStr">
        <is>
          <t>Adyen</t>
        </is>
      </c>
      <c r="D1138" t="inlineStr">
        <is>
          <t>EUR</t>
        </is>
      </c>
      <c r="E1138" s="9" t="n">
        <v>763248.2</v>
      </c>
      <c r="F1138" s="9" t="n">
        <v>0</v>
      </c>
      <c r="G1138" s="9" t="n">
        <v>0</v>
      </c>
      <c r="H1138" s="9">
        <f>IF(D1138="USD",E1138*$L$1,E1138)</f>
        <v/>
      </c>
      <c r="I1138" s="9">
        <f>IF(D1138="USD",F1138*$L$1,F1138)</f>
        <v/>
      </c>
      <c r="J1138" s="9">
        <f>IF(D1138="USD",G1138*$L$1,G1138)</f>
        <v/>
      </c>
    </row>
    <row r="1139">
      <c r="A1139" s="8" t="n">
        <v>46212</v>
      </c>
      <c r="B1139" t="inlineStr">
        <is>
          <t>2026-W28</t>
        </is>
      </c>
      <c r="C1139" t="inlineStr">
        <is>
          <t>Adyen</t>
        </is>
      </c>
      <c r="D1139" t="inlineStr">
        <is>
          <t>EUR</t>
        </is>
      </c>
      <c r="E1139" s="9" t="n">
        <v>126407.47</v>
      </c>
      <c r="F1139" s="9" t="n">
        <v>0</v>
      </c>
      <c r="G1139" s="9" t="n">
        <v>0</v>
      </c>
      <c r="H1139" s="9">
        <f>IF(D1139="USD",E1139*$L$1,E1139)</f>
        <v/>
      </c>
      <c r="I1139" s="9">
        <f>IF(D1139="USD",F1139*$L$1,F1139)</f>
        <v/>
      </c>
      <c r="J1139" s="9">
        <f>IF(D1139="USD",G1139*$L$1,G1139)</f>
        <v/>
      </c>
    </row>
    <row r="1140">
      <c r="A1140" s="8" t="n">
        <v>46212</v>
      </c>
      <c r="B1140" t="inlineStr">
        <is>
          <t>2026-W28</t>
        </is>
      </c>
      <c r="C1140" t="inlineStr">
        <is>
          <t>Nuvei</t>
        </is>
      </c>
      <c r="D1140" t="inlineStr">
        <is>
          <t>EUR</t>
        </is>
      </c>
      <c r="E1140" s="9" t="n">
        <v>288362.73</v>
      </c>
      <c r="F1140" s="9" t="n">
        <v>282620.87</v>
      </c>
      <c r="G1140" s="9" t="n">
        <v>0</v>
      </c>
      <c r="H1140" s="9">
        <f>IF(D1140="USD",E1140*$L$1,E1140)</f>
        <v/>
      </c>
      <c r="I1140" s="9">
        <f>IF(D1140="USD",F1140*$L$1,F1140)</f>
        <v/>
      </c>
      <c r="J1140" s="9">
        <f>IF(D1140="USD",G1140*$L$1,G1140)</f>
        <v/>
      </c>
    </row>
    <row r="1141">
      <c r="A1141" s="8" t="n">
        <v>46212</v>
      </c>
      <c r="B1141" t="inlineStr">
        <is>
          <t>2026-W28</t>
        </is>
      </c>
      <c r="C1141" t="inlineStr">
        <is>
          <t>Nuvei</t>
        </is>
      </c>
      <c r="D1141" t="inlineStr">
        <is>
          <t>EUR</t>
        </is>
      </c>
      <c r="E1141" s="9" t="n">
        <v>188868.91</v>
      </c>
      <c r="F1141" s="9" t="n">
        <v>183540.83</v>
      </c>
      <c r="G1141" s="9" t="n">
        <v>0</v>
      </c>
      <c r="H1141" s="9">
        <f>IF(D1141="USD",E1141*$L$1,E1141)</f>
        <v/>
      </c>
      <c r="I1141" s="9">
        <f>IF(D1141="USD",F1141*$L$1,F1141)</f>
        <v/>
      </c>
      <c r="J1141" s="9">
        <f>IF(D1141="USD",G1141*$L$1,G1141)</f>
        <v/>
      </c>
    </row>
    <row r="1142">
      <c r="A1142" s="8" t="n">
        <v>46212</v>
      </c>
      <c r="B1142" t="inlineStr">
        <is>
          <t>2026-W28</t>
        </is>
      </c>
      <c r="C1142" t="inlineStr">
        <is>
          <t>Nuvei</t>
        </is>
      </c>
      <c r="D1142" t="inlineStr">
        <is>
          <t>USD</t>
        </is>
      </c>
      <c r="E1142" s="9" t="n">
        <v>14529.1</v>
      </c>
      <c r="F1142" s="9" t="n">
        <v>14092.29</v>
      </c>
      <c r="G1142" s="9" t="n">
        <v>0</v>
      </c>
      <c r="H1142" s="9">
        <f>IF(D1142="USD",E1142*$L$1,E1142)</f>
        <v/>
      </c>
      <c r="I1142" s="9">
        <f>IF(D1142="USD",F1142*$L$1,F1142)</f>
        <v/>
      </c>
      <c r="J1142" s="9">
        <f>IF(D1142="USD",G1142*$L$1,G1142)</f>
        <v/>
      </c>
    </row>
    <row r="1143">
      <c r="A1143" s="8" t="n">
        <v>46212</v>
      </c>
      <c r="B1143" t="inlineStr">
        <is>
          <t>2026-W28</t>
        </is>
      </c>
      <c r="C1143" t="inlineStr">
        <is>
          <t>Paysafe</t>
        </is>
      </c>
      <c r="D1143" t="inlineStr">
        <is>
          <t>EUR</t>
        </is>
      </c>
      <c r="E1143" s="9" t="n">
        <v>162941.51</v>
      </c>
      <c r="F1143" s="9" t="n">
        <v>161897.4</v>
      </c>
      <c r="G1143" s="9" t="n">
        <v>0</v>
      </c>
      <c r="H1143" s="9">
        <f>IF(D1143="USD",E1143*$L$1,E1143)</f>
        <v/>
      </c>
      <c r="I1143" s="9">
        <f>IF(D1143="USD",F1143*$L$1,F1143)</f>
        <v/>
      </c>
      <c r="J1143" s="9">
        <f>IF(D1143="USD",G1143*$L$1,G1143)</f>
        <v/>
      </c>
    </row>
    <row r="1144">
      <c r="A1144" s="8" t="n">
        <v>46212</v>
      </c>
      <c r="B1144" t="inlineStr">
        <is>
          <t>2026-W28</t>
        </is>
      </c>
      <c r="C1144" t="inlineStr">
        <is>
          <t>Shift4</t>
        </is>
      </c>
      <c r="D1144" t="inlineStr">
        <is>
          <t>EUR</t>
        </is>
      </c>
      <c r="E1144" s="9" t="n">
        <v>329737.56</v>
      </c>
      <c r="F1144" s="9" t="n">
        <v>325704.93</v>
      </c>
      <c r="G1144" s="9" t="n">
        <v>-325704.93</v>
      </c>
      <c r="H1144" s="9">
        <f>IF(D1144="USD",E1144*$L$1,E1144)</f>
        <v/>
      </c>
      <c r="I1144" s="9">
        <f>IF(D1144="USD",F1144*$L$1,F1144)</f>
        <v/>
      </c>
      <c r="J1144" s="9">
        <f>IF(D1144="USD",G1144*$L$1,G1144)</f>
        <v/>
      </c>
    </row>
    <row r="1145">
      <c r="A1145" s="8" t="n">
        <v>46213</v>
      </c>
      <c r="B1145" t="inlineStr">
        <is>
          <t>2026-W28</t>
        </is>
      </c>
      <c r="C1145" t="inlineStr">
        <is>
          <t>Adyen</t>
        </is>
      </c>
      <c r="D1145" t="inlineStr">
        <is>
          <t>EUR</t>
        </is>
      </c>
      <c r="E1145" s="9" t="n">
        <v>838437.96</v>
      </c>
      <c r="F1145" s="9" t="n">
        <v>0</v>
      </c>
      <c r="G1145" s="9" t="n">
        <v>0</v>
      </c>
      <c r="H1145" s="9">
        <f>IF(D1145="USD",E1145*$L$1,E1145)</f>
        <v/>
      </c>
      <c r="I1145" s="9">
        <f>IF(D1145="USD",F1145*$L$1,F1145)</f>
        <v/>
      </c>
      <c r="J1145" s="9">
        <f>IF(D1145="USD",G1145*$L$1,G1145)</f>
        <v/>
      </c>
    </row>
    <row r="1146">
      <c r="A1146" s="8" t="n">
        <v>46213</v>
      </c>
      <c r="B1146" t="inlineStr">
        <is>
          <t>2026-W28</t>
        </is>
      </c>
      <c r="C1146" t="inlineStr">
        <is>
          <t>Adyen</t>
        </is>
      </c>
      <c r="D1146" t="inlineStr">
        <is>
          <t>EUR</t>
        </is>
      </c>
      <c r="E1146" s="9" t="n">
        <v>166784.39</v>
      </c>
      <c r="F1146" s="9" t="n">
        <v>0</v>
      </c>
      <c r="G1146" s="9" t="n">
        <v>0</v>
      </c>
      <c r="H1146" s="9">
        <f>IF(D1146="USD",E1146*$L$1,E1146)</f>
        <v/>
      </c>
      <c r="I1146" s="9">
        <f>IF(D1146="USD",F1146*$L$1,F1146)</f>
        <v/>
      </c>
      <c r="J1146" s="9">
        <f>IF(D1146="USD",G1146*$L$1,G1146)</f>
        <v/>
      </c>
    </row>
    <row r="1147">
      <c r="A1147" s="8" t="n">
        <v>46213</v>
      </c>
      <c r="B1147" t="inlineStr">
        <is>
          <t>2026-W28</t>
        </is>
      </c>
      <c r="C1147" t="inlineStr">
        <is>
          <t>Nuvei</t>
        </is>
      </c>
      <c r="D1147" t="inlineStr">
        <is>
          <t>EUR</t>
        </is>
      </c>
      <c r="E1147" s="9" t="n">
        <v>273131.96</v>
      </c>
      <c r="F1147" s="9" t="n">
        <v>267791.38</v>
      </c>
      <c r="G1147" s="9" t="n">
        <v>0</v>
      </c>
      <c r="H1147" s="9">
        <f>IF(D1147="USD",E1147*$L$1,E1147)</f>
        <v/>
      </c>
      <c r="I1147" s="9">
        <f>IF(D1147="USD",F1147*$L$1,F1147)</f>
        <v/>
      </c>
      <c r="J1147" s="9">
        <f>IF(D1147="USD",G1147*$L$1,G1147)</f>
        <v/>
      </c>
    </row>
    <row r="1148">
      <c r="A1148" s="8" t="n">
        <v>46213</v>
      </c>
      <c r="B1148" t="inlineStr">
        <is>
          <t>2026-W28</t>
        </is>
      </c>
      <c r="C1148" t="inlineStr">
        <is>
          <t>Nuvei</t>
        </is>
      </c>
      <c r="D1148" t="inlineStr">
        <is>
          <t>EUR</t>
        </is>
      </c>
      <c r="E1148" s="9" t="n">
        <v>260583.54</v>
      </c>
      <c r="F1148" s="9" t="n">
        <v>253198.21</v>
      </c>
      <c r="G1148" s="9" t="n">
        <v>0</v>
      </c>
      <c r="H1148" s="9">
        <f>IF(D1148="USD",E1148*$L$1,E1148)</f>
        <v/>
      </c>
      <c r="I1148" s="9">
        <f>IF(D1148="USD",F1148*$L$1,F1148)</f>
        <v/>
      </c>
      <c r="J1148" s="9">
        <f>IF(D1148="USD",G1148*$L$1,G1148)</f>
        <v/>
      </c>
    </row>
    <row r="1149">
      <c r="A1149" s="8" t="n">
        <v>46213</v>
      </c>
      <c r="B1149" t="inlineStr">
        <is>
          <t>2026-W28</t>
        </is>
      </c>
      <c r="C1149" t="inlineStr">
        <is>
          <t>Nuvei</t>
        </is>
      </c>
      <c r="D1149" t="inlineStr">
        <is>
          <t>USD</t>
        </is>
      </c>
      <c r="E1149" s="9" t="n">
        <v>19737.1</v>
      </c>
      <c r="F1149" s="9" t="n">
        <v>19191.35</v>
      </c>
      <c r="G1149" s="9" t="n">
        <v>0</v>
      </c>
      <c r="H1149" s="9">
        <f>IF(D1149="USD",E1149*$L$1,E1149)</f>
        <v/>
      </c>
      <c r="I1149" s="9">
        <f>IF(D1149="USD",F1149*$L$1,F1149)</f>
        <v/>
      </c>
      <c r="J1149" s="9">
        <f>IF(D1149="USD",G1149*$L$1,G1149)</f>
        <v/>
      </c>
    </row>
    <row r="1150">
      <c r="A1150" s="8" t="n">
        <v>46213</v>
      </c>
      <c r="B1150" t="inlineStr">
        <is>
          <t>2026-W28</t>
        </is>
      </c>
      <c r="C1150" t="inlineStr">
        <is>
          <t>Paysafe</t>
        </is>
      </c>
      <c r="D1150" t="inlineStr">
        <is>
          <t>EUR</t>
        </is>
      </c>
      <c r="E1150" s="9" t="n">
        <v>162060.01</v>
      </c>
      <c r="F1150" s="9" t="n">
        <v>161728.17</v>
      </c>
      <c r="G1150" s="9" t="n">
        <v>0</v>
      </c>
      <c r="H1150" s="9">
        <f>IF(D1150="USD",E1150*$L$1,E1150)</f>
        <v/>
      </c>
      <c r="I1150" s="9">
        <f>IF(D1150="USD",F1150*$L$1,F1150)</f>
        <v/>
      </c>
      <c r="J1150" s="9">
        <f>IF(D1150="USD",G1150*$L$1,G1150)</f>
        <v/>
      </c>
    </row>
    <row r="1151">
      <c r="A1151" s="8" t="n">
        <v>46213</v>
      </c>
      <c r="B1151" t="inlineStr">
        <is>
          <t>2026-W28</t>
        </is>
      </c>
      <c r="C1151" t="inlineStr">
        <is>
          <t>Shift4</t>
        </is>
      </c>
      <c r="D1151" t="inlineStr">
        <is>
          <t>EUR</t>
        </is>
      </c>
      <c r="E1151" s="9" t="n">
        <v>363752.36</v>
      </c>
      <c r="F1151" s="9" t="n">
        <v>359117.74</v>
      </c>
      <c r="G1151" s="9" t="n">
        <v>0</v>
      </c>
      <c r="H1151" s="9">
        <f>IF(D1151="USD",E1151*$L$1,E1151)</f>
        <v/>
      </c>
      <c r="I1151" s="9">
        <f>IF(D1151="USD",F1151*$L$1,F1151)</f>
        <v/>
      </c>
      <c r="J1151" s="9">
        <f>IF(D1151="USD",G1151*$L$1,G1151)</f>
        <v/>
      </c>
    </row>
    <row r="1152">
      <c r="A1152" s="8" t="n">
        <v>46214</v>
      </c>
      <c r="B1152" t="inlineStr">
        <is>
          <t>2026-W28</t>
        </is>
      </c>
      <c r="C1152" t="inlineStr">
        <is>
          <t>Adyen</t>
        </is>
      </c>
      <c r="D1152" t="inlineStr">
        <is>
          <t>EUR</t>
        </is>
      </c>
      <c r="E1152" s="9" t="n">
        <v>653628.6899999999</v>
      </c>
      <c r="F1152" s="9" t="n">
        <v>0</v>
      </c>
      <c r="G1152" s="9" t="n">
        <v>0</v>
      </c>
      <c r="H1152" s="9">
        <f>IF(D1152="USD",E1152*$L$1,E1152)</f>
        <v/>
      </c>
      <c r="I1152" s="9">
        <f>IF(D1152="USD",F1152*$L$1,F1152)</f>
        <v/>
      </c>
      <c r="J1152" s="9">
        <f>IF(D1152="USD",G1152*$L$1,G1152)</f>
        <v/>
      </c>
    </row>
    <row r="1153">
      <c r="A1153" s="8" t="n">
        <v>46214</v>
      </c>
      <c r="B1153" t="inlineStr">
        <is>
          <t>2026-W28</t>
        </is>
      </c>
      <c r="C1153" t="inlineStr">
        <is>
          <t>Adyen</t>
        </is>
      </c>
      <c r="D1153" t="inlineStr">
        <is>
          <t>EUR</t>
        </is>
      </c>
      <c r="E1153" s="9" t="n">
        <v>135219.41</v>
      </c>
      <c r="F1153" s="9" t="n">
        <v>0</v>
      </c>
      <c r="G1153" s="9" t="n">
        <v>0</v>
      </c>
      <c r="H1153" s="9">
        <f>IF(D1153="USD",E1153*$L$1,E1153)</f>
        <v/>
      </c>
      <c r="I1153" s="9">
        <f>IF(D1153="USD",F1153*$L$1,F1153)</f>
        <v/>
      </c>
      <c r="J1153" s="9">
        <f>IF(D1153="USD",G1153*$L$1,G1153)</f>
        <v/>
      </c>
    </row>
    <row r="1154">
      <c r="A1154" s="8" t="n">
        <v>46214</v>
      </c>
      <c r="B1154" t="inlineStr">
        <is>
          <t>2026-W28</t>
        </is>
      </c>
      <c r="C1154" t="inlineStr">
        <is>
          <t>Nuvei</t>
        </is>
      </c>
      <c r="D1154" t="inlineStr">
        <is>
          <t>EUR</t>
        </is>
      </c>
      <c r="E1154" s="9" t="n">
        <v>189642.55</v>
      </c>
      <c r="F1154" s="9" t="n">
        <v>185957.72</v>
      </c>
      <c r="G1154" s="9" t="n">
        <v>0</v>
      </c>
      <c r="H1154" s="9">
        <f>IF(D1154="USD",E1154*$L$1,E1154)</f>
        <v/>
      </c>
      <c r="I1154" s="9">
        <f>IF(D1154="USD",F1154*$L$1,F1154)</f>
        <v/>
      </c>
      <c r="J1154" s="9">
        <f>IF(D1154="USD",G1154*$L$1,G1154)</f>
        <v/>
      </c>
    </row>
    <row r="1155">
      <c r="A1155" s="8" t="n">
        <v>46214</v>
      </c>
      <c r="B1155" t="inlineStr">
        <is>
          <t>2026-W28</t>
        </is>
      </c>
      <c r="C1155" t="inlineStr">
        <is>
          <t>Nuvei</t>
        </is>
      </c>
      <c r="D1155" t="inlineStr">
        <is>
          <t>EUR</t>
        </is>
      </c>
      <c r="E1155" s="9" t="n">
        <v>227988.78</v>
      </c>
      <c r="F1155" s="9" t="n">
        <v>221423.64</v>
      </c>
      <c r="G1155" s="9" t="n">
        <v>0</v>
      </c>
      <c r="H1155" s="9">
        <f>IF(D1155="USD",E1155*$L$1,E1155)</f>
        <v/>
      </c>
      <c r="I1155" s="9">
        <f>IF(D1155="USD",F1155*$L$1,F1155)</f>
        <v/>
      </c>
      <c r="J1155" s="9">
        <f>IF(D1155="USD",G1155*$L$1,G1155)</f>
        <v/>
      </c>
    </row>
    <row r="1156">
      <c r="A1156" s="8" t="n">
        <v>46214</v>
      </c>
      <c r="B1156" t="inlineStr">
        <is>
          <t>2026-W28</t>
        </is>
      </c>
      <c r="C1156" t="inlineStr">
        <is>
          <t>Nuvei</t>
        </is>
      </c>
      <c r="D1156" t="inlineStr">
        <is>
          <t>USD</t>
        </is>
      </c>
      <c r="E1156" s="9" t="n">
        <v>12525.4</v>
      </c>
      <c r="F1156" s="9" t="n">
        <v>12164.72</v>
      </c>
      <c r="G1156" s="9" t="n">
        <v>0</v>
      </c>
      <c r="H1156" s="9">
        <f>IF(D1156="USD",E1156*$L$1,E1156)</f>
        <v/>
      </c>
      <c r="I1156" s="9">
        <f>IF(D1156="USD",F1156*$L$1,F1156)</f>
        <v/>
      </c>
      <c r="J1156" s="9">
        <f>IF(D1156="USD",G1156*$L$1,G1156)</f>
        <v/>
      </c>
    </row>
    <row r="1157">
      <c r="A1157" s="8" t="n">
        <v>46214</v>
      </c>
      <c r="B1157" t="inlineStr">
        <is>
          <t>2026-W28</t>
        </is>
      </c>
      <c r="C1157" t="inlineStr">
        <is>
          <t>Paysafe</t>
        </is>
      </c>
      <c r="D1157" t="inlineStr">
        <is>
          <t>EUR</t>
        </is>
      </c>
      <c r="E1157" s="9" t="n">
        <v>121024.13</v>
      </c>
      <c r="F1157" s="9" t="n">
        <v>120930.15</v>
      </c>
      <c r="G1157" s="9" t="n">
        <v>0</v>
      </c>
      <c r="H1157" s="9">
        <f>IF(D1157="USD",E1157*$L$1,E1157)</f>
        <v/>
      </c>
      <c r="I1157" s="9">
        <f>IF(D1157="USD",F1157*$L$1,F1157)</f>
        <v/>
      </c>
      <c r="J1157" s="9">
        <f>IF(D1157="USD",G1157*$L$1,G1157)</f>
        <v/>
      </c>
    </row>
    <row r="1158">
      <c r="A1158" s="8" t="n">
        <v>46214</v>
      </c>
      <c r="B1158" t="inlineStr">
        <is>
          <t>2026-W28</t>
        </is>
      </c>
      <c r="C1158" t="inlineStr">
        <is>
          <t>Shift4</t>
        </is>
      </c>
      <c r="D1158" t="inlineStr">
        <is>
          <t>EUR</t>
        </is>
      </c>
      <c r="E1158" s="9" t="n">
        <v>278432.78</v>
      </c>
      <c r="F1158" s="9" t="n">
        <v>275263.09</v>
      </c>
      <c r="G1158" s="9" t="n">
        <v>0</v>
      </c>
      <c r="H1158" s="9">
        <f>IF(D1158="USD",E1158*$L$1,E1158)</f>
        <v/>
      </c>
      <c r="I1158" s="9">
        <f>IF(D1158="USD",F1158*$L$1,F1158)</f>
        <v/>
      </c>
      <c r="J1158" s="9">
        <f>IF(D1158="USD",G1158*$L$1,G1158)</f>
        <v/>
      </c>
    </row>
    <row r="1159">
      <c r="A1159" s="8" t="n">
        <v>46215</v>
      </c>
      <c r="B1159" t="inlineStr">
        <is>
          <t>2026-W28</t>
        </is>
      </c>
      <c r="C1159" t="inlineStr">
        <is>
          <t>Adyen</t>
        </is>
      </c>
      <c r="D1159" t="inlineStr">
        <is>
          <t>EUR</t>
        </is>
      </c>
      <c r="E1159" s="9" t="n">
        <v>648737.53</v>
      </c>
      <c r="F1159" s="9" t="n">
        <v>0</v>
      </c>
      <c r="G1159" s="9" t="n">
        <v>0</v>
      </c>
      <c r="H1159" s="9">
        <f>IF(D1159="USD",E1159*$L$1,E1159)</f>
        <v/>
      </c>
      <c r="I1159" s="9">
        <f>IF(D1159="USD",F1159*$L$1,F1159)</f>
        <v/>
      </c>
      <c r="J1159" s="9">
        <f>IF(D1159="USD",G1159*$L$1,G1159)</f>
        <v/>
      </c>
    </row>
    <row r="1160">
      <c r="A1160" s="8" t="n">
        <v>46215</v>
      </c>
      <c r="B1160" t="inlineStr">
        <is>
          <t>2026-W28</t>
        </is>
      </c>
      <c r="C1160" t="inlineStr">
        <is>
          <t>Adyen</t>
        </is>
      </c>
      <c r="D1160" t="inlineStr">
        <is>
          <t>EUR</t>
        </is>
      </c>
      <c r="E1160" s="9" t="n">
        <v>136328.34</v>
      </c>
      <c r="F1160" s="9" t="n">
        <v>0</v>
      </c>
      <c r="G1160" s="9" t="n">
        <v>0</v>
      </c>
      <c r="H1160" s="9">
        <f>IF(D1160="USD",E1160*$L$1,E1160)</f>
        <v/>
      </c>
      <c r="I1160" s="9">
        <f>IF(D1160="USD",F1160*$L$1,F1160)</f>
        <v/>
      </c>
      <c r="J1160" s="9">
        <f>IF(D1160="USD",G1160*$L$1,G1160)</f>
        <v/>
      </c>
    </row>
    <row r="1161">
      <c r="A1161" s="8" t="n">
        <v>46215</v>
      </c>
      <c r="B1161" t="inlineStr">
        <is>
          <t>2026-W28</t>
        </is>
      </c>
      <c r="C1161" t="inlineStr">
        <is>
          <t>Nuvei</t>
        </is>
      </c>
      <c r="D1161" t="inlineStr">
        <is>
          <t>EUR</t>
        </is>
      </c>
      <c r="E1161" s="9" t="n">
        <v>160378.14</v>
      </c>
      <c r="F1161" s="9" t="n">
        <v>157477.14</v>
      </c>
      <c r="G1161" s="9" t="n">
        <v>0</v>
      </c>
      <c r="H1161" s="9">
        <f>IF(D1161="USD",E1161*$L$1,E1161)</f>
        <v/>
      </c>
      <c r="I1161" s="9">
        <f>IF(D1161="USD",F1161*$L$1,F1161)</f>
        <v/>
      </c>
      <c r="J1161" s="9">
        <f>IF(D1161="USD",G1161*$L$1,G1161)</f>
        <v/>
      </c>
    </row>
    <row r="1162">
      <c r="A1162" s="8" t="n">
        <v>46215</v>
      </c>
      <c r="B1162" t="inlineStr">
        <is>
          <t>2026-W28</t>
        </is>
      </c>
      <c r="C1162" t="inlineStr">
        <is>
          <t>Nuvei</t>
        </is>
      </c>
      <c r="D1162" t="inlineStr">
        <is>
          <t>EUR</t>
        </is>
      </c>
      <c r="E1162" s="9" t="n">
        <v>187864.65</v>
      </c>
      <c r="F1162" s="9" t="n">
        <v>182462.52</v>
      </c>
      <c r="G1162" s="9" t="n">
        <v>0</v>
      </c>
      <c r="H1162" s="9">
        <f>IF(D1162="USD",E1162*$L$1,E1162)</f>
        <v/>
      </c>
      <c r="I1162" s="9">
        <f>IF(D1162="USD",F1162*$L$1,F1162)</f>
        <v/>
      </c>
      <c r="J1162" s="9">
        <f>IF(D1162="USD",G1162*$L$1,G1162)</f>
        <v/>
      </c>
    </row>
    <row r="1163">
      <c r="A1163" s="8" t="n">
        <v>46215</v>
      </c>
      <c r="B1163" t="inlineStr">
        <is>
          <t>2026-W28</t>
        </is>
      </c>
      <c r="C1163" t="inlineStr">
        <is>
          <t>Nuvei</t>
        </is>
      </c>
      <c r="D1163" t="inlineStr">
        <is>
          <t>USD</t>
        </is>
      </c>
      <c r="E1163" s="9" t="n">
        <v>7458.6</v>
      </c>
      <c r="F1163" s="9" t="n">
        <v>7250</v>
      </c>
      <c r="G1163" s="9" t="n">
        <v>0</v>
      </c>
      <c r="H1163" s="9">
        <f>IF(D1163="USD",E1163*$L$1,E1163)</f>
        <v/>
      </c>
      <c r="I1163" s="9">
        <f>IF(D1163="USD",F1163*$L$1,F1163)</f>
        <v/>
      </c>
      <c r="J1163" s="9">
        <f>IF(D1163="USD",G1163*$L$1,G1163)</f>
        <v/>
      </c>
    </row>
    <row r="1164">
      <c r="A1164" s="8" t="n">
        <v>46215</v>
      </c>
      <c r="B1164" t="inlineStr">
        <is>
          <t>2026-W28</t>
        </is>
      </c>
      <c r="C1164" t="inlineStr">
        <is>
          <t>Paysafe</t>
        </is>
      </c>
      <c r="D1164" t="inlineStr">
        <is>
          <t>EUR</t>
        </is>
      </c>
      <c r="E1164" s="9" t="n">
        <v>137082.53</v>
      </c>
      <c r="F1164" s="9" t="n">
        <v>137082.53</v>
      </c>
      <c r="G1164" s="9" t="n">
        <v>0</v>
      </c>
      <c r="H1164" s="9">
        <f>IF(D1164="USD",E1164*$L$1,E1164)</f>
        <v/>
      </c>
      <c r="I1164" s="9">
        <f>IF(D1164="USD",F1164*$L$1,F1164)</f>
        <v/>
      </c>
      <c r="J1164" s="9">
        <f>IF(D1164="USD",G1164*$L$1,G1164)</f>
        <v/>
      </c>
    </row>
    <row r="1165">
      <c r="A1165" s="8" t="n">
        <v>46215</v>
      </c>
      <c r="B1165" t="inlineStr">
        <is>
          <t>2026-W28</t>
        </is>
      </c>
      <c r="C1165" t="inlineStr">
        <is>
          <t>Shift4</t>
        </is>
      </c>
      <c r="D1165" t="inlineStr">
        <is>
          <t>EUR</t>
        </is>
      </c>
      <c r="E1165" s="9" t="n">
        <v>237381.66</v>
      </c>
      <c r="F1165" s="9" t="n">
        <v>234915.96</v>
      </c>
      <c r="G1165" s="9" t="n">
        <v>0</v>
      </c>
      <c r="H1165" s="9">
        <f>IF(D1165="USD",E1165*$L$1,E1165)</f>
        <v/>
      </c>
      <c r="I1165" s="9">
        <f>IF(D1165="USD",F1165*$L$1,F1165)</f>
        <v/>
      </c>
      <c r="J1165" s="9">
        <f>IF(D1165="USD",G1165*$L$1,G1165)</f>
        <v/>
      </c>
    </row>
    <row r="1166">
      <c r="A1166" s="8" t="n">
        <v>46216</v>
      </c>
      <c r="B1166" t="inlineStr">
        <is>
          <t>2026-W29</t>
        </is>
      </c>
      <c r="C1166" t="inlineStr">
        <is>
          <t>Adyen</t>
        </is>
      </c>
      <c r="D1166" t="inlineStr">
        <is>
          <t>EUR</t>
        </is>
      </c>
      <c r="E1166" s="9" t="n">
        <v>893974.77</v>
      </c>
      <c r="F1166" s="9" t="n">
        <v>0</v>
      </c>
      <c r="G1166" s="9" t="n">
        <v>0</v>
      </c>
      <c r="H1166" s="9">
        <f>IF(D1166="USD",E1166*$L$1,E1166)</f>
        <v/>
      </c>
      <c r="I1166" s="9">
        <f>IF(D1166="USD",F1166*$L$1,F1166)</f>
        <v/>
      </c>
      <c r="J1166" s="9">
        <f>IF(D1166="USD",G1166*$L$1,G1166)</f>
        <v/>
      </c>
    </row>
    <row r="1167">
      <c r="A1167" s="8" t="n">
        <v>46216</v>
      </c>
      <c r="B1167" t="inlineStr">
        <is>
          <t>2026-W29</t>
        </is>
      </c>
      <c r="C1167" t="inlineStr">
        <is>
          <t>Adyen</t>
        </is>
      </c>
      <c r="D1167" t="inlineStr">
        <is>
          <t>EUR</t>
        </is>
      </c>
      <c r="E1167" s="9" t="n">
        <v>170931.18</v>
      </c>
      <c r="F1167" s="9" t="n">
        <v>0</v>
      </c>
      <c r="G1167" s="9" t="n">
        <v>0</v>
      </c>
      <c r="H1167" s="9">
        <f>IF(D1167="USD",E1167*$L$1,E1167)</f>
        <v/>
      </c>
      <c r="I1167" s="9">
        <f>IF(D1167="USD",F1167*$L$1,F1167)</f>
        <v/>
      </c>
      <c r="J1167" s="9">
        <f>IF(D1167="USD",G1167*$L$1,G1167)</f>
        <v/>
      </c>
    </row>
    <row r="1168">
      <c r="A1168" s="8" t="n">
        <v>46216</v>
      </c>
      <c r="B1168" t="inlineStr">
        <is>
          <t>2026-W29</t>
        </is>
      </c>
      <c r="C1168" t="inlineStr">
        <is>
          <t>Paysafe</t>
        </is>
      </c>
      <c r="D1168" t="inlineStr">
        <is>
          <t>EUR</t>
        </is>
      </c>
      <c r="E1168" s="9" t="n">
        <v>176199.19</v>
      </c>
      <c r="F1168" s="9" t="n">
        <v>175230.91</v>
      </c>
      <c r="G1168" s="9" t="n">
        <v>0</v>
      </c>
      <c r="H1168" s="9">
        <f>IF(D1168="USD",E1168*$L$1,E1168)</f>
        <v/>
      </c>
      <c r="I1168" s="9">
        <f>IF(D1168="USD",F1168*$L$1,F1168)</f>
        <v/>
      </c>
      <c r="J1168" s="9">
        <f>IF(D1168="USD",G1168*$L$1,G1168)</f>
        <v/>
      </c>
    </row>
    <row r="1169">
      <c r="A1169" s="8" t="n">
        <v>46216</v>
      </c>
      <c r="B1169" t="inlineStr">
        <is>
          <t>2026-W29</t>
        </is>
      </c>
      <c r="C1169" t="inlineStr">
        <is>
          <t>Shift4</t>
        </is>
      </c>
      <c r="D1169" t="inlineStr">
        <is>
          <t>EUR</t>
        </is>
      </c>
      <c r="E1169" s="9" t="n">
        <v>314504.37</v>
      </c>
      <c r="F1169" s="9" t="n">
        <v>310714.69</v>
      </c>
      <c r="G1169" s="9" t="n">
        <v>0</v>
      </c>
      <c r="H1169" s="9">
        <f>IF(D1169="USD",E1169*$L$1,E1169)</f>
        <v/>
      </c>
      <c r="I1169" s="9">
        <f>IF(D1169="USD",F1169*$L$1,F1169)</f>
        <v/>
      </c>
      <c r="J1169" s="9">
        <f>IF(D1169="USD",G1169*$L$1,G1169)</f>
        <v/>
      </c>
    </row>
    <row r="1170">
      <c r="A1170" s="8" t="n">
        <v>46217</v>
      </c>
      <c r="B1170" t="inlineStr">
        <is>
          <t>2026-W29</t>
        </is>
      </c>
      <c r="C1170" t="inlineStr">
        <is>
          <t>Paysafe</t>
        </is>
      </c>
      <c r="D1170" t="inlineStr">
        <is>
          <t>EUR</t>
        </is>
      </c>
      <c r="E1170" s="9" t="n">
        <v>0</v>
      </c>
      <c r="F1170" s="9" t="n">
        <v>0</v>
      </c>
      <c r="G1170" s="9" t="n">
        <v>0</v>
      </c>
      <c r="H1170" s="9">
        <f>IF(D1170="USD",E1170*$L$1,E1170)</f>
        <v/>
      </c>
      <c r="I1170" s="9">
        <f>IF(D1170="USD",F1170*$L$1,F1170)</f>
        <v/>
      </c>
      <c r="J1170" s="9">
        <f>IF(D1170="USD",G1170*$L$1,G1170)</f>
        <v/>
      </c>
    </row>
    <row r="1171">
      <c r="A1171" s="8" t="n">
        <v>46218</v>
      </c>
      <c r="B1171" t="inlineStr">
        <is>
          <t>2026-W29</t>
        </is>
      </c>
      <c r="C1171" t="inlineStr">
        <is>
          <t>Paysafe</t>
        </is>
      </c>
      <c r="D1171" t="inlineStr">
        <is>
          <t>EUR</t>
        </is>
      </c>
      <c r="E1171" s="9" t="n">
        <v>0</v>
      </c>
      <c r="F1171" s="9" t="n">
        <v>0</v>
      </c>
      <c r="G1171" s="9" t="n">
        <v>0</v>
      </c>
      <c r="H1171" s="9">
        <f>IF(D1171="USD",E1171*$L$1,E1171)</f>
        <v/>
      </c>
      <c r="I1171" s="9">
        <f>IF(D1171="USD",F1171*$L$1,F1171)</f>
        <v/>
      </c>
      <c r="J1171" s="9">
        <f>IF(D1171="USD",G1171*$L$1,G1171)</f>
        <v/>
      </c>
    </row>
    <row r="1172">
      <c r="A1172" s="8" t="n">
        <v>46219</v>
      </c>
      <c r="B1172" t="inlineStr">
        <is>
          <t>2026-W29</t>
        </is>
      </c>
      <c r="C1172" t="inlineStr">
        <is>
          <t>Paysafe</t>
        </is>
      </c>
      <c r="D1172" t="inlineStr">
        <is>
          <t>EUR</t>
        </is>
      </c>
      <c r="E1172" s="9" t="n">
        <v>0</v>
      </c>
      <c r="F1172" s="9" t="n">
        <v>0</v>
      </c>
      <c r="G1172" s="9" t="n">
        <v>0</v>
      </c>
      <c r="H1172" s="9">
        <f>IF(D1172="USD",E1172*$L$1,E1172)</f>
        <v/>
      </c>
      <c r="I1172" s="9">
        <f>IF(D1172="USD",F1172*$L$1,F1172)</f>
        <v/>
      </c>
      <c r="J1172" s="9">
        <f>IF(D1172="USD",G1172*$L$1,G1172)</f>
        <v/>
      </c>
    </row>
    <row r="1173">
      <c r="A1173" s="8" t="n">
        <v>46220</v>
      </c>
      <c r="B1173" t="inlineStr">
        <is>
          <t>2026-W29</t>
        </is>
      </c>
      <c r="C1173" t="inlineStr">
        <is>
          <t>Paysafe</t>
        </is>
      </c>
      <c r="D1173" t="inlineStr">
        <is>
          <t>EUR</t>
        </is>
      </c>
      <c r="E1173" s="9" t="n">
        <v>0</v>
      </c>
      <c r="F1173" s="9" t="n">
        <v>0</v>
      </c>
      <c r="G1173" s="9" t="n">
        <v>0</v>
      </c>
      <c r="H1173" s="9">
        <f>IF(D1173="USD",E1173*$L$1,E1173)</f>
        <v/>
      </c>
      <c r="I1173" s="9">
        <f>IF(D1173="USD",F1173*$L$1,F1173)</f>
        <v/>
      </c>
      <c r="J1173" s="9">
        <f>IF(D1173="USD",G1173*$L$1,G1173)</f>
        <v/>
      </c>
    </row>
    <row r="1174">
      <c r="A1174" s="8" t="n">
        <v>46221</v>
      </c>
      <c r="B1174" t="inlineStr">
        <is>
          <t>2026-W29</t>
        </is>
      </c>
      <c r="C1174" t="inlineStr">
        <is>
          <t>Paysafe</t>
        </is>
      </c>
      <c r="D1174" t="inlineStr">
        <is>
          <t>EUR</t>
        </is>
      </c>
      <c r="E1174" s="9" t="n">
        <v>0</v>
      </c>
      <c r="F1174" s="9" t="n">
        <v>0</v>
      </c>
      <c r="G1174" s="9" t="n">
        <v>0</v>
      </c>
      <c r="H1174" s="9">
        <f>IF(D1174="USD",E1174*$L$1,E1174)</f>
        <v/>
      </c>
      <c r="I1174" s="9">
        <f>IF(D1174="USD",F1174*$L$1,F1174)</f>
        <v/>
      </c>
      <c r="J1174" s="9">
        <f>IF(D1174="USD",G1174*$L$1,G1174)</f>
        <v/>
      </c>
    </row>
    <row r="1175">
      <c r="A1175" s="8" t="n">
        <v>46222</v>
      </c>
      <c r="B1175" t="inlineStr">
        <is>
          <t>2026-W29</t>
        </is>
      </c>
      <c r="C1175" t="inlineStr">
        <is>
          <t>Paysafe</t>
        </is>
      </c>
      <c r="D1175" t="inlineStr">
        <is>
          <t>EUR</t>
        </is>
      </c>
      <c r="E1175" s="9" t="n">
        <v>0</v>
      </c>
      <c r="F1175" s="9" t="n">
        <v>0</v>
      </c>
      <c r="G1175" s="9" t="n">
        <v>0</v>
      </c>
      <c r="H1175" s="9">
        <f>IF(D1175="USD",E1175*$L$1,E1175)</f>
        <v/>
      </c>
      <c r="I1175" s="9">
        <f>IF(D1175="USD",F1175*$L$1,F1175)</f>
        <v/>
      </c>
      <c r="J1175" s="9">
        <f>IF(D1175="USD",G1175*$L$1,G1175)</f>
        <v/>
      </c>
    </row>
    <row r="1176">
      <c r="A1176" s="8" t="n">
        <v>46223</v>
      </c>
      <c r="B1176" t="inlineStr">
        <is>
          <t>2026-W30</t>
        </is>
      </c>
      <c r="C1176" t="inlineStr">
        <is>
          <t>Paysafe</t>
        </is>
      </c>
      <c r="D1176" t="inlineStr">
        <is>
          <t>EUR</t>
        </is>
      </c>
      <c r="E1176" s="9" t="n">
        <v>0</v>
      </c>
      <c r="F1176" s="9" t="n">
        <v>0</v>
      </c>
      <c r="G1176" s="9" t="n">
        <v>0</v>
      </c>
      <c r="H1176" s="9">
        <f>IF(D1176="USD",E1176*$L$1,E1176)</f>
        <v/>
      </c>
      <c r="I1176" s="9">
        <f>IF(D1176="USD",F1176*$L$1,F1176)</f>
        <v/>
      </c>
      <c r="J1176" s="9">
        <f>IF(D1176="USD",G1176*$L$1,G1176)</f>
        <v/>
      </c>
    </row>
    <row r="1177">
      <c r="A1177" s="8" t="n">
        <v>46224</v>
      </c>
      <c r="B1177" t="inlineStr">
        <is>
          <t>2026-W30</t>
        </is>
      </c>
      <c r="C1177" t="inlineStr">
        <is>
          <t>Paysafe</t>
        </is>
      </c>
      <c r="D1177" t="inlineStr">
        <is>
          <t>EUR</t>
        </is>
      </c>
      <c r="E1177" s="9" t="n">
        <v>0</v>
      </c>
      <c r="F1177" s="9" t="n">
        <v>0</v>
      </c>
      <c r="G1177" s="9" t="n">
        <v>0</v>
      </c>
      <c r="H1177" s="9">
        <f>IF(D1177="USD",E1177*$L$1,E1177)</f>
        <v/>
      </c>
      <c r="I1177" s="9">
        <f>IF(D1177="USD",F1177*$L$1,F1177)</f>
        <v/>
      </c>
      <c r="J1177" s="9">
        <f>IF(D1177="USD",G1177*$L$1,G1177)</f>
        <v/>
      </c>
    </row>
    <row r="1178">
      <c r="A1178" s="8" t="n">
        <v>46225</v>
      </c>
      <c r="B1178" t="inlineStr">
        <is>
          <t>2026-W30</t>
        </is>
      </c>
      <c r="C1178" t="inlineStr">
        <is>
          <t>Paysafe</t>
        </is>
      </c>
      <c r="D1178" t="inlineStr">
        <is>
          <t>EUR</t>
        </is>
      </c>
      <c r="E1178" s="9" t="n">
        <v>0</v>
      </c>
      <c r="F1178" s="9" t="n">
        <v>0</v>
      </c>
      <c r="G1178" s="9" t="n">
        <v>0</v>
      </c>
      <c r="H1178" s="9">
        <f>IF(D1178="USD",E1178*$L$1,E1178)</f>
        <v/>
      </c>
      <c r="I1178" s="9">
        <f>IF(D1178="USD",F1178*$L$1,F1178)</f>
        <v/>
      </c>
      <c r="J1178" s="9">
        <f>IF(D1178="USD",G1178*$L$1,G1178)</f>
        <v/>
      </c>
    </row>
    <row r="1179">
      <c r="A1179" s="8" t="n">
        <v>46226</v>
      </c>
      <c r="B1179" t="inlineStr">
        <is>
          <t>2026-W30</t>
        </is>
      </c>
      <c r="C1179" t="inlineStr">
        <is>
          <t>Paysafe</t>
        </is>
      </c>
      <c r="D1179" t="inlineStr">
        <is>
          <t>EUR</t>
        </is>
      </c>
      <c r="E1179" s="9" t="n">
        <v>0</v>
      </c>
      <c r="F1179" s="9" t="n">
        <v>0</v>
      </c>
      <c r="G1179" s="9" t="n">
        <v>0</v>
      </c>
      <c r="H1179" s="9">
        <f>IF(D1179="USD",E1179*$L$1,E1179)</f>
        <v/>
      </c>
      <c r="I1179" s="9">
        <f>IF(D1179="USD",F1179*$L$1,F1179)</f>
        <v/>
      </c>
      <c r="J1179" s="9">
        <f>IF(D1179="USD",G1179*$L$1,G1179)</f>
        <v/>
      </c>
    </row>
    <row r="1180">
      <c r="A1180" s="8" t="n">
        <v>46227</v>
      </c>
      <c r="B1180" t="inlineStr">
        <is>
          <t>2026-W30</t>
        </is>
      </c>
      <c r="C1180" t="inlineStr">
        <is>
          <t>Paysafe</t>
        </is>
      </c>
      <c r="D1180" t="inlineStr">
        <is>
          <t>EUR</t>
        </is>
      </c>
      <c r="E1180" s="9" t="n">
        <v>0</v>
      </c>
      <c r="F1180" s="9" t="n">
        <v>0</v>
      </c>
      <c r="G1180" s="9" t="n">
        <v>0</v>
      </c>
      <c r="H1180" s="9">
        <f>IF(D1180="USD",E1180*$L$1,E1180)</f>
        <v/>
      </c>
      <c r="I1180" s="9">
        <f>IF(D1180="USD",F1180*$L$1,F1180)</f>
        <v/>
      </c>
      <c r="J1180" s="9">
        <f>IF(D1180="USD",G1180*$L$1,G1180)</f>
        <v/>
      </c>
    </row>
    <row r="1181">
      <c r="A1181" s="8" t="n">
        <v>46228</v>
      </c>
      <c r="B1181" t="inlineStr">
        <is>
          <t>2026-W30</t>
        </is>
      </c>
      <c r="C1181" t="inlineStr">
        <is>
          <t>Paysafe</t>
        </is>
      </c>
      <c r="D1181" t="inlineStr">
        <is>
          <t>EUR</t>
        </is>
      </c>
      <c r="E1181" s="9" t="n">
        <v>0</v>
      </c>
      <c r="F1181" s="9" t="n">
        <v>0</v>
      </c>
      <c r="G1181" s="9" t="n">
        <v>0</v>
      </c>
      <c r="H1181" s="9">
        <f>IF(D1181="USD",E1181*$L$1,E1181)</f>
        <v/>
      </c>
      <c r="I1181" s="9">
        <f>IF(D1181="USD",F1181*$L$1,F1181)</f>
        <v/>
      </c>
      <c r="J1181" s="9">
        <f>IF(D1181="USD",G1181*$L$1,G1181)</f>
        <v/>
      </c>
    </row>
    <row r="1182">
      <c r="A1182" s="8" t="n">
        <v>46229</v>
      </c>
      <c r="B1182" t="inlineStr">
        <is>
          <t>2026-W30</t>
        </is>
      </c>
      <c r="C1182" t="inlineStr">
        <is>
          <t>Paysafe</t>
        </is>
      </c>
      <c r="D1182" t="inlineStr">
        <is>
          <t>EUR</t>
        </is>
      </c>
      <c r="E1182" s="9" t="n">
        <v>0</v>
      </c>
      <c r="F1182" s="9" t="n">
        <v>0</v>
      </c>
      <c r="G1182" s="9" t="n">
        <v>0</v>
      </c>
      <c r="H1182" s="9">
        <f>IF(D1182="USD",E1182*$L$1,E1182)</f>
        <v/>
      </c>
      <c r="I1182" s="9">
        <f>IF(D1182="USD",F1182*$L$1,F1182)</f>
        <v/>
      </c>
      <c r="J1182" s="9">
        <f>IF(D1182="USD",G1182*$L$1,G1182)</f>
        <v/>
      </c>
    </row>
    <row r="1183">
      <c r="A1183" s="8" t="n">
        <v>46230</v>
      </c>
      <c r="B1183" t="inlineStr">
        <is>
          <t>2026-W31</t>
        </is>
      </c>
      <c r="C1183" t="inlineStr">
        <is>
          <t>Paysafe</t>
        </is>
      </c>
      <c r="D1183" t="inlineStr">
        <is>
          <t>EUR</t>
        </is>
      </c>
      <c r="E1183" s="9" t="n">
        <v>0</v>
      </c>
      <c r="F1183" s="9" t="n">
        <v>0</v>
      </c>
      <c r="G1183" s="9" t="n">
        <v>0</v>
      </c>
      <c r="H1183" s="9">
        <f>IF(D1183="USD",E1183*$L$1,E1183)</f>
        <v/>
      </c>
      <c r="I1183" s="9">
        <f>IF(D1183="USD",F1183*$L$1,F1183)</f>
        <v/>
      </c>
      <c r="J1183" s="9">
        <f>IF(D1183="USD",G1183*$L$1,G1183)</f>
        <v/>
      </c>
    </row>
    <row r="1184">
      <c r="A1184" s="8" t="n">
        <v>46231</v>
      </c>
      <c r="B1184" t="inlineStr">
        <is>
          <t>2026-W31</t>
        </is>
      </c>
      <c r="C1184" t="inlineStr">
        <is>
          <t>Paysafe</t>
        </is>
      </c>
      <c r="D1184" t="inlineStr">
        <is>
          <t>EUR</t>
        </is>
      </c>
      <c r="E1184" s="9" t="n">
        <v>0</v>
      </c>
      <c r="F1184" s="9" t="n">
        <v>0</v>
      </c>
      <c r="G1184" s="9" t="n">
        <v>0</v>
      </c>
      <c r="H1184" s="9">
        <f>IF(D1184="USD",E1184*$L$1,E1184)</f>
        <v/>
      </c>
      <c r="I1184" s="9">
        <f>IF(D1184="USD",F1184*$L$1,F1184)</f>
        <v/>
      </c>
      <c r="J1184" s="9">
        <f>IF(D1184="USD",G1184*$L$1,G1184)</f>
        <v/>
      </c>
    </row>
    <row r="1185">
      <c r="A1185" s="8" t="n">
        <v>46232</v>
      </c>
      <c r="B1185" t="inlineStr">
        <is>
          <t>2026-W31</t>
        </is>
      </c>
      <c r="C1185" t="inlineStr">
        <is>
          <t>Paysafe</t>
        </is>
      </c>
      <c r="D1185" t="inlineStr">
        <is>
          <t>EUR</t>
        </is>
      </c>
      <c r="E1185" s="9" t="n">
        <v>0</v>
      </c>
      <c r="F1185" s="9" t="n">
        <v>0</v>
      </c>
      <c r="G1185" s="9" t="n">
        <v>0</v>
      </c>
      <c r="H1185" s="9">
        <f>IF(D1185="USD",E1185*$L$1,E1185)</f>
        <v/>
      </c>
      <c r="I1185" s="9">
        <f>IF(D1185="USD",F1185*$L$1,F1185)</f>
        <v/>
      </c>
      <c r="J1185" s="9">
        <f>IF(D1185="USD",G1185*$L$1,G1185)</f>
        <v/>
      </c>
    </row>
    <row r="1186">
      <c r="A1186" s="8" t="n">
        <v>46233</v>
      </c>
      <c r="B1186" t="inlineStr">
        <is>
          <t>2026-W31</t>
        </is>
      </c>
      <c r="C1186" t="inlineStr">
        <is>
          <t>Paysafe</t>
        </is>
      </c>
      <c r="D1186" t="inlineStr">
        <is>
          <t>EUR</t>
        </is>
      </c>
      <c r="E1186" s="9" t="n">
        <v>0</v>
      </c>
      <c r="F1186" s="9" t="n">
        <v>0</v>
      </c>
      <c r="G1186" s="9" t="n">
        <v>0</v>
      </c>
      <c r="H1186" s="9">
        <f>IF(D1186="USD",E1186*$L$1,E1186)</f>
        <v/>
      </c>
      <c r="I1186" s="9">
        <f>IF(D1186="USD",F1186*$L$1,F1186)</f>
        <v/>
      </c>
      <c r="J1186" s="9">
        <f>IF(D1186="USD",G1186*$L$1,G1186)</f>
        <v/>
      </c>
    </row>
    <row r="1187">
      <c r="A1187" s="8" t="n">
        <v>46234</v>
      </c>
      <c r="B1187" t="inlineStr">
        <is>
          <t>2026-W31</t>
        </is>
      </c>
      <c r="C1187" t="inlineStr">
        <is>
          <t>Paysafe</t>
        </is>
      </c>
      <c r="D1187" t="inlineStr">
        <is>
          <t>EUR</t>
        </is>
      </c>
      <c r="E1187" s="9" t="n">
        <v>0</v>
      </c>
      <c r="F1187" s="9" t="n">
        <v>0</v>
      </c>
      <c r="G1187" s="9" t="n">
        <v>0</v>
      </c>
      <c r="H1187" s="9">
        <f>IF(D1187="USD",E1187*$L$1,E1187)</f>
        <v/>
      </c>
      <c r="I1187" s="9">
        <f>IF(D1187="USD",F1187*$L$1,F1187)</f>
        <v/>
      </c>
      <c r="J1187" s="9">
        <f>IF(D1187="USD",G1187*$L$1,G1187)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0" t="inlineStr">
        <is>
          <t>VENTAS DIARIAS POR PASARELA (€)</t>
        </is>
      </c>
      <c r="B1" s="11" t="n"/>
      <c r="C1" s="11" t="n"/>
      <c r="D1" s="11" t="n"/>
      <c r="E1" s="11" t="n"/>
      <c r="F1" s="11" t="n"/>
    </row>
    <row r="3">
      <c r="A3" s="12" t="inlineStr">
        <is>
          <t>Fecha</t>
        </is>
      </c>
      <c r="B3" s="12" t="inlineStr">
        <is>
          <t>Shift4</t>
        </is>
      </c>
      <c r="C3" s="12" t="inlineStr">
        <is>
          <t>Nuvei</t>
        </is>
      </c>
      <c r="D3" s="12" t="inlineStr">
        <is>
          <t>Adyen</t>
        </is>
      </c>
      <c r="E3" s="12" t="inlineStr">
        <is>
          <t>Paysafe</t>
        </is>
      </c>
      <c r="F3" s="12" t="inlineStr">
        <is>
          <t>TOTAL</t>
        </is>
      </c>
    </row>
    <row r="4">
      <c r="A4" s="13" t="n">
        <v>45922</v>
      </c>
      <c r="B4" s="14">
        <f>SUMIFS(Datos!$H$4:$H$1187,Datos!$A$4:$A$1187,A4,Datos!$C$4:$C$1187,"Shift4")</f>
        <v/>
      </c>
      <c r="C4" s="14">
        <f>SUMIFS(Datos!$H$4:$H$1187,Datos!$A$4:$A$1187,A4,Datos!$C$4:$C$1187,"Nuvei")</f>
        <v/>
      </c>
      <c r="D4" s="14">
        <f>SUMIFS(Datos!$H$4:$H$1187,Datos!$A$4:$A$1187,A4,Datos!$C$4:$C$1187,"Adyen")</f>
        <v/>
      </c>
      <c r="E4" s="14">
        <f>SUMIFS(Datos!$H$4:$H$1187,Datos!$A$4:$A$1187,A4,Datos!$C$4:$C$1187,"Paysafe")</f>
        <v/>
      </c>
      <c r="F4" s="15">
        <f>SUM(B4:E4)</f>
        <v/>
      </c>
    </row>
    <row r="5">
      <c r="A5" s="8" t="n">
        <v>45923</v>
      </c>
      <c r="B5" s="9">
        <f>SUMIFS(Datos!$H$4:$H$1187,Datos!$A$4:$A$1187,A5,Datos!$C$4:$C$1187,"Shift4")</f>
        <v/>
      </c>
      <c r="C5" s="9">
        <f>SUMIFS(Datos!$H$4:$H$1187,Datos!$A$4:$A$1187,A5,Datos!$C$4:$C$1187,"Nuvei")</f>
        <v/>
      </c>
      <c r="D5" s="9">
        <f>SUMIFS(Datos!$H$4:$H$1187,Datos!$A$4:$A$1187,A5,Datos!$C$4:$C$1187,"Adyen")</f>
        <v/>
      </c>
      <c r="E5" s="9">
        <f>SUMIFS(Datos!$H$4:$H$1187,Datos!$A$4:$A$1187,A5,Datos!$C$4:$C$1187,"Paysafe")</f>
        <v/>
      </c>
      <c r="F5" s="16">
        <f>SUM(B5:E5)</f>
        <v/>
      </c>
    </row>
    <row r="6">
      <c r="A6" s="13" t="n">
        <v>45924</v>
      </c>
      <c r="B6" s="14">
        <f>SUMIFS(Datos!$H$4:$H$1187,Datos!$A$4:$A$1187,A6,Datos!$C$4:$C$1187,"Shift4")</f>
        <v/>
      </c>
      <c r="C6" s="14">
        <f>SUMIFS(Datos!$H$4:$H$1187,Datos!$A$4:$A$1187,A6,Datos!$C$4:$C$1187,"Nuvei")</f>
        <v/>
      </c>
      <c r="D6" s="14">
        <f>SUMIFS(Datos!$H$4:$H$1187,Datos!$A$4:$A$1187,A6,Datos!$C$4:$C$1187,"Adyen")</f>
        <v/>
      </c>
      <c r="E6" s="14">
        <f>SUMIFS(Datos!$H$4:$H$1187,Datos!$A$4:$A$1187,A6,Datos!$C$4:$C$1187,"Paysafe")</f>
        <v/>
      </c>
      <c r="F6" s="15">
        <f>SUM(B6:E6)</f>
        <v/>
      </c>
    </row>
    <row r="7">
      <c r="A7" s="8" t="n">
        <v>45925</v>
      </c>
      <c r="B7" s="9">
        <f>SUMIFS(Datos!$H$4:$H$1187,Datos!$A$4:$A$1187,A7,Datos!$C$4:$C$1187,"Shift4")</f>
        <v/>
      </c>
      <c r="C7" s="9">
        <f>SUMIFS(Datos!$H$4:$H$1187,Datos!$A$4:$A$1187,A7,Datos!$C$4:$C$1187,"Nuvei")</f>
        <v/>
      </c>
      <c r="D7" s="9">
        <f>SUMIFS(Datos!$H$4:$H$1187,Datos!$A$4:$A$1187,A7,Datos!$C$4:$C$1187,"Adyen")</f>
        <v/>
      </c>
      <c r="E7" s="9">
        <f>SUMIFS(Datos!$H$4:$H$1187,Datos!$A$4:$A$1187,A7,Datos!$C$4:$C$1187,"Paysafe")</f>
        <v/>
      </c>
      <c r="F7" s="16">
        <f>SUM(B7:E7)</f>
        <v/>
      </c>
    </row>
    <row r="8">
      <c r="A8" s="13" t="n">
        <v>45926</v>
      </c>
      <c r="B8" s="14">
        <f>SUMIFS(Datos!$H$4:$H$1187,Datos!$A$4:$A$1187,A8,Datos!$C$4:$C$1187,"Shift4")</f>
        <v/>
      </c>
      <c r="C8" s="14">
        <f>SUMIFS(Datos!$H$4:$H$1187,Datos!$A$4:$A$1187,A8,Datos!$C$4:$C$1187,"Nuvei")</f>
        <v/>
      </c>
      <c r="D8" s="14">
        <f>SUMIFS(Datos!$H$4:$H$1187,Datos!$A$4:$A$1187,A8,Datos!$C$4:$C$1187,"Adyen")</f>
        <v/>
      </c>
      <c r="E8" s="14">
        <f>SUMIFS(Datos!$H$4:$H$1187,Datos!$A$4:$A$1187,A8,Datos!$C$4:$C$1187,"Paysafe")</f>
        <v/>
      </c>
      <c r="F8" s="15">
        <f>SUM(B8:E8)</f>
        <v/>
      </c>
    </row>
    <row r="9">
      <c r="A9" s="8" t="n">
        <v>45927</v>
      </c>
      <c r="B9" s="9">
        <f>SUMIFS(Datos!$H$4:$H$1187,Datos!$A$4:$A$1187,A9,Datos!$C$4:$C$1187,"Shift4")</f>
        <v/>
      </c>
      <c r="C9" s="9">
        <f>SUMIFS(Datos!$H$4:$H$1187,Datos!$A$4:$A$1187,A9,Datos!$C$4:$C$1187,"Nuvei")</f>
        <v/>
      </c>
      <c r="D9" s="9">
        <f>SUMIFS(Datos!$H$4:$H$1187,Datos!$A$4:$A$1187,A9,Datos!$C$4:$C$1187,"Adyen")</f>
        <v/>
      </c>
      <c r="E9" s="9">
        <f>SUMIFS(Datos!$H$4:$H$1187,Datos!$A$4:$A$1187,A9,Datos!$C$4:$C$1187,"Paysafe")</f>
        <v/>
      </c>
      <c r="F9" s="16">
        <f>SUM(B9:E9)</f>
        <v/>
      </c>
    </row>
    <row r="10">
      <c r="A10" s="13" t="n">
        <v>45928</v>
      </c>
      <c r="B10" s="14">
        <f>SUMIFS(Datos!$H$4:$H$1187,Datos!$A$4:$A$1187,A10,Datos!$C$4:$C$1187,"Shift4")</f>
        <v/>
      </c>
      <c r="C10" s="14">
        <f>SUMIFS(Datos!$H$4:$H$1187,Datos!$A$4:$A$1187,A10,Datos!$C$4:$C$1187,"Nuvei")</f>
        <v/>
      </c>
      <c r="D10" s="14">
        <f>SUMIFS(Datos!$H$4:$H$1187,Datos!$A$4:$A$1187,A10,Datos!$C$4:$C$1187,"Adyen")</f>
        <v/>
      </c>
      <c r="E10" s="14">
        <f>SUMIFS(Datos!$H$4:$H$1187,Datos!$A$4:$A$1187,A10,Datos!$C$4:$C$1187,"Paysafe")</f>
        <v/>
      </c>
      <c r="F10" s="15">
        <f>SUM(B10:E10)</f>
        <v/>
      </c>
    </row>
    <row r="11">
      <c r="A11" s="8" t="n">
        <v>45929</v>
      </c>
      <c r="B11" s="9">
        <f>SUMIFS(Datos!$H$4:$H$1187,Datos!$A$4:$A$1187,A11,Datos!$C$4:$C$1187,"Shift4")</f>
        <v/>
      </c>
      <c r="C11" s="9">
        <f>SUMIFS(Datos!$H$4:$H$1187,Datos!$A$4:$A$1187,A11,Datos!$C$4:$C$1187,"Nuvei")</f>
        <v/>
      </c>
      <c r="D11" s="9">
        <f>SUMIFS(Datos!$H$4:$H$1187,Datos!$A$4:$A$1187,A11,Datos!$C$4:$C$1187,"Adyen")</f>
        <v/>
      </c>
      <c r="E11" s="9">
        <f>SUMIFS(Datos!$H$4:$H$1187,Datos!$A$4:$A$1187,A11,Datos!$C$4:$C$1187,"Paysafe")</f>
        <v/>
      </c>
      <c r="F11" s="16">
        <f>SUM(B11:E11)</f>
        <v/>
      </c>
    </row>
    <row r="12">
      <c r="A12" s="13" t="n">
        <v>45930</v>
      </c>
      <c r="B12" s="14">
        <f>SUMIFS(Datos!$H$4:$H$1187,Datos!$A$4:$A$1187,A12,Datos!$C$4:$C$1187,"Shift4")</f>
        <v/>
      </c>
      <c r="C12" s="14">
        <f>SUMIFS(Datos!$H$4:$H$1187,Datos!$A$4:$A$1187,A12,Datos!$C$4:$C$1187,"Nuvei")</f>
        <v/>
      </c>
      <c r="D12" s="14">
        <f>SUMIFS(Datos!$H$4:$H$1187,Datos!$A$4:$A$1187,A12,Datos!$C$4:$C$1187,"Adyen")</f>
        <v/>
      </c>
      <c r="E12" s="14">
        <f>SUMIFS(Datos!$H$4:$H$1187,Datos!$A$4:$A$1187,A12,Datos!$C$4:$C$1187,"Paysafe")</f>
        <v/>
      </c>
      <c r="F12" s="15">
        <f>SUM(B12:E12)</f>
        <v/>
      </c>
    </row>
    <row r="13">
      <c r="A13" s="8" t="n">
        <v>45931</v>
      </c>
      <c r="B13" s="9">
        <f>SUMIFS(Datos!$H$4:$H$1187,Datos!$A$4:$A$1187,A13,Datos!$C$4:$C$1187,"Shift4")</f>
        <v/>
      </c>
      <c r="C13" s="9">
        <f>SUMIFS(Datos!$H$4:$H$1187,Datos!$A$4:$A$1187,A13,Datos!$C$4:$C$1187,"Nuvei")</f>
        <v/>
      </c>
      <c r="D13" s="9">
        <f>SUMIFS(Datos!$H$4:$H$1187,Datos!$A$4:$A$1187,A13,Datos!$C$4:$C$1187,"Adyen")</f>
        <v/>
      </c>
      <c r="E13" s="9">
        <f>SUMIFS(Datos!$H$4:$H$1187,Datos!$A$4:$A$1187,A13,Datos!$C$4:$C$1187,"Paysafe")</f>
        <v/>
      </c>
      <c r="F13" s="16">
        <f>SUM(B13:E13)</f>
        <v/>
      </c>
    </row>
    <row r="14">
      <c r="A14" s="13" t="n">
        <v>45932</v>
      </c>
      <c r="B14" s="14">
        <f>SUMIFS(Datos!$H$4:$H$1187,Datos!$A$4:$A$1187,A14,Datos!$C$4:$C$1187,"Shift4")</f>
        <v/>
      </c>
      <c r="C14" s="14">
        <f>SUMIFS(Datos!$H$4:$H$1187,Datos!$A$4:$A$1187,A14,Datos!$C$4:$C$1187,"Nuvei")</f>
        <v/>
      </c>
      <c r="D14" s="14">
        <f>SUMIFS(Datos!$H$4:$H$1187,Datos!$A$4:$A$1187,A14,Datos!$C$4:$C$1187,"Adyen")</f>
        <v/>
      </c>
      <c r="E14" s="14">
        <f>SUMIFS(Datos!$H$4:$H$1187,Datos!$A$4:$A$1187,A14,Datos!$C$4:$C$1187,"Paysafe")</f>
        <v/>
      </c>
      <c r="F14" s="15">
        <f>SUM(B14:E14)</f>
        <v/>
      </c>
    </row>
    <row r="15">
      <c r="A15" s="8" t="n">
        <v>45933</v>
      </c>
      <c r="B15" s="9">
        <f>SUMIFS(Datos!$H$4:$H$1187,Datos!$A$4:$A$1187,A15,Datos!$C$4:$C$1187,"Shift4")</f>
        <v/>
      </c>
      <c r="C15" s="9">
        <f>SUMIFS(Datos!$H$4:$H$1187,Datos!$A$4:$A$1187,A15,Datos!$C$4:$C$1187,"Nuvei")</f>
        <v/>
      </c>
      <c r="D15" s="9">
        <f>SUMIFS(Datos!$H$4:$H$1187,Datos!$A$4:$A$1187,A15,Datos!$C$4:$C$1187,"Adyen")</f>
        <v/>
      </c>
      <c r="E15" s="9">
        <f>SUMIFS(Datos!$H$4:$H$1187,Datos!$A$4:$A$1187,A15,Datos!$C$4:$C$1187,"Paysafe")</f>
        <v/>
      </c>
      <c r="F15" s="16">
        <f>SUM(B15:E15)</f>
        <v/>
      </c>
    </row>
    <row r="16">
      <c r="A16" s="13" t="n">
        <v>45934</v>
      </c>
      <c r="B16" s="14">
        <f>SUMIFS(Datos!$H$4:$H$1187,Datos!$A$4:$A$1187,A16,Datos!$C$4:$C$1187,"Shift4")</f>
        <v/>
      </c>
      <c r="C16" s="14">
        <f>SUMIFS(Datos!$H$4:$H$1187,Datos!$A$4:$A$1187,A16,Datos!$C$4:$C$1187,"Nuvei")</f>
        <v/>
      </c>
      <c r="D16" s="14">
        <f>SUMIFS(Datos!$H$4:$H$1187,Datos!$A$4:$A$1187,A16,Datos!$C$4:$C$1187,"Adyen")</f>
        <v/>
      </c>
      <c r="E16" s="14">
        <f>SUMIFS(Datos!$H$4:$H$1187,Datos!$A$4:$A$1187,A16,Datos!$C$4:$C$1187,"Paysafe")</f>
        <v/>
      </c>
      <c r="F16" s="15">
        <f>SUM(B16:E16)</f>
        <v/>
      </c>
    </row>
    <row r="17">
      <c r="A17" s="8" t="n">
        <v>45935</v>
      </c>
      <c r="B17" s="9">
        <f>SUMIFS(Datos!$H$4:$H$1187,Datos!$A$4:$A$1187,A17,Datos!$C$4:$C$1187,"Shift4")</f>
        <v/>
      </c>
      <c r="C17" s="9">
        <f>SUMIFS(Datos!$H$4:$H$1187,Datos!$A$4:$A$1187,A17,Datos!$C$4:$C$1187,"Nuvei")</f>
        <v/>
      </c>
      <c r="D17" s="9">
        <f>SUMIFS(Datos!$H$4:$H$1187,Datos!$A$4:$A$1187,A17,Datos!$C$4:$C$1187,"Adyen")</f>
        <v/>
      </c>
      <c r="E17" s="9">
        <f>SUMIFS(Datos!$H$4:$H$1187,Datos!$A$4:$A$1187,A17,Datos!$C$4:$C$1187,"Paysafe")</f>
        <v/>
      </c>
      <c r="F17" s="16">
        <f>SUM(B17:E17)</f>
        <v/>
      </c>
    </row>
    <row r="18">
      <c r="A18" s="13" t="n">
        <v>45936</v>
      </c>
      <c r="B18" s="14">
        <f>SUMIFS(Datos!$H$4:$H$1187,Datos!$A$4:$A$1187,A18,Datos!$C$4:$C$1187,"Shift4")</f>
        <v/>
      </c>
      <c r="C18" s="14">
        <f>SUMIFS(Datos!$H$4:$H$1187,Datos!$A$4:$A$1187,A18,Datos!$C$4:$C$1187,"Nuvei")</f>
        <v/>
      </c>
      <c r="D18" s="14">
        <f>SUMIFS(Datos!$H$4:$H$1187,Datos!$A$4:$A$1187,A18,Datos!$C$4:$C$1187,"Adyen")</f>
        <v/>
      </c>
      <c r="E18" s="14">
        <f>SUMIFS(Datos!$H$4:$H$1187,Datos!$A$4:$A$1187,A18,Datos!$C$4:$C$1187,"Paysafe")</f>
        <v/>
      </c>
      <c r="F18" s="15">
        <f>SUM(B18:E18)</f>
        <v/>
      </c>
    </row>
    <row r="19">
      <c r="A19" s="8" t="n">
        <v>45937</v>
      </c>
      <c r="B19" s="9">
        <f>SUMIFS(Datos!$H$4:$H$1187,Datos!$A$4:$A$1187,A19,Datos!$C$4:$C$1187,"Shift4")</f>
        <v/>
      </c>
      <c r="C19" s="9">
        <f>SUMIFS(Datos!$H$4:$H$1187,Datos!$A$4:$A$1187,A19,Datos!$C$4:$C$1187,"Nuvei")</f>
        <v/>
      </c>
      <c r="D19" s="9">
        <f>SUMIFS(Datos!$H$4:$H$1187,Datos!$A$4:$A$1187,A19,Datos!$C$4:$C$1187,"Adyen")</f>
        <v/>
      </c>
      <c r="E19" s="9">
        <f>SUMIFS(Datos!$H$4:$H$1187,Datos!$A$4:$A$1187,A19,Datos!$C$4:$C$1187,"Paysafe")</f>
        <v/>
      </c>
      <c r="F19" s="16">
        <f>SUM(B19:E19)</f>
        <v/>
      </c>
    </row>
    <row r="20">
      <c r="A20" s="13" t="n">
        <v>45938</v>
      </c>
      <c r="B20" s="14">
        <f>SUMIFS(Datos!$H$4:$H$1187,Datos!$A$4:$A$1187,A20,Datos!$C$4:$C$1187,"Shift4")</f>
        <v/>
      </c>
      <c r="C20" s="14">
        <f>SUMIFS(Datos!$H$4:$H$1187,Datos!$A$4:$A$1187,A20,Datos!$C$4:$C$1187,"Nuvei")</f>
        <v/>
      </c>
      <c r="D20" s="14">
        <f>SUMIFS(Datos!$H$4:$H$1187,Datos!$A$4:$A$1187,A20,Datos!$C$4:$C$1187,"Adyen")</f>
        <v/>
      </c>
      <c r="E20" s="14">
        <f>SUMIFS(Datos!$H$4:$H$1187,Datos!$A$4:$A$1187,A20,Datos!$C$4:$C$1187,"Paysafe")</f>
        <v/>
      </c>
      <c r="F20" s="15">
        <f>SUM(B20:E20)</f>
        <v/>
      </c>
    </row>
    <row r="21">
      <c r="A21" s="8" t="n">
        <v>45939</v>
      </c>
      <c r="B21" s="9">
        <f>SUMIFS(Datos!$H$4:$H$1187,Datos!$A$4:$A$1187,A21,Datos!$C$4:$C$1187,"Shift4")</f>
        <v/>
      </c>
      <c r="C21" s="9">
        <f>SUMIFS(Datos!$H$4:$H$1187,Datos!$A$4:$A$1187,A21,Datos!$C$4:$C$1187,"Nuvei")</f>
        <v/>
      </c>
      <c r="D21" s="9">
        <f>SUMIFS(Datos!$H$4:$H$1187,Datos!$A$4:$A$1187,A21,Datos!$C$4:$C$1187,"Adyen")</f>
        <v/>
      </c>
      <c r="E21" s="9">
        <f>SUMIFS(Datos!$H$4:$H$1187,Datos!$A$4:$A$1187,A21,Datos!$C$4:$C$1187,"Paysafe")</f>
        <v/>
      </c>
      <c r="F21" s="16">
        <f>SUM(B21:E21)</f>
        <v/>
      </c>
    </row>
    <row r="22">
      <c r="A22" s="13" t="n">
        <v>45940</v>
      </c>
      <c r="B22" s="14">
        <f>SUMIFS(Datos!$H$4:$H$1187,Datos!$A$4:$A$1187,A22,Datos!$C$4:$C$1187,"Shift4")</f>
        <v/>
      </c>
      <c r="C22" s="14">
        <f>SUMIFS(Datos!$H$4:$H$1187,Datos!$A$4:$A$1187,A22,Datos!$C$4:$C$1187,"Nuvei")</f>
        <v/>
      </c>
      <c r="D22" s="14">
        <f>SUMIFS(Datos!$H$4:$H$1187,Datos!$A$4:$A$1187,A22,Datos!$C$4:$C$1187,"Adyen")</f>
        <v/>
      </c>
      <c r="E22" s="14">
        <f>SUMIFS(Datos!$H$4:$H$1187,Datos!$A$4:$A$1187,A22,Datos!$C$4:$C$1187,"Paysafe")</f>
        <v/>
      </c>
      <c r="F22" s="15">
        <f>SUM(B22:E22)</f>
        <v/>
      </c>
    </row>
    <row r="23">
      <c r="A23" s="8" t="n">
        <v>45941</v>
      </c>
      <c r="B23" s="9">
        <f>SUMIFS(Datos!$H$4:$H$1187,Datos!$A$4:$A$1187,A23,Datos!$C$4:$C$1187,"Shift4")</f>
        <v/>
      </c>
      <c r="C23" s="9">
        <f>SUMIFS(Datos!$H$4:$H$1187,Datos!$A$4:$A$1187,A23,Datos!$C$4:$C$1187,"Nuvei")</f>
        <v/>
      </c>
      <c r="D23" s="9">
        <f>SUMIFS(Datos!$H$4:$H$1187,Datos!$A$4:$A$1187,A23,Datos!$C$4:$C$1187,"Adyen")</f>
        <v/>
      </c>
      <c r="E23" s="9">
        <f>SUMIFS(Datos!$H$4:$H$1187,Datos!$A$4:$A$1187,A23,Datos!$C$4:$C$1187,"Paysafe")</f>
        <v/>
      </c>
      <c r="F23" s="16">
        <f>SUM(B23:E23)</f>
        <v/>
      </c>
    </row>
    <row r="24">
      <c r="A24" s="13" t="n">
        <v>45942</v>
      </c>
      <c r="B24" s="14">
        <f>SUMIFS(Datos!$H$4:$H$1187,Datos!$A$4:$A$1187,A24,Datos!$C$4:$C$1187,"Shift4")</f>
        <v/>
      </c>
      <c r="C24" s="14">
        <f>SUMIFS(Datos!$H$4:$H$1187,Datos!$A$4:$A$1187,A24,Datos!$C$4:$C$1187,"Nuvei")</f>
        <v/>
      </c>
      <c r="D24" s="14">
        <f>SUMIFS(Datos!$H$4:$H$1187,Datos!$A$4:$A$1187,A24,Datos!$C$4:$C$1187,"Adyen")</f>
        <v/>
      </c>
      <c r="E24" s="14">
        <f>SUMIFS(Datos!$H$4:$H$1187,Datos!$A$4:$A$1187,A24,Datos!$C$4:$C$1187,"Paysafe")</f>
        <v/>
      </c>
      <c r="F24" s="15">
        <f>SUM(B24:E24)</f>
        <v/>
      </c>
    </row>
    <row r="25">
      <c r="A25" s="8" t="n">
        <v>45943</v>
      </c>
      <c r="B25" s="9">
        <f>SUMIFS(Datos!$H$4:$H$1187,Datos!$A$4:$A$1187,A25,Datos!$C$4:$C$1187,"Shift4")</f>
        <v/>
      </c>
      <c r="C25" s="9">
        <f>SUMIFS(Datos!$H$4:$H$1187,Datos!$A$4:$A$1187,A25,Datos!$C$4:$C$1187,"Nuvei")</f>
        <v/>
      </c>
      <c r="D25" s="9">
        <f>SUMIFS(Datos!$H$4:$H$1187,Datos!$A$4:$A$1187,A25,Datos!$C$4:$C$1187,"Adyen")</f>
        <v/>
      </c>
      <c r="E25" s="9">
        <f>SUMIFS(Datos!$H$4:$H$1187,Datos!$A$4:$A$1187,A25,Datos!$C$4:$C$1187,"Paysafe")</f>
        <v/>
      </c>
      <c r="F25" s="16">
        <f>SUM(B25:E25)</f>
        <v/>
      </c>
    </row>
    <row r="26">
      <c r="A26" s="13" t="n">
        <v>45944</v>
      </c>
      <c r="B26" s="14">
        <f>SUMIFS(Datos!$H$4:$H$1187,Datos!$A$4:$A$1187,A26,Datos!$C$4:$C$1187,"Shift4")</f>
        <v/>
      </c>
      <c r="C26" s="14">
        <f>SUMIFS(Datos!$H$4:$H$1187,Datos!$A$4:$A$1187,A26,Datos!$C$4:$C$1187,"Nuvei")</f>
        <v/>
      </c>
      <c r="D26" s="14">
        <f>SUMIFS(Datos!$H$4:$H$1187,Datos!$A$4:$A$1187,A26,Datos!$C$4:$C$1187,"Adyen")</f>
        <v/>
      </c>
      <c r="E26" s="14">
        <f>SUMIFS(Datos!$H$4:$H$1187,Datos!$A$4:$A$1187,A26,Datos!$C$4:$C$1187,"Paysafe")</f>
        <v/>
      </c>
      <c r="F26" s="15">
        <f>SUM(B26:E26)</f>
        <v/>
      </c>
    </row>
    <row r="27">
      <c r="A27" s="8" t="n">
        <v>45945</v>
      </c>
      <c r="B27" s="9">
        <f>SUMIFS(Datos!$H$4:$H$1187,Datos!$A$4:$A$1187,A27,Datos!$C$4:$C$1187,"Shift4")</f>
        <v/>
      </c>
      <c r="C27" s="9">
        <f>SUMIFS(Datos!$H$4:$H$1187,Datos!$A$4:$A$1187,A27,Datos!$C$4:$C$1187,"Nuvei")</f>
        <v/>
      </c>
      <c r="D27" s="9">
        <f>SUMIFS(Datos!$H$4:$H$1187,Datos!$A$4:$A$1187,A27,Datos!$C$4:$C$1187,"Adyen")</f>
        <v/>
      </c>
      <c r="E27" s="9">
        <f>SUMIFS(Datos!$H$4:$H$1187,Datos!$A$4:$A$1187,A27,Datos!$C$4:$C$1187,"Paysafe")</f>
        <v/>
      </c>
      <c r="F27" s="16">
        <f>SUM(B27:E27)</f>
        <v/>
      </c>
    </row>
    <row r="28">
      <c r="A28" s="13" t="n">
        <v>45946</v>
      </c>
      <c r="B28" s="14">
        <f>SUMIFS(Datos!$H$4:$H$1187,Datos!$A$4:$A$1187,A28,Datos!$C$4:$C$1187,"Shift4")</f>
        <v/>
      </c>
      <c r="C28" s="14">
        <f>SUMIFS(Datos!$H$4:$H$1187,Datos!$A$4:$A$1187,A28,Datos!$C$4:$C$1187,"Nuvei")</f>
        <v/>
      </c>
      <c r="D28" s="14">
        <f>SUMIFS(Datos!$H$4:$H$1187,Datos!$A$4:$A$1187,A28,Datos!$C$4:$C$1187,"Adyen")</f>
        <v/>
      </c>
      <c r="E28" s="14">
        <f>SUMIFS(Datos!$H$4:$H$1187,Datos!$A$4:$A$1187,A28,Datos!$C$4:$C$1187,"Paysafe")</f>
        <v/>
      </c>
      <c r="F28" s="15">
        <f>SUM(B28:E28)</f>
        <v/>
      </c>
    </row>
    <row r="29">
      <c r="A29" s="8" t="n">
        <v>45947</v>
      </c>
      <c r="B29" s="9">
        <f>SUMIFS(Datos!$H$4:$H$1187,Datos!$A$4:$A$1187,A29,Datos!$C$4:$C$1187,"Shift4")</f>
        <v/>
      </c>
      <c r="C29" s="9">
        <f>SUMIFS(Datos!$H$4:$H$1187,Datos!$A$4:$A$1187,A29,Datos!$C$4:$C$1187,"Nuvei")</f>
        <v/>
      </c>
      <c r="D29" s="9">
        <f>SUMIFS(Datos!$H$4:$H$1187,Datos!$A$4:$A$1187,A29,Datos!$C$4:$C$1187,"Adyen")</f>
        <v/>
      </c>
      <c r="E29" s="9">
        <f>SUMIFS(Datos!$H$4:$H$1187,Datos!$A$4:$A$1187,A29,Datos!$C$4:$C$1187,"Paysafe")</f>
        <v/>
      </c>
      <c r="F29" s="16">
        <f>SUM(B29:E29)</f>
        <v/>
      </c>
    </row>
    <row r="30">
      <c r="A30" s="13" t="n">
        <v>45948</v>
      </c>
      <c r="B30" s="14">
        <f>SUMIFS(Datos!$H$4:$H$1187,Datos!$A$4:$A$1187,A30,Datos!$C$4:$C$1187,"Shift4")</f>
        <v/>
      </c>
      <c r="C30" s="14">
        <f>SUMIFS(Datos!$H$4:$H$1187,Datos!$A$4:$A$1187,A30,Datos!$C$4:$C$1187,"Nuvei")</f>
        <v/>
      </c>
      <c r="D30" s="14">
        <f>SUMIFS(Datos!$H$4:$H$1187,Datos!$A$4:$A$1187,A30,Datos!$C$4:$C$1187,"Adyen")</f>
        <v/>
      </c>
      <c r="E30" s="14">
        <f>SUMIFS(Datos!$H$4:$H$1187,Datos!$A$4:$A$1187,A30,Datos!$C$4:$C$1187,"Paysafe")</f>
        <v/>
      </c>
      <c r="F30" s="15">
        <f>SUM(B30:E30)</f>
        <v/>
      </c>
    </row>
    <row r="31">
      <c r="A31" s="8" t="n">
        <v>45949</v>
      </c>
      <c r="B31" s="9">
        <f>SUMIFS(Datos!$H$4:$H$1187,Datos!$A$4:$A$1187,A31,Datos!$C$4:$C$1187,"Shift4")</f>
        <v/>
      </c>
      <c r="C31" s="9">
        <f>SUMIFS(Datos!$H$4:$H$1187,Datos!$A$4:$A$1187,A31,Datos!$C$4:$C$1187,"Nuvei")</f>
        <v/>
      </c>
      <c r="D31" s="9">
        <f>SUMIFS(Datos!$H$4:$H$1187,Datos!$A$4:$A$1187,A31,Datos!$C$4:$C$1187,"Adyen")</f>
        <v/>
      </c>
      <c r="E31" s="9">
        <f>SUMIFS(Datos!$H$4:$H$1187,Datos!$A$4:$A$1187,A31,Datos!$C$4:$C$1187,"Paysafe")</f>
        <v/>
      </c>
      <c r="F31" s="16">
        <f>SUM(B31:E31)</f>
        <v/>
      </c>
    </row>
    <row r="32">
      <c r="A32" s="13" t="n">
        <v>45950</v>
      </c>
      <c r="B32" s="14">
        <f>SUMIFS(Datos!$H$4:$H$1187,Datos!$A$4:$A$1187,A32,Datos!$C$4:$C$1187,"Shift4")</f>
        <v/>
      </c>
      <c r="C32" s="14">
        <f>SUMIFS(Datos!$H$4:$H$1187,Datos!$A$4:$A$1187,A32,Datos!$C$4:$C$1187,"Nuvei")</f>
        <v/>
      </c>
      <c r="D32" s="14">
        <f>SUMIFS(Datos!$H$4:$H$1187,Datos!$A$4:$A$1187,A32,Datos!$C$4:$C$1187,"Adyen")</f>
        <v/>
      </c>
      <c r="E32" s="14">
        <f>SUMIFS(Datos!$H$4:$H$1187,Datos!$A$4:$A$1187,A32,Datos!$C$4:$C$1187,"Paysafe")</f>
        <v/>
      </c>
      <c r="F32" s="15">
        <f>SUM(B32:E32)</f>
        <v/>
      </c>
    </row>
    <row r="33">
      <c r="A33" s="8" t="n">
        <v>45951</v>
      </c>
      <c r="B33" s="9">
        <f>SUMIFS(Datos!$H$4:$H$1187,Datos!$A$4:$A$1187,A33,Datos!$C$4:$C$1187,"Shift4")</f>
        <v/>
      </c>
      <c r="C33" s="9">
        <f>SUMIFS(Datos!$H$4:$H$1187,Datos!$A$4:$A$1187,A33,Datos!$C$4:$C$1187,"Nuvei")</f>
        <v/>
      </c>
      <c r="D33" s="9">
        <f>SUMIFS(Datos!$H$4:$H$1187,Datos!$A$4:$A$1187,A33,Datos!$C$4:$C$1187,"Adyen")</f>
        <v/>
      </c>
      <c r="E33" s="9">
        <f>SUMIFS(Datos!$H$4:$H$1187,Datos!$A$4:$A$1187,A33,Datos!$C$4:$C$1187,"Paysafe")</f>
        <v/>
      </c>
      <c r="F33" s="16">
        <f>SUM(B33:E33)</f>
        <v/>
      </c>
    </row>
    <row r="34">
      <c r="A34" s="13" t="n">
        <v>45952</v>
      </c>
      <c r="B34" s="14">
        <f>SUMIFS(Datos!$H$4:$H$1187,Datos!$A$4:$A$1187,A34,Datos!$C$4:$C$1187,"Shift4")</f>
        <v/>
      </c>
      <c r="C34" s="14">
        <f>SUMIFS(Datos!$H$4:$H$1187,Datos!$A$4:$A$1187,A34,Datos!$C$4:$C$1187,"Nuvei")</f>
        <v/>
      </c>
      <c r="D34" s="14">
        <f>SUMIFS(Datos!$H$4:$H$1187,Datos!$A$4:$A$1187,A34,Datos!$C$4:$C$1187,"Adyen")</f>
        <v/>
      </c>
      <c r="E34" s="14">
        <f>SUMIFS(Datos!$H$4:$H$1187,Datos!$A$4:$A$1187,A34,Datos!$C$4:$C$1187,"Paysafe")</f>
        <v/>
      </c>
      <c r="F34" s="15">
        <f>SUM(B34:E34)</f>
        <v/>
      </c>
    </row>
    <row r="35">
      <c r="A35" s="8" t="n">
        <v>45953</v>
      </c>
      <c r="B35" s="9">
        <f>SUMIFS(Datos!$H$4:$H$1187,Datos!$A$4:$A$1187,A35,Datos!$C$4:$C$1187,"Shift4")</f>
        <v/>
      </c>
      <c r="C35" s="9">
        <f>SUMIFS(Datos!$H$4:$H$1187,Datos!$A$4:$A$1187,A35,Datos!$C$4:$C$1187,"Nuvei")</f>
        <v/>
      </c>
      <c r="D35" s="9">
        <f>SUMIFS(Datos!$H$4:$H$1187,Datos!$A$4:$A$1187,A35,Datos!$C$4:$C$1187,"Adyen")</f>
        <v/>
      </c>
      <c r="E35" s="9">
        <f>SUMIFS(Datos!$H$4:$H$1187,Datos!$A$4:$A$1187,A35,Datos!$C$4:$C$1187,"Paysafe")</f>
        <v/>
      </c>
      <c r="F35" s="16">
        <f>SUM(B35:E35)</f>
        <v/>
      </c>
    </row>
    <row r="36">
      <c r="A36" s="13" t="n">
        <v>45954</v>
      </c>
      <c r="B36" s="14">
        <f>SUMIFS(Datos!$H$4:$H$1187,Datos!$A$4:$A$1187,A36,Datos!$C$4:$C$1187,"Shift4")</f>
        <v/>
      </c>
      <c r="C36" s="14">
        <f>SUMIFS(Datos!$H$4:$H$1187,Datos!$A$4:$A$1187,A36,Datos!$C$4:$C$1187,"Nuvei")</f>
        <v/>
      </c>
      <c r="D36" s="14">
        <f>SUMIFS(Datos!$H$4:$H$1187,Datos!$A$4:$A$1187,A36,Datos!$C$4:$C$1187,"Adyen")</f>
        <v/>
      </c>
      <c r="E36" s="14">
        <f>SUMIFS(Datos!$H$4:$H$1187,Datos!$A$4:$A$1187,A36,Datos!$C$4:$C$1187,"Paysafe")</f>
        <v/>
      </c>
      <c r="F36" s="15">
        <f>SUM(B36:E36)</f>
        <v/>
      </c>
    </row>
    <row r="37">
      <c r="A37" s="8" t="n">
        <v>45955</v>
      </c>
      <c r="B37" s="9">
        <f>SUMIFS(Datos!$H$4:$H$1187,Datos!$A$4:$A$1187,A37,Datos!$C$4:$C$1187,"Shift4")</f>
        <v/>
      </c>
      <c r="C37" s="9">
        <f>SUMIFS(Datos!$H$4:$H$1187,Datos!$A$4:$A$1187,A37,Datos!$C$4:$C$1187,"Nuvei")</f>
        <v/>
      </c>
      <c r="D37" s="9">
        <f>SUMIFS(Datos!$H$4:$H$1187,Datos!$A$4:$A$1187,A37,Datos!$C$4:$C$1187,"Adyen")</f>
        <v/>
      </c>
      <c r="E37" s="9">
        <f>SUMIFS(Datos!$H$4:$H$1187,Datos!$A$4:$A$1187,A37,Datos!$C$4:$C$1187,"Paysafe")</f>
        <v/>
      </c>
      <c r="F37" s="16">
        <f>SUM(B37:E37)</f>
        <v/>
      </c>
    </row>
    <row r="38">
      <c r="A38" s="13" t="n">
        <v>45956</v>
      </c>
      <c r="B38" s="14">
        <f>SUMIFS(Datos!$H$4:$H$1187,Datos!$A$4:$A$1187,A38,Datos!$C$4:$C$1187,"Shift4")</f>
        <v/>
      </c>
      <c r="C38" s="14">
        <f>SUMIFS(Datos!$H$4:$H$1187,Datos!$A$4:$A$1187,A38,Datos!$C$4:$C$1187,"Nuvei")</f>
        <v/>
      </c>
      <c r="D38" s="14">
        <f>SUMIFS(Datos!$H$4:$H$1187,Datos!$A$4:$A$1187,A38,Datos!$C$4:$C$1187,"Adyen")</f>
        <v/>
      </c>
      <c r="E38" s="14">
        <f>SUMIFS(Datos!$H$4:$H$1187,Datos!$A$4:$A$1187,A38,Datos!$C$4:$C$1187,"Paysafe")</f>
        <v/>
      </c>
      <c r="F38" s="15">
        <f>SUM(B38:E38)</f>
        <v/>
      </c>
    </row>
    <row r="39">
      <c r="A39" s="8" t="n">
        <v>45957</v>
      </c>
      <c r="B39" s="9">
        <f>SUMIFS(Datos!$H$4:$H$1187,Datos!$A$4:$A$1187,A39,Datos!$C$4:$C$1187,"Shift4")</f>
        <v/>
      </c>
      <c r="C39" s="9">
        <f>SUMIFS(Datos!$H$4:$H$1187,Datos!$A$4:$A$1187,A39,Datos!$C$4:$C$1187,"Nuvei")</f>
        <v/>
      </c>
      <c r="D39" s="9">
        <f>SUMIFS(Datos!$H$4:$H$1187,Datos!$A$4:$A$1187,A39,Datos!$C$4:$C$1187,"Adyen")</f>
        <v/>
      </c>
      <c r="E39" s="9">
        <f>SUMIFS(Datos!$H$4:$H$1187,Datos!$A$4:$A$1187,A39,Datos!$C$4:$C$1187,"Paysafe")</f>
        <v/>
      </c>
      <c r="F39" s="16">
        <f>SUM(B39:E39)</f>
        <v/>
      </c>
    </row>
    <row r="40">
      <c r="A40" s="13" t="n">
        <v>45958</v>
      </c>
      <c r="B40" s="14">
        <f>SUMIFS(Datos!$H$4:$H$1187,Datos!$A$4:$A$1187,A40,Datos!$C$4:$C$1187,"Shift4")</f>
        <v/>
      </c>
      <c r="C40" s="14">
        <f>SUMIFS(Datos!$H$4:$H$1187,Datos!$A$4:$A$1187,A40,Datos!$C$4:$C$1187,"Nuvei")</f>
        <v/>
      </c>
      <c r="D40" s="14">
        <f>SUMIFS(Datos!$H$4:$H$1187,Datos!$A$4:$A$1187,A40,Datos!$C$4:$C$1187,"Adyen")</f>
        <v/>
      </c>
      <c r="E40" s="14">
        <f>SUMIFS(Datos!$H$4:$H$1187,Datos!$A$4:$A$1187,A40,Datos!$C$4:$C$1187,"Paysafe")</f>
        <v/>
      </c>
      <c r="F40" s="15">
        <f>SUM(B40:E40)</f>
        <v/>
      </c>
    </row>
    <row r="41">
      <c r="A41" s="8" t="n">
        <v>45959</v>
      </c>
      <c r="B41" s="9">
        <f>SUMIFS(Datos!$H$4:$H$1187,Datos!$A$4:$A$1187,A41,Datos!$C$4:$C$1187,"Shift4")</f>
        <v/>
      </c>
      <c r="C41" s="9">
        <f>SUMIFS(Datos!$H$4:$H$1187,Datos!$A$4:$A$1187,A41,Datos!$C$4:$C$1187,"Nuvei")</f>
        <v/>
      </c>
      <c r="D41" s="9">
        <f>SUMIFS(Datos!$H$4:$H$1187,Datos!$A$4:$A$1187,A41,Datos!$C$4:$C$1187,"Adyen")</f>
        <v/>
      </c>
      <c r="E41" s="9">
        <f>SUMIFS(Datos!$H$4:$H$1187,Datos!$A$4:$A$1187,A41,Datos!$C$4:$C$1187,"Paysafe")</f>
        <v/>
      </c>
      <c r="F41" s="16">
        <f>SUM(B41:E41)</f>
        <v/>
      </c>
    </row>
    <row r="42">
      <c r="A42" s="13" t="n">
        <v>45960</v>
      </c>
      <c r="B42" s="14">
        <f>SUMIFS(Datos!$H$4:$H$1187,Datos!$A$4:$A$1187,A42,Datos!$C$4:$C$1187,"Shift4")</f>
        <v/>
      </c>
      <c r="C42" s="14">
        <f>SUMIFS(Datos!$H$4:$H$1187,Datos!$A$4:$A$1187,A42,Datos!$C$4:$C$1187,"Nuvei")</f>
        <v/>
      </c>
      <c r="D42" s="14">
        <f>SUMIFS(Datos!$H$4:$H$1187,Datos!$A$4:$A$1187,A42,Datos!$C$4:$C$1187,"Adyen")</f>
        <v/>
      </c>
      <c r="E42" s="14">
        <f>SUMIFS(Datos!$H$4:$H$1187,Datos!$A$4:$A$1187,A42,Datos!$C$4:$C$1187,"Paysafe")</f>
        <v/>
      </c>
      <c r="F42" s="15">
        <f>SUM(B42:E42)</f>
        <v/>
      </c>
    </row>
    <row r="43">
      <c r="A43" s="8" t="n">
        <v>45961</v>
      </c>
      <c r="B43" s="9">
        <f>SUMIFS(Datos!$H$4:$H$1187,Datos!$A$4:$A$1187,A43,Datos!$C$4:$C$1187,"Shift4")</f>
        <v/>
      </c>
      <c r="C43" s="9">
        <f>SUMIFS(Datos!$H$4:$H$1187,Datos!$A$4:$A$1187,A43,Datos!$C$4:$C$1187,"Nuvei")</f>
        <v/>
      </c>
      <c r="D43" s="9">
        <f>SUMIFS(Datos!$H$4:$H$1187,Datos!$A$4:$A$1187,A43,Datos!$C$4:$C$1187,"Adyen")</f>
        <v/>
      </c>
      <c r="E43" s="9">
        <f>SUMIFS(Datos!$H$4:$H$1187,Datos!$A$4:$A$1187,A43,Datos!$C$4:$C$1187,"Paysafe")</f>
        <v/>
      </c>
      <c r="F43" s="16">
        <f>SUM(B43:E43)</f>
        <v/>
      </c>
    </row>
    <row r="44">
      <c r="A44" s="13" t="n">
        <v>45962</v>
      </c>
      <c r="B44" s="14">
        <f>SUMIFS(Datos!$H$4:$H$1187,Datos!$A$4:$A$1187,A44,Datos!$C$4:$C$1187,"Shift4")</f>
        <v/>
      </c>
      <c r="C44" s="14">
        <f>SUMIFS(Datos!$H$4:$H$1187,Datos!$A$4:$A$1187,A44,Datos!$C$4:$C$1187,"Nuvei")</f>
        <v/>
      </c>
      <c r="D44" s="14">
        <f>SUMIFS(Datos!$H$4:$H$1187,Datos!$A$4:$A$1187,A44,Datos!$C$4:$C$1187,"Adyen")</f>
        <v/>
      </c>
      <c r="E44" s="14">
        <f>SUMIFS(Datos!$H$4:$H$1187,Datos!$A$4:$A$1187,A44,Datos!$C$4:$C$1187,"Paysafe")</f>
        <v/>
      </c>
      <c r="F44" s="15">
        <f>SUM(B44:E44)</f>
        <v/>
      </c>
    </row>
    <row r="45">
      <c r="A45" s="8" t="n">
        <v>45963</v>
      </c>
      <c r="B45" s="9">
        <f>SUMIFS(Datos!$H$4:$H$1187,Datos!$A$4:$A$1187,A45,Datos!$C$4:$C$1187,"Shift4")</f>
        <v/>
      </c>
      <c r="C45" s="9">
        <f>SUMIFS(Datos!$H$4:$H$1187,Datos!$A$4:$A$1187,A45,Datos!$C$4:$C$1187,"Nuvei")</f>
        <v/>
      </c>
      <c r="D45" s="9">
        <f>SUMIFS(Datos!$H$4:$H$1187,Datos!$A$4:$A$1187,A45,Datos!$C$4:$C$1187,"Adyen")</f>
        <v/>
      </c>
      <c r="E45" s="9">
        <f>SUMIFS(Datos!$H$4:$H$1187,Datos!$A$4:$A$1187,A45,Datos!$C$4:$C$1187,"Paysafe")</f>
        <v/>
      </c>
      <c r="F45" s="16">
        <f>SUM(B45:E45)</f>
        <v/>
      </c>
    </row>
    <row r="46">
      <c r="A46" s="13" t="n">
        <v>45964</v>
      </c>
      <c r="B46" s="14">
        <f>SUMIFS(Datos!$H$4:$H$1187,Datos!$A$4:$A$1187,A46,Datos!$C$4:$C$1187,"Shift4")</f>
        <v/>
      </c>
      <c r="C46" s="14">
        <f>SUMIFS(Datos!$H$4:$H$1187,Datos!$A$4:$A$1187,A46,Datos!$C$4:$C$1187,"Nuvei")</f>
        <v/>
      </c>
      <c r="D46" s="14">
        <f>SUMIFS(Datos!$H$4:$H$1187,Datos!$A$4:$A$1187,A46,Datos!$C$4:$C$1187,"Adyen")</f>
        <v/>
      </c>
      <c r="E46" s="14">
        <f>SUMIFS(Datos!$H$4:$H$1187,Datos!$A$4:$A$1187,A46,Datos!$C$4:$C$1187,"Paysafe")</f>
        <v/>
      </c>
      <c r="F46" s="15">
        <f>SUM(B46:E46)</f>
        <v/>
      </c>
    </row>
    <row r="47">
      <c r="A47" s="8" t="n">
        <v>45965</v>
      </c>
      <c r="B47" s="9">
        <f>SUMIFS(Datos!$H$4:$H$1187,Datos!$A$4:$A$1187,A47,Datos!$C$4:$C$1187,"Shift4")</f>
        <v/>
      </c>
      <c r="C47" s="9">
        <f>SUMIFS(Datos!$H$4:$H$1187,Datos!$A$4:$A$1187,A47,Datos!$C$4:$C$1187,"Nuvei")</f>
        <v/>
      </c>
      <c r="D47" s="9">
        <f>SUMIFS(Datos!$H$4:$H$1187,Datos!$A$4:$A$1187,A47,Datos!$C$4:$C$1187,"Adyen")</f>
        <v/>
      </c>
      <c r="E47" s="9">
        <f>SUMIFS(Datos!$H$4:$H$1187,Datos!$A$4:$A$1187,A47,Datos!$C$4:$C$1187,"Paysafe")</f>
        <v/>
      </c>
      <c r="F47" s="16">
        <f>SUM(B47:E47)</f>
        <v/>
      </c>
    </row>
    <row r="48">
      <c r="A48" s="13" t="n">
        <v>45966</v>
      </c>
      <c r="B48" s="14">
        <f>SUMIFS(Datos!$H$4:$H$1187,Datos!$A$4:$A$1187,A48,Datos!$C$4:$C$1187,"Shift4")</f>
        <v/>
      </c>
      <c r="C48" s="14">
        <f>SUMIFS(Datos!$H$4:$H$1187,Datos!$A$4:$A$1187,A48,Datos!$C$4:$C$1187,"Nuvei")</f>
        <v/>
      </c>
      <c r="D48" s="14">
        <f>SUMIFS(Datos!$H$4:$H$1187,Datos!$A$4:$A$1187,A48,Datos!$C$4:$C$1187,"Adyen")</f>
        <v/>
      </c>
      <c r="E48" s="14">
        <f>SUMIFS(Datos!$H$4:$H$1187,Datos!$A$4:$A$1187,A48,Datos!$C$4:$C$1187,"Paysafe")</f>
        <v/>
      </c>
      <c r="F48" s="15">
        <f>SUM(B48:E48)</f>
        <v/>
      </c>
    </row>
    <row r="49">
      <c r="A49" s="8" t="n">
        <v>45967</v>
      </c>
      <c r="B49" s="9">
        <f>SUMIFS(Datos!$H$4:$H$1187,Datos!$A$4:$A$1187,A49,Datos!$C$4:$C$1187,"Shift4")</f>
        <v/>
      </c>
      <c r="C49" s="9">
        <f>SUMIFS(Datos!$H$4:$H$1187,Datos!$A$4:$A$1187,A49,Datos!$C$4:$C$1187,"Nuvei")</f>
        <v/>
      </c>
      <c r="D49" s="9">
        <f>SUMIFS(Datos!$H$4:$H$1187,Datos!$A$4:$A$1187,A49,Datos!$C$4:$C$1187,"Adyen")</f>
        <v/>
      </c>
      <c r="E49" s="9">
        <f>SUMIFS(Datos!$H$4:$H$1187,Datos!$A$4:$A$1187,A49,Datos!$C$4:$C$1187,"Paysafe")</f>
        <v/>
      </c>
      <c r="F49" s="16">
        <f>SUM(B49:E49)</f>
        <v/>
      </c>
    </row>
    <row r="50">
      <c r="A50" s="13" t="n">
        <v>45968</v>
      </c>
      <c r="B50" s="14">
        <f>SUMIFS(Datos!$H$4:$H$1187,Datos!$A$4:$A$1187,A50,Datos!$C$4:$C$1187,"Shift4")</f>
        <v/>
      </c>
      <c r="C50" s="14">
        <f>SUMIFS(Datos!$H$4:$H$1187,Datos!$A$4:$A$1187,A50,Datos!$C$4:$C$1187,"Nuvei")</f>
        <v/>
      </c>
      <c r="D50" s="14">
        <f>SUMIFS(Datos!$H$4:$H$1187,Datos!$A$4:$A$1187,A50,Datos!$C$4:$C$1187,"Adyen")</f>
        <v/>
      </c>
      <c r="E50" s="14">
        <f>SUMIFS(Datos!$H$4:$H$1187,Datos!$A$4:$A$1187,A50,Datos!$C$4:$C$1187,"Paysafe")</f>
        <v/>
      </c>
      <c r="F50" s="15">
        <f>SUM(B50:E50)</f>
        <v/>
      </c>
    </row>
    <row r="51">
      <c r="A51" s="8" t="n">
        <v>45969</v>
      </c>
      <c r="B51" s="9">
        <f>SUMIFS(Datos!$H$4:$H$1187,Datos!$A$4:$A$1187,A51,Datos!$C$4:$C$1187,"Shift4")</f>
        <v/>
      </c>
      <c r="C51" s="9">
        <f>SUMIFS(Datos!$H$4:$H$1187,Datos!$A$4:$A$1187,A51,Datos!$C$4:$C$1187,"Nuvei")</f>
        <v/>
      </c>
      <c r="D51" s="9">
        <f>SUMIFS(Datos!$H$4:$H$1187,Datos!$A$4:$A$1187,A51,Datos!$C$4:$C$1187,"Adyen")</f>
        <v/>
      </c>
      <c r="E51" s="9">
        <f>SUMIFS(Datos!$H$4:$H$1187,Datos!$A$4:$A$1187,A51,Datos!$C$4:$C$1187,"Paysafe")</f>
        <v/>
      </c>
      <c r="F51" s="16">
        <f>SUM(B51:E51)</f>
        <v/>
      </c>
    </row>
    <row r="52">
      <c r="A52" s="13" t="n">
        <v>45970</v>
      </c>
      <c r="B52" s="14">
        <f>SUMIFS(Datos!$H$4:$H$1187,Datos!$A$4:$A$1187,A52,Datos!$C$4:$C$1187,"Shift4")</f>
        <v/>
      </c>
      <c r="C52" s="14">
        <f>SUMIFS(Datos!$H$4:$H$1187,Datos!$A$4:$A$1187,A52,Datos!$C$4:$C$1187,"Nuvei")</f>
        <v/>
      </c>
      <c r="D52" s="14">
        <f>SUMIFS(Datos!$H$4:$H$1187,Datos!$A$4:$A$1187,A52,Datos!$C$4:$C$1187,"Adyen")</f>
        <v/>
      </c>
      <c r="E52" s="14">
        <f>SUMIFS(Datos!$H$4:$H$1187,Datos!$A$4:$A$1187,A52,Datos!$C$4:$C$1187,"Paysafe")</f>
        <v/>
      </c>
      <c r="F52" s="15">
        <f>SUM(B52:E52)</f>
        <v/>
      </c>
    </row>
    <row r="53">
      <c r="A53" s="8" t="n">
        <v>45971</v>
      </c>
      <c r="B53" s="9">
        <f>SUMIFS(Datos!$H$4:$H$1187,Datos!$A$4:$A$1187,A53,Datos!$C$4:$C$1187,"Shift4")</f>
        <v/>
      </c>
      <c r="C53" s="9">
        <f>SUMIFS(Datos!$H$4:$H$1187,Datos!$A$4:$A$1187,A53,Datos!$C$4:$C$1187,"Nuvei")</f>
        <v/>
      </c>
      <c r="D53" s="9">
        <f>SUMIFS(Datos!$H$4:$H$1187,Datos!$A$4:$A$1187,A53,Datos!$C$4:$C$1187,"Adyen")</f>
        <v/>
      </c>
      <c r="E53" s="9">
        <f>SUMIFS(Datos!$H$4:$H$1187,Datos!$A$4:$A$1187,A53,Datos!$C$4:$C$1187,"Paysafe")</f>
        <v/>
      </c>
      <c r="F53" s="16">
        <f>SUM(B53:E53)</f>
        <v/>
      </c>
    </row>
    <row r="54">
      <c r="A54" s="13" t="n">
        <v>45972</v>
      </c>
      <c r="B54" s="14">
        <f>SUMIFS(Datos!$H$4:$H$1187,Datos!$A$4:$A$1187,A54,Datos!$C$4:$C$1187,"Shift4")</f>
        <v/>
      </c>
      <c r="C54" s="14">
        <f>SUMIFS(Datos!$H$4:$H$1187,Datos!$A$4:$A$1187,A54,Datos!$C$4:$C$1187,"Nuvei")</f>
        <v/>
      </c>
      <c r="D54" s="14">
        <f>SUMIFS(Datos!$H$4:$H$1187,Datos!$A$4:$A$1187,A54,Datos!$C$4:$C$1187,"Adyen")</f>
        <v/>
      </c>
      <c r="E54" s="14">
        <f>SUMIFS(Datos!$H$4:$H$1187,Datos!$A$4:$A$1187,A54,Datos!$C$4:$C$1187,"Paysafe")</f>
        <v/>
      </c>
      <c r="F54" s="15">
        <f>SUM(B54:E54)</f>
        <v/>
      </c>
    </row>
    <row r="55">
      <c r="A55" s="8" t="n">
        <v>45973</v>
      </c>
      <c r="B55" s="9">
        <f>SUMIFS(Datos!$H$4:$H$1187,Datos!$A$4:$A$1187,A55,Datos!$C$4:$C$1187,"Shift4")</f>
        <v/>
      </c>
      <c r="C55" s="9">
        <f>SUMIFS(Datos!$H$4:$H$1187,Datos!$A$4:$A$1187,A55,Datos!$C$4:$C$1187,"Nuvei")</f>
        <v/>
      </c>
      <c r="D55" s="9">
        <f>SUMIFS(Datos!$H$4:$H$1187,Datos!$A$4:$A$1187,A55,Datos!$C$4:$C$1187,"Adyen")</f>
        <v/>
      </c>
      <c r="E55" s="9">
        <f>SUMIFS(Datos!$H$4:$H$1187,Datos!$A$4:$A$1187,A55,Datos!$C$4:$C$1187,"Paysafe")</f>
        <v/>
      </c>
      <c r="F55" s="16">
        <f>SUM(B55:E55)</f>
        <v/>
      </c>
    </row>
    <row r="56">
      <c r="A56" s="13" t="n">
        <v>45974</v>
      </c>
      <c r="B56" s="14">
        <f>SUMIFS(Datos!$H$4:$H$1187,Datos!$A$4:$A$1187,A56,Datos!$C$4:$C$1187,"Shift4")</f>
        <v/>
      </c>
      <c r="C56" s="14">
        <f>SUMIFS(Datos!$H$4:$H$1187,Datos!$A$4:$A$1187,A56,Datos!$C$4:$C$1187,"Nuvei")</f>
        <v/>
      </c>
      <c r="D56" s="14">
        <f>SUMIFS(Datos!$H$4:$H$1187,Datos!$A$4:$A$1187,A56,Datos!$C$4:$C$1187,"Adyen")</f>
        <v/>
      </c>
      <c r="E56" s="14">
        <f>SUMIFS(Datos!$H$4:$H$1187,Datos!$A$4:$A$1187,A56,Datos!$C$4:$C$1187,"Paysafe")</f>
        <v/>
      </c>
      <c r="F56" s="15">
        <f>SUM(B56:E56)</f>
        <v/>
      </c>
    </row>
    <row r="57">
      <c r="A57" s="8" t="n">
        <v>45975</v>
      </c>
      <c r="B57" s="9">
        <f>SUMIFS(Datos!$H$4:$H$1187,Datos!$A$4:$A$1187,A57,Datos!$C$4:$C$1187,"Shift4")</f>
        <v/>
      </c>
      <c r="C57" s="9">
        <f>SUMIFS(Datos!$H$4:$H$1187,Datos!$A$4:$A$1187,A57,Datos!$C$4:$C$1187,"Nuvei")</f>
        <v/>
      </c>
      <c r="D57" s="9">
        <f>SUMIFS(Datos!$H$4:$H$1187,Datos!$A$4:$A$1187,A57,Datos!$C$4:$C$1187,"Adyen")</f>
        <v/>
      </c>
      <c r="E57" s="9">
        <f>SUMIFS(Datos!$H$4:$H$1187,Datos!$A$4:$A$1187,A57,Datos!$C$4:$C$1187,"Paysafe")</f>
        <v/>
      </c>
      <c r="F57" s="16">
        <f>SUM(B57:E57)</f>
        <v/>
      </c>
    </row>
    <row r="58">
      <c r="A58" s="13" t="n">
        <v>45976</v>
      </c>
      <c r="B58" s="14">
        <f>SUMIFS(Datos!$H$4:$H$1187,Datos!$A$4:$A$1187,A58,Datos!$C$4:$C$1187,"Shift4")</f>
        <v/>
      </c>
      <c r="C58" s="14">
        <f>SUMIFS(Datos!$H$4:$H$1187,Datos!$A$4:$A$1187,A58,Datos!$C$4:$C$1187,"Nuvei")</f>
        <v/>
      </c>
      <c r="D58" s="14">
        <f>SUMIFS(Datos!$H$4:$H$1187,Datos!$A$4:$A$1187,A58,Datos!$C$4:$C$1187,"Adyen")</f>
        <v/>
      </c>
      <c r="E58" s="14">
        <f>SUMIFS(Datos!$H$4:$H$1187,Datos!$A$4:$A$1187,A58,Datos!$C$4:$C$1187,"Paysafe")</f>
        <v/>
      </c>
      <c r="F58" s="15">
        <f>SUM(B58:E58)</f>
        <v/>
      </c>
    </row>
    <row r="59">
      <c r="A59" s="8" t="n">
        <v>45977</v>
      </c>
      <c r="B59" s="9">
        <f>SUMIFS(Datos!$H$4:$H$1187,Datos!$A$4:$A$1187,A59,Datos!$C$4:$C$1187,"Shift4")</f>
        <v/>
      </c>
      <c r="C59" s="9">
        <f>SUMIFS(Datos!$H$4:$H$1187,Datos!$A$4:$A$1187,A59,Datos!$C$4:$C$1187,"Nuvei")</f>
        <v/>
      </c>
      <c r="D59" s="9">
        <f>SUMIFS(Datos!$H$4:$H$1187,Datos!$A$4:$A$1187,A59,Datos!$C$4:$C$1187,"Adyen")</f>
        <v/>
      </c>
      <c r="E59" s="9">
        <f>SUMIFS(Datos!$H$4:$H$1187,Datos!$A$4:$A$1187,A59,Datos!$C$4:$C$1187,"Paysafe")</f>
        <v/>
      </c>
      <c r="F59" s="16">
        <f>SUM(B59:E59)</f>
        <v/>
      </c>
    </row>
    <row r="60">
      <c r="A60" s="13" t="n">
        <v>45978</v>
      </c>
      <c r="B60" s="14">
        <f>SUMIFS(Datos!$H$4:$H$1187,Datos!$A$4:$A$1187,A60,Datos!$C$4:$C$1187,"Shift4")</f>
        <v/>
      </c>
      <c r="C60" s="14">
        <f>SUMIFS(Datos!$H$4:$H$1187,Datos!$A$4:$A$1187,A60,Datos!$C$4:$C$1187,"Nuvei")</f>
        <v/>
      </c>
      <c r="D60" s="14">
        <f>SUMIFS(Datos!$H$4:$H$1187,Datos!$A$4:$A$1187,A60,Datos!$C$4:$C$1187,"Adyen")</f>
        <v/>
      </c>
      <c r="E60" s="14">
        <f>SUMIFS(Datos!$H$4:$H$1187,Datos!$A$4:$A$1187,A60,Datos!$C$4:$C$1187,"Paysafe")</f>
        <v/>
      </c>
      <c r="F60" s="15">
        <f>SUM(B60:E60)</f>
        <v/>
      </c>
    </row>
    <row r="61">
      <c r="A61" s="8" t="n">
        <v>45979</v>
      </c>
      <c r="B61" s="9">
        <f>SUMIFS(Datos!$H$4:$H$1187,Datos!$A$4:$A$1187,A61,Datos!$C$4:$C$1187,"Shift4")</f>
        <v/>
      </c>
      <c r="C61" s="9">
        <f>SUMIFS(Datos!$H$4:$H$1187,Datos!$A$4:$A$1187,A61,Datos!$C$4:$C$1187,"Nuvei")</f>
        <v/>
      </c>
      <c r="D61" s="9">
        <f>SUMIFS(Datos!$H$4:$H$1187,Datos!$A$4:$A$1187,A61,Datos!$C$4:$C$1187,"Adyen")</f>
        <v/>
      </c>
      <c r="E61" s="9">
        <f>SUMIFS(Datos!$H$4:$H$1187,Datos!$A$4:$A$1187,A61,Datos!$C$4:$C$1187,"Paysafe")</f>
        <v/>
      </c>
      <c r="F61" s="16">
        <f>SUM(B61:E61)</f>
        <v/>
      </c>
    </row>
    <row r="62">
      <c r="A62" s="13" t="n">
        <v>45980</v>
      </c>
      <c r="B62" s="14">
        <f>SUMIFS(Datos!$H$4:$H$1187,Datos!$A$4:$A$1187,A62,Datos!$C$4:$C$1187,"Shift4")</f>
        <v/>
      </c>
      <c r="C62" s="14">
        <f>SUMIFS(Datos!$H$4:$H$1187,Datos!$A$4:$A$1187,A62,Datos!$C$4:$C$1187,"Nuvei")</f>
        <v/>
      </c>
      <c r="D62" s="14">
        <f>SUMIFS(Datos!$H$4:$H$1187,Datos!$A$4:$A$1187,A62,Datos!$C$4:$C$1187,"Adyen")</f>
        <v/>
      </c>
      <c r="E62" s="14">
        <f>SUMIFS(Datos!$H$4:$H$1187,Datos!$A$4:$A$1187,A62,Datos!$C$4:$C$1187,"Paysafe")</f>
        <v/>
      </c>
      <c r="F62" s="15">
        <f>SUM(B62:E62)</f>
        <v/>
      </c>
    </row>
    <row r="63">
      <c r="A63" s="8" t="n">
        <v>45981</v>
      </c>
      <c r="B63" s="9">
        <f>SUMIFS(Datos!$H$4:$H$1187,Datos!$A$4:$A$1187,A63,Datos!$C$4:$C$1187,"Shift4")</f>
        <v/>
      </c>
      <c r="C63" s="9">
        <f>SUMIFS(Datos!$H$4:$H$1187,Datos!$A$4:$A$1187,A63,Datos!$C$4:$C$1187,"Nuvei")</f>
        <v/>
      </c>
      <c r="D63" s="9">
        <f>SUMIFS(Datos!$H$4:$H$1187,Datos!$A$4:$A$1187,A63,Datos!$C$4:$C$1187,"Adyen")</f>
        <v/>
      </c>
      <c r="E63" s="9">
        <f>SUMIFS(Datos!$H$4:$H$1187,Datos!$A$4:$A$1187,A63,Datos!$C$4:$C$1187,"Paysafe")</f>
        <v/>
      </c>
      <c r="F63" s="16">
        <f>SUM(B63:E63)</f>
        <v/>
      </c>
    </row>
    <row r="64">
      <c r="A64" s="13" t="n">
        <v>45982</v>
      </c>
      <c r="B64" s="14">
        <f>SUMIFS(Datos!$H$4:$H$1187,Datos!$A$4:$A$1187,A64,Datos!$C$4:$C$1187,"Shift4")</f>
        <v/>
      </c>
      <c r="C64" s="14">
        <f>SUMIFS(Datos!$H$4:$H$1187,Datos!$A$4:$A$1187,A64,Datos!$C$4:$C$1187,"Nuvei")</f>
        <v/>
      </c>
      <c r="D64" s="14">
        <f>SUMIFS(Datos!$H$4:$H$1187,Datos!$A$4:$A$1187,A64,Datos!$C$4:$C$1187,"Adyen")</f>
        <v/>
      </c>
      <c r="E64" s="14">
        <f>SUMIFS(Datos!$H$4:$H$1187,Datos!$A$4:$A$1187,A64,Datos!$C$4:$C$1187,"Paysafe")</f>
        <v/>
      </c>
      <c r="F64" s="15">
        <f>SUM(B64:E64)</f>
        <v/>
      </c>
    </row>
    <row r="65">
      <c r="A65" s="8" t="n">
        <v>45983</v>
      </c>
      <c r="B65" s="9">
        <f>SUMIFS(Datos!$H$4:$H$1187,Datos!$A$4:$A$1187,A65,Datos!$C$4:$C$1187,"Shift4")</f>
        <v/>
      </c>
      <c r="C65" s="9">
        <f>SUMIFS(Datos!$H$4:$H$1187,Datos!$A$4:$A$1187,A65,Datos!$C$4:$C$1187,"Nuvei")</f>
        <v/>
      </c>
      <c r="D65" s="9">
        <f>SUMIFS(Datos!$H$4:$H$1187,Datos!$A$4:$A$1187,A65,Datos!$C$4:$C$1187,"Adyen")</f>
        <v/>
      </c>
      <c r="E65" s="9">
        <f>SUMIFS(Datos!$H$4:$H$1187,Datos!$A$4:$A$1187,A65,Datos!$C$4:$C$1187,"Paysafe")</f>
        <v/>
      </c>
      <c r="F65" s="16">
        <f>SUM(B65:E65)</f>
        <v/>
      </c>
    </row>
    <row r="66">
      <c r="A66" s="13" t="n">
        <v>45984</v>
      </c>
      <c r="B66" s="14">
        <f>SUMIFS(Datos!$H$4:$H$1187,Datos!$A$4:$A$1187,A66,Datos!$C$4:$C$1187,"Shift4")</f>
        <v/>
      </c>
      <c r="C66" s="14">
        <f>SUMIFS(Datos!$H$4:$H$1187,Datos!$A$4:$A$1187,A66,Datos!$C$4:$C$1187,"Nuvei")</f>
        <v/>
      </c>
      <c r="D66" s="14">
        <f>SUMIFS(Datos!$H$4:$H$1187,Datos!$A$4:$A$1187,A66,Datos!$C$4:$C$1187,"Adyen")</f>
        <v/>
      </c>
      <c r="E66" s="14">
        <f>SUMIFS(Datos!$H$4:$H$1187,Datos!$A$4:$A$1187,A66,Datos!$C$4:$C$1187,"Paysafe")</f>
        <v/>
      </c>
      <c r="F66" s="15">
        <f>SUM(B66:E66)</f>
        <v/>
      </c>
    </row>
    <row r="67">
      <c r="A67" s="8" t="n">
        <v>45985</v>
      </c>
      <c r="B67" s="9">
        <f>SUMIFS(Datos!$H$4:$H$1187,Datos!$A$4:$A$1187,A67,Datos!$C$4:$C$1187,"Shift4")</f>
        <v/>
      </c>
      <c r="C67" s="9">
        <f>SUMIFS(Datos!$H$4:$H$1187,Datos!$A$4:$A$1187,A67,Datos!$C$4:$C$1187,"Nuvei")</f>
        <v/>
      </c>
      <c r="D67" s="9">
        <f>SUMIFS(Datos!$H$4:$H$1187,Datos!$A$4:$A$1187,A67,Datos!$C$4:$C$1187,"Adyen")</f>
        <v/>
      </c>
      <c r="E67" s="9">
        <f>SUMIFS(Datos!$H$4:$H$1187,Datos!$A$4:$A$1187,A67,Datos!$C$4:$C$1187,"Paysafe")</f>
        <v/>
      </c>
      <c r="F67" s="16">
        <f>SUM(B67:E67)</f>
        <v/>
      </c>
    </row>
    <row r="68">
      <c r="A68" s="13" t="n">
        <v>45986</v>
      </c>
      <c r="B68" s="14">
        <f>SUMIFS(Datos!$H$4:$H$1187,Datos!$A$4:$A$1187,A68,Datos!$C$4:$C$1187,"Shift4")</f>
        <v/>
      </c>
      <c r="C68" s="14">
        <f>SUMIFS(Datos!$H$4:$H$1187,Datos!$A$4:$A$1187,A68,Datos!$C$4:$C$1187,"Nuvei")</f>
        <v/>
      </c>
      <c r="D68" s="14">
        <f>SUMIFS(Datos!$H$4:$H$1187,Datos!$A$4:$A$1187,A68,Datos!$C$4:$C$1187,"Adyen")</f>
        <v/>
      </c>
      <c r="E68" s="14">
        <f>SUMIFS(Datos!$H$4:$H$1187,Datos!$A$4:$A$1187,A68,Datos!$C$4:$C$1187,"Paysafe")</f>
        <v/>
      </c>
      <c r="F68" s="15">
        <f>SUM(B68:E68)</f>
        <v/>
      </c>
    </row>
    <row r="69">
      <c r="A69" s="8" t="n">
        <v>45987</v>
      </c>
      <c r="B69" s="9">
        <f>SUMIFS(Datos!$H$4:$H$1187,Datos!$A$4:$A$1187,A69,Datos!$C$4:$C$1187,"Shift4")</f>
        <v/>
      </c>
      <c r="C69" s="9">
        <f>SUMIFS(Datos!$H$4:$H$1187,Datos!$A$4:$A$1187,A69,Datos!$C$4:$C$1187,"Nuvei")</f>
        <v/>
      </c>
      <c r="D69" s="9">
        <f>SUMIFS(Datos!$H$4:$H$1187,Datos!$A$4:$A$1187,A69,Datos!$C$4:$C$1187,"Adyen")</f>
        <v/>
      </c>
      <c r="E69" s="9">
        <f>SUMIFS(Datos!$H$4:$H$1187,Datos!$A$4:$A$1187,A69,Datos!$C$4:$C$1187,"Paysafe")</f>
        <v/>
      </c>
      <c r="F69" s="16">
        <f>SUM(B69:E69)</f>
        <v/>
      </c>
    </row>
    <row r="70">
      <c r="A70" s="13" t="n">
        <v>45988</v>
      </c>
      <c r="B70" s="14">
        <f>SUMIFS(Datos!$H$4:$H$1187,Datos!$A$4:$A$1187,A70,Datos!$C$4:$C$1187,"Shift4")</f>
        <v/>
      </c>
      <c r="C70" s="14">
        <f>SUMIFS(Datos!$H$4:$H$1187,Datos!$A$4:$A$1187,A70,Datos!$C$4:$C$1187,"Nuvei")</f>
        <v/>
      </c>
      <c r="D70" s="14">
        <f>SUMIFS(Datos!$H$4:$H$1187,Datos!$A$4:$A$1187,A70,Datos!$C$4:$C$1187,"Adyen")</f>
        <v/>
      </c>
      <c r="E70" s="14">
        <f>SUMIFS(Datos!$H$4:$H$1187,Datos!$A$4:$A$1187,A70,Datos!$C$4:$C$1187,"Paysafe")</f>
        <v/>
      </c>
      <c r="F70" s="15">
        <f>SUM(B70:E70)</f>
        <v/>
      </c>
    </row>
    <row r="71">
      <c r="A71" s="8" t="n">
        <v>45989</v>
      </c>
      <c r="B71" s="9">
        <f>SUMIFS(Datos!$H$4:$H$1187,Datos!$A$4:$A$1187,A71,Datos!$C$4:$C$1187,"Shift4")</f>
        <v/>
      </c>
      <c r="C71" s="9">
        <f>SUMIFS(Datos!$H$4:$H$1187,Datos!$A$4:$A$1187,A71,Datos!$C$4:$C$1187,"Nuvei")</f>
        <v/>
      </c>
      <c r="D71" s="9">
        <f>SUMIFS(Datos!$H$4:$H$1187,Datos!$A$4:$A$1187,A71,Datos!$C$4:$C$1187,"Adyen")</f>
        <v/>
      </c>
      <c r="E71" s="9">
        <f>SUMIFS(Datos!$H$4:$H$1187,Datos!$A$4:$A$1187,A71,Datos!$C$4:$C$1187,"Paysafe")</f>
        <v/>
      </c>
      <c r="F71" s="16">
        <f>SUM(B71:E71)</f>
        <v/>
      </c>
    </row>
    <row r="72">
      <c r="A72" s="13" t="n">
        <v>45990</v>
      </c>
      <c r="B72" s="14">
        <f>SUMIFS(Datos!$H$4:$H$1187,Datos!$A$4:$A$1187,A72,Datos!$C$4:$C$1187,"Shift4")</f>
        <v/>
      </c>
      <c r="C72" s="14">
        <f>SUMIFS(Datos!$H$4:$H$1187,Datos!$A$4:$A$1187,A72,Datos!$C$4:$C$1187,"Nuvei")</f>
        <v/>
      </c>
      <c r="D72" s="14">
        <f>SUMIFS(Datos!$H$4:$H$1187,Datos!$A$4:$A$1187,A72,Datos!$C$4:$C$1187,"Adyen")</f>
        <v/>
      </c>
      <c r="E72" s="14">
        <f>SUMIFS(Datos!$H$4:$H$1187,Datos!$A$4:$A$1187,A72,Datos!$C$4:$C$1187,"Paysafe")</f>
        <v/>
      </c>
      <c r="F72" s="15">
        <f>SUM(B72:E72)</f>
        <v/>
      </c>
    </row>
    <row r="73">
      <c r="A73" s="8" t="n">
        <v>45991</v>
      </c>
      <c r="B73" s="9">
        <f>SUMIFS(Datos!$H$4:$H$1187,Datos!$A$4:$A$1187,A73,Datos!$C$4:$C$1187,"Shift4")</f>
        <v/>
      </c>
      <c r="C73" s="9">
        <f>SUMIFS(Datos!$H$4:$H$1187,Datos!$A$4:$A$1187,A73,Datos!$C$4:$C$1187,"Nuvei")</f>
        <v/>
      </c>
      <c r="D73" s="9">
        <f>SUMIFS(Datos!$H$4:$H$1187,Datos!$A$4:$A$1187,A73,Datos!$C$4:$C$1187,"Adyen")</f>
        <v/>
      </c>
      <c r="E73" s="9">
        <f>SUMIFS(Datos!$H$4:$H$1187,Datos!$A$4:$A$1187,A73,Datos!$C$4:$C$1187,"Paysafe")</f>
        <v/>
      </c>
      <c r="F73" s="16">
        <f>SUM(B73:E73)</f>
        <v/>
      </c>
    </row>
    <row r="74">
      <c r="A74" s="13" t="n">
        <v>45992</v>
      </c>
      <c r="B74" s="14">
        <f>SUMIFS(Datos!$H$4:$H$1187,Datos!$A$4:$A$1187,A74,Datos!$C$4:$C$1187,"Shift4")</f>
        <v/>
      </c>
      <c r="C74" s="14">
        <f>SUMIFS(Datos!$H$4:$H$1187,Datos!$A$4:$A$1187,A74,Datos!$C$4:$C$1187,"Nuvei")</f>
        <v/>
      </c>
      <c r="D74" s="14">
        <f>SUMIFS(Datos!$H$4:$H$1187,Datos!$A$4:$A$1187,A74,Datos!$C$4:$C$1187,"Adyen")</f>
        <v/>
      </c>
      <c r="E74" s="14">
        <f>SUMIFS(Datos!$H$4:$H$1187,Datos!$A$4:$A$1187,A74,Datos!$C$4:$C$1187,"Paysafe")</f>
        <v/>
      </c>
      <c r="F74" s="15">
        <f>SUM(B74:E74)</f>
        <v/>
      </c>
    </row>
    <row r="75">
      <c r="A75" s="8" t="n">
        <v>45993</v>
      </c>
      <c r="B75" s="9">
        <f>SUMIFS(Datos!$H$4:$H$1187,Datos!$A$4:$A$1187,A75,Datos!$C$4:$C$1187,"Shift4")</f>
        <v/>
      </c>
      <c r="C75" s="9">
        <f>SUMIFS(Datos!$H$4:$H$1187,Datos!$A$4:$A$1187,A75,Datos!$C$4:$C$1187,"Nuvei")</f>
        <v/>
      </c>
      <c r="D75" s="9">
        <f>SUMIFS(Datos!$H$4:$H$1187,Datos!$A$4:$A$1187,A75,Datos!$C$4:$C$1187,"Adyen")</f>
        <v/>
      </c>
      <c r="E75" s="9">
        <f>SUMIFS(Datos!$H$4:$H$1187,Datos!$A$4:$A$1187,A75,Datos!$C$4:$C$1187,"Paysafe")</f>
        <v/>
      </c>
      <c r="F75" s="16">
        <f>SUM(B75:E75)</f>
        <v/>
      </c>
    </row>
    <row r="76">
      <c r="A76" s="13" t="n">
        <v>45994</v>
      </c>
      <c r="B76" s="14">
        <f>SUMIFS(Datos!$H$4:$H$1187,Datos!$A$4:$A$1187,A76,Datos!$C$4:$C$1187,"Shift4")</f>
        <v/>
      </c>
      <c r="C76" s="14">
        <f>SUMIFS(Datos!$H$4:$H$1187,Datos!$A$4:$A$1187,A76,Datos!$C$4:$C$1187,"Nuvei")</f>
        <v/>
      </c>
      <c r="D76" s="14">
        <f>SUMIFS(Datos!$H$4:$H$1187,Datos!$A$4:$A$1187,A76,Datos!$C$4:$C$1187,"Adyen")</f>
        <v/>
      </c>
      <c r="E76" s="14">
        <f>SUMIFS(Datos!$H$4:$H$1187,Datos!$A$4:$A$1187,A76,Datos!$C$4:$C$1187,"Paysafe")</f>
        <v/>
      </c>
      <c r="F76" s="15">
        <f>SUM(B76:E76)</f>
        <v/>
      </c>
    </row>
    <row r="77">
      <c r="A77" s="8" t="n">
        <v>45995</v>
      </c>
      <c r="B77" s="9">
        <f>SUMIFS(Datos!$H$4:$H$1187,Datos!$A$4:$A$1187,A77,Datos!$C$4:$C$1187,"Shift4")</f>
        <v/>
      </c>
      <c r="C77" s="9">
        <f>SUMIFS(Datos!$H$4:$H$1187,Datos!$A$4:$A$1187,A77,Datos!$C$4:$C$1187,"Nuvei")</f>
        <v/>
      </c>
      <c r="D77" s="9">
        <f>SUMIFS(Datos!$H$4:$H$1187,Datos!$A$4:$A$1187,A77,Datos!$C$4:$C$1187,"Adyen")</f>
        <v/>
      </c>
      <c r="E77" s="9">
        <f>SUMIFS(Datos!$H$4:$H$1187,Datos!$A$4:$A$1187,A77,Datos!$C$4:$C$1187,"Paysafe")</f>
        <v/>
      </c>
      <c r="F77" s="16">
        <f>SUM(B77:E77)</f>
        <v/>
      </c>
    </row>
    <row r="78">
      <c r="A78" s="13" t="n">
        <v>45996</v>
      </c>
      <c r="B78" s="14">
        <f>SUMIFS(Datos!$H$4:$H$1187,Datos!$A$4:$A$1187,A78,Datos!$C$4:$C$1187,"Shift4")</f>
        <v/>
      </c>
      <c r="C78" s="14">
        <f>SUMIFS(Datos!$H$4:$H$1187,Datos!$A$4:$A$1187,A78,Datos!$C$4:$C$1187,"Nuvei")</f>
        <v/>
      </c>
      <c r="D78" s="14">
        <f>SUMIFS(Datos!$H$4:$H$1187,Datos!$A$4:$A$1187,A78,Datos!$C$4:$C$1187,"Adyen")</f>
        <v/>
      </c>
      <c r="E78" s="14">
        <f>SUMIFS(Datos!$H$4:$H$1187,Datos!$A$4:$A$1187,A78,Datos!$C$4:$C$1187,"Paysafe")</f>
        <v/>
      </c>
      <c r="F78" s="15">
        <f>SUM(B78:E78)</f>
        <v/>
      </c>
    </row>
    <row r="79">
      <c r="A79" s="8" t="n">
        <v>45997</v>
      </c>
      <c r="B79" s="9">
        <f>SUMIFS(Datos!$H$4:$H$1187,Datos!$A$4:$A$1187,A79,Datos!$C$4:$C$1187,"Shift4")</f>
        <v/>
      </c>
      <c r="C79" s="9">
        <f>SUMIFS(Datos!$H$4:$H$1187,Datos!$A$4:$A$1187,A79,Datos!$C$4:$C$1187,"Nuvei")</f>
        <v/>
      </c>
      <c r="D79" s="9">
        <f>SUMIFS(Datos!$H$4:$H$1187,Datos!$A$4:$A$1187,A79,Datos!$C$4:$C$1187,"Adyen")</f>
        <v/>
      </c>
      <c r="E79" s="9">
        <f>SUMIFS(Datos!$H$4:$H$1187,Datos!$A$4:$A$1187,A79,Datos!$C$4:$C$1187,"Paysafe")</f>
        <v/>
      </c>
      <c r="F79" s="16">
        <f>SUM(B79:E79)</f>
        <v/>
      </c>
    </row>
    <row r="80">
      <c r="A80" s="13" t="n">
        <v>45998</v>
      </c>
      <c r="B80" s="14">
        <f>SUMIFS(Datos!$H$4:$H$1187,Datos!$A$4:$A$1187,A80,Datos!$C$4:$C$1187,"Shift4")</f>
        <v/>
      </c>
      <c r="C80" s="14">
        <f>SUMIFS(Datos!$H$4:$H$1187,Datos!$A$4:$A$1187,A80,Datos!$C$4:$C$1187,"Nuvei")</f>
        <v/>
      </c>
      <c r="D80" s="14">
        <f>SUMIFS(Datos!$H$4:$H$1187,Datos!$A$4:$A$1187,A80,Datos!$C$4:$C$1187,"Adyen")</f>
        <v/>
      </c>
      <c r="E80" s="14">
        <f>SUMIFS(Datos!$H$4:$H$1187,Datos!$A$4:$A$1187,A80,Datos!$C$4:$C$1187,"Paysafe")</f>
        <v/>
      </c>
      <c r="F80" s="15">
        <f>SUM(B80:E80)</f>
        <v/>
      </c>
    </row>
    <row r="81">
      <c r="A81" s="8" t="n">
        <v>45999</v>
      </c>
      <c r="B81" s="9">
        <f>SUMIFS(Datos!$H$4:$H$1187,Datos!$A$4:$A$1187,A81,Datos!$C$4:$C$1187,"Shift4")</f>
        <v/>
      </c>
      <c r="C81" s="9">
        <f>SUMIFS(Datos!$H$4:$H$1187,Datos!$A$4:$A$1187,A81,Datos!$C$4:$C$1187,"Nuvei")</f>
        <v/>
      </c>
      <c r="D81" s="9">
        <f>SUMIFS(Datos!$H$4:$H$1187,Datos!$A$4:$A$1187,A81,Datos!$C$4:$C$1187,"Adyen")</f>
        <v/>
      </c>
      <c r="E81" s="9">
        <f>SUMIFS(Datos!$H$4:$H$1187,Datos!$A$4:$A$1187,A81,Datos!$C$4:$C$1187,"Paysafe")</f>
        <v/>
      </c>
      <c r="F81" s="16">
        <f>SUM(B81:E81)</f>
        <v/>
      </c>
    </row>
    <row r="82">
      <c r="A82" s="13" t="n">
        <v>46000</v>
      </c>
      <c r="B82" s="14">
        <f>SUMIFS(Datos!$H$4:$H$1187,Datos!$A$4:$A$1187,A82,Datos!$C$4:$C$1187,"Shift4")</f>
        <v/>
      </c>
      <c r="C82" s="14">
        <f>SUMIFS(Datos!$H$4:$H$1187,Datos!$A$4:$A$1187,A82,Datos!$C$4:$C$1187,"Nuvei")</f>
        <v/>
      </c>
      <c r="D82" s="14">
        <f>SUMIFS(Datos!$H$4:$H$1187,Datos!$A$4:$A$1187,A82,Datos!$C$4:$C$1187,"Adyen")</f>
        <v/>
      </c>
      <c r="E82" s="14">
        <f>SUMIFS(Datos!$H$4:$H$1187,Datos!$A$4:$A$1187,A82,Datos!$C$4:$C$1187,"Paysafe")</f>
        <v/>
      </c>
      <c r="F82" s="15">
        <f>SUM(B82:E82)</f>
        <v/>
      </c>
    </row>
    <row r="83">
      <c r="A83" s="8" t="n">
        <v>46001</v>
      </c>
      <c r="B83" s="9">
        <f>SUMIFS(Datos!$H$4:$H$1187,Datos!$A$4:$A$1187,A83,Datos!$C$4:$C$1187,"Shift4")</f>
        <v/>
      </c>
      <c r="C83" s="9">
        <f>SUMIFS(Datos!$H$4:$H$1187,Datos!$A$4:$A$1187,A83,Datos!$C$4:$C$1187,"Nuvei")</f>
        <v/>
      </c>
      <c r="D83" s="9">
        <f>SUMIFS(Datos!$H$4:$H$1187,Datos!$A$4:$A$1187,A83,Datos!$C$4:$C$1187,"Adyen")</f>
        <v/>
      </c>
      <c r="E83" s="9">
        <f>SUMIFS(Datos!$H$4:$H$1187,Datos!$A$4:$A$1187,A83,Datos!$C$4:$C$1187,"Paysafe")</f>
        <v/>
      </c>
      <c r="F83" s="16">
        <f>SUM(B83:E83)</f>
        <v/>
      </c>
    </row>
    <row r="84">
      <c r="A84" s="13" t="n">
        <v>46005</v>
      </c>
      <c r="B84" s="14">
        <f>SUMIFS(Datos!$H$4:$H$1187,Datos!$A$4:$A$1187,A84,Datos!$C$4:$C$1187,"Shift4")</f>
        <v/>
      </c>
      <c r="C84" s="14">
        <f>SUMIFS(Datos!$H$4:$H$1187,Datos!$A$4:$A$1187,A84,Datos!$C$4:$C$1187,"Nuvei")</f>
        <v/>
      </c>
      <c r="D84" s="14">
        <f>SUMIFS(Datos!$H$4:$H$1187,Datos!$A$4:$A$1187,A84,Datos!$C$4:$C$1187,"Adyen")</f>
        <v/>
      </c>
      <c r="E84" s="14">
        <f>SUMIFS(Datos!$H$4:$H$1187,Datos!$A$4:$A$1187,A84,Datos!$C$4:$C$1187,"Paysafe")</f>
        <v/>
      </c>
      <c r="F84" s="15">
        <f>SUM(B84:E84)</f>
        <v/>
      </c>
    </row>
    <row r="85">
      <c r="A85" s="8" t="n">
        <v>46006</v>
      </c>
      <c r="B85" s="9">
        <f>SUMIFS(Datos!$H$4:$H$1187,Datos!$A$4:$A$1187,A85,Datos!$C$4:$C$1187,"Shift4")</f>
        <v/>
      </c>
      <c r="C85" s="9">
        <f>SUMIFS(Datos!$H$4:$H$1187,Datos!$A$4:$A$1187,A85,Datos!$C$4:$C$1187,"Nuvei")</f>
        <v/>
      </c>
      <c r="D85" s="9">
        <f>SUMIFS(Datos!$H$4:$H$1187,Datos!$A$4:$A$1187,A85,Datos!$C$4:$C$1187,"Adyen")</f>
        <v/>
      </c>
      <c r="E85" s="9">
        <f>SUMIFS(Datos!$H$4:$H$1187,Datos!$A$4:$A$1187,A85,Datos!$C$4:$C$1187,"Paysafe")</f>
        <v/>
      </c>
      <c r="F85" s="16">
        <f>SUM(B85:E85)</f>
        <v/>
      </c>
    </row>
    <row r="86">
      <c r="A86" s="13" t="n">
        <v>46007</v>
      </c>
      <c r="B86" s="14">
        <f>SUMIFS(Datos!$H$4:$H$1187,Datos!$A$4:$A$1187,A86,Datos!$C$4:$C$1187,"Shift4")</f>
        <v/>
      </c>
      <c r="C86" s="14">
        <f>SUMIFS(Datos!$H$4:$H$1187,Datos!$A$4:$A$1187,A86,Datos!$C$4:$C$1187,"Nuvei")</f>
        <v/>
      </c>
      <c r="D86" s="14">
        <f>SUMIFS(Datos!$H$4:$H$1187,Datos!$A$4:$A$1187,A86,Datos!$C$4:$C$1187,"Adyen")</f>
        <v/>
      </c>
      <c r="E86" s="14">
        <f>SUMIFS(Datos!$H$4:$H$1187,Datos!$A$4:$A$1187,A86,Datos!$C$4:$C$1187,"Paysafe")</f>
        <v/>
      </c>
      <c r="F86" s="15">
        <f>SUM(B86:E86)</f>
        <v/>
      </c>
    </row>
    <row r="87">
      <c r="A87" s="8" t="n">
        <v>46008</v>
      </c>
      <c r="B87" s="9">
        <f>SUMIFS(Datos!$H$4:$H$1187,Datos!$A$4:$A$1187,A87,Datos!$C$4:$C$1187,"Shift4")</f>
        <v/>
      </c>
      <c r="C87" s="9">
        <f>SUMIFS(Datos!$H$4:$H$1187,Datos!$A$4:$A$1187,A87,Datos!$C$4:$C$1187,"Nuvei")</f>
        <v/>
      </c>
      <c r="D87" s="9">
        <f>SUMIFS(Datos!$H$4:$H$1187,Datos!$A$4:$A$1187,A87,Datos!$C$4:$C$1187,"Adyen")</f>
        <v/>
      </c>
      <c r="E87" s="9">
        <f>SUMIFS(Datos!$H$4:$H$1187,Datos!$A$4:$A$1187,A87,Datos!$C$4:$C$1187,"Paysafe")</f>
        <v/>
      </c>
      <c r="F87" s="16">
        <f>SUM(B87:E87)</f>
        <v/>
      </c>
    </row>
    <row r="88">
      <c r="A88" s="13" t="n">
        <v>46010</v>
      </c>
      <c r="B88" s="14">
        <f>SUMIFS(Datos!$H$4:$H$1187,Datos!$A$4:$A$1187,A88,Datos!$C$4:$C$1187,"Shift4")</f>
        <v/>
      </c>
      <c r="C88" s="14">
        <f>SUMIFS(Datos!$H$4:$H$1187,Datos!$A$4:$A$1187,A88,Datos!$C$4:$C$1187,"Nuvei")</f>
        <v/>
      </c>
      <c r="D88" s="14">
        <f>SUMIFS(Datos!$H$4:$H$1187,Datos!$A$4:$A$1187,A88,Datos!$C$4:$C$1187,"Adyen")</f>
        <v/>
      </c>
      <c r="E88" s="14">
        <f>SUMIFS(Datos!$H$4:$H$1187,Datos!$A$4:$A$1187,A88,Datos!$C$4:$C$1187,"Paysafe")</f>
        <v/>
      </c>
      <c r="F88" s="15">
        <f>SUM(B88:E88)</f>
        <v/>
      </c>
    </row>
    <row r="89">
      <c r="A89" s="8" t="n">
        <v>46011</v>
      </c>
      <c r="B89" s="9">
        <f>SUMIFS(Datos!$H$4:$H$1187,Datos!$A$4:$A$1187,A89,Datos!$C$4:$C$1187,"Shift4")</f>
        <v/>
      </c>
      <c r="C89" s="9">
        <f>SUMIFS(Datos!$H$4:$H$1187,Datos!$A$4:$A$1187,A89,Datos!$C$4:$C$1187,"Nuvei")</f>
        <v/>
      </c>
      <c r="D89" s="9">
        <f>SUMIFS(Datos!$H$4:$H$1187,Datos!$A$4:$A$1187,A89,Datos!$C$4:$C$1187,"Adyen")</f>
        <v/>
      </c>
      <c r="E89" s="9">
        <f>SUMIFS(Datos!$H$4:$H$1187,Datos!$A$4:$A$1187,A89,Datos!$C$4:$C$1187,"Paysafe")</f>
        <v/>
      </c>
      <c r="F89" s="16">
        <f>SUM(B89:E89)</f>
        <v/>
      </c>
    </row>
    <row r="90">
      <c r="A90" s="13" t="n">
        <v>46012</v>
      </c>
      <c r="B90" s="14">
        <f>SUMIFS(Datos!$H$4:$H$1187,Datos!$A$4:$A$1187,A90,Datos!$C$4:$C$1187,"Shift4")</f>
        <v/>
      </c>
      <c r="C90" s="14">
        <f>SUMIFS(Datos!$H$4:$H$1187,Datos!$A$4:$A$1187,A90,Datos!$C$4:$C$1187,"Nuvei")</f>
        <v/>
      </c>
      <c r="D90" s="14">
        <f>SUMIFS(Datos!$H$4:$H$1187,Datos!$A$4:$A$1187,A90,Datos!$C$4:$C$1187,"Adyen")</f>
        <v/>
      </c>
      <c r="E90" s="14">
        <f>SUMIFS(Datos!$H$4:$H$1187,Datos!$A$4:$A$1187,A90,Datos!$C$4:$C$1187,"Paysafe")</f>
        <v/>
      </c>
      <c r="F90" s="15">
        <f>SUM(B90:E90)</f>
        <v/>
      </c>
    </row>
    <row r="91">
      <c r="A91" s="8" t="n">
        <v>46013</v>
      </c>
      <c r="B91" s="9">
        <f>SUMIFS(Datos!$H$4:$H$1187,Datos!$A$4:$A$1187,A91,Datos!$C$4:$C$1187,"Shift4")</f>
        <v/>
      </c>
      <c r="C91" s="9">
        <f>SUMIFS(Datos!$H$4:$H$1187,Datos!$A$4:$A$1187,A91,Datos!$C$4:$C$1187,"Nuvei")</f>
        <v/>
      </c>
      <c r="D91" s="9">
        <f>SUMIFS(Datos!$H$4:$H$1187,Datos!$A$4:$A$1187,A91,Datos!$C$4:$C$1187,"Adyen")</f>
        <v/>
      </c>
      <c r="E91" s="9">
        <f>SUMIFS(Datos!$H$4:$H$1187,Datos!$A$4:$A$1187,A91,Datos!$C$4:$C$1187,"Paysafe")</f>
        <v/>
      </c>
      <c r="F91" s="16">
        <f>SUM(B91:E91)</f>
        <v/>
      </c>
    </row>
    <row r="92">
      <c r="A92" s="13" t="n">
        <v>46014</v>
      </c>
      <c r="B92" s="14">
        <f>SUMIFS(Datos!$H$4:$H$1187,Datos!$A$4:$A$1187,A92,Datos!$C$4:$C$1187,"Shift4")</f>
        <v/>
      </c>
      <c r="C92" s="14">
        <f>SUMIFS(Datos!$H$4:$H$1187,Datos!$A$4:$A$1187,A92,Datos!$C$4:$C$1187,"Nuvei")</f>
        <v/>
      </c>
      <c r="D92" s="14">
        <f>SUMIFS(Datos!$H$4:$H$1187,Datos!$A$4:$A$1187,A92,Datos!$C$4:$C$1187,"Adyen")</f>
        <v/>
      </c>
      <c r="E92" s="14">
        <f>SUMIFS(Datos!$H$4:$H$1187,Datos!$A$4:$A$1187,A92,Datos!$C$4:$C$1187,"Paysafe")</f>
        <v/>
      </c>
      <c r="F92" s="15">
        <f>SUM(B92:E92)</f>
        <v/>
      </c>
    </row>
    <row r="93">
      <c r="A93" s="8" t="n">
        <v>46015</v>
      </c>
      <c r="B93" s="9">
        <f>SUMIFS(Datos!$H$4:$H$1187,Datos!$A$4:$A$1187,A93,Datos!$C$4:$C$1187,"Shift4")</f>
        <v/>
      </c>
      <c r="C93" s="9">
        <f>SUMIFS(Datos!$H$4:$H$1187,Datos!$A$4:$A$1187,A93,Datos!$C$4:$C$1187,"Nuvei")</f>
        <v/>
      </c>
      <c r="D93" s="9">
        <f>SUMIFS(Datos!$H$4:$H$1187,Datos!$A$4:$A$1187,A93,Datos!$C$4:$C$1187,"Adyen")</f>
        <v/>
      </c>
      <c r="E93" s="9">
        <f>SUMIFS(Datos!$H$4:$H$1187,Datos!$A$4:$A$1187,A93,Datos!$C$4:$C$1187,"Paysafe")</f>
        <v/>
      </c>
      <c r="F93" s="16">
        <f>SUM(B93:E93)</f>
        <v/>
      </c>
    </row>
    <row r="94">
      <c r="A94" s="13" t="n">
        <v>46019</v>
      </c>
      <c r="B94" s="14">
        <f>SUMIFS(Datos!$H$4:$H$1187,Datos!$A$4:$A$1187,A94,Datos!$C$4:$C$1187,"Shift4")</f>
        <v/>
      </c>
      <c r="C94" s="14">
        <f>SUMIFS(Datos!$H$4:$H$1187,Datos!$A$4:$A$1187,A94,Datos!$C$4:$C$1187,"Nuvei")</f>
        <v/>
      </c>
      <c r="D94" s="14">
        <f>SUMIFS(Datos!$H$4:$H$1187,Datos!$A$4:$A$1187,A94,Datos!$C$4:$C$1187,"Adyen")</f>
        <v/>
      </c>
      <c r="E94" s="14">
        <f>SUMIFS(Datos!$H$4:$H$1187,Datos!$A$4:$A$1187,A94,Datos!$C$4:$C$1187,"Paysafe")</f>
        <v/>
      </c>
      <c r="F94" s="15">
        <f>SUM(B94:E94)</f>
        <v/>
      </c>
    </row>
    <row r="95">
      <c r="A95" s="8" t="n">
        <v>46020</v>
      </c>
      <c r="B95" s="9">
        <f>SUMIFS(Datos!$H$4:$H$1187,Datos!$A$4:$A$1187,A95,Datos!$C$4:$C$1187,"Shift4")</f>
        <v/>
      </c>
      <c r="C95" s="9">
        <f>SUMIFS(Datos!$H$4:$H$1187,Datos!$A$4:$A$1187,A95,Datos!$C$4:$C$1187,"Nuvei")</f>
        <v/>
      </c>
      <c r="D95" s="9">
        <f>SUMIFS(Datos!$H$4:$H$1187,Datos!$A$4:$A$1187,A95,Datos!$C$4:$C$1187,"Adyen")</f>
        <v/>
      </c>
      <c r="E95" s="9">
        <f>SUMIFS(Datos!$H$4:$H$1187,Datos!$A$4:$A$1187,A95,Datos!$C$4:$C$1187,"Paysafe")</f>
        <v/>
      </c>
      <c r="F95" s="16">
        <f>SUM(B95:E95)</f>
        <v/>
      </c>
    </row>
    <row r="96">
      <c r="A96" s="13" t="n">
        <v>46021</v>
      </c>
      <c r="B96" s="14">
        <f>SUMIFS(Datos!$H$4:$H$1187,Datos!$A$4:$A$1187,A96,Datos!$C$4:$C$1187,"Shift4")</f>
        <v/>
      </c>
      <c r="C96" s="14">
        <f>SUMIFS(Datos!$H$4:$H$1187,Datos!$A$4:$A$1187,A96,Datos!$C$4:$C$1187,"Nuvei")</f>
        <v/>
      </c>
      <c r="D96" s="14">
        <f>SUMIFS(Datos!$H$4:$H$1187,Datos!$A$4:$A$1187,A96,Datos!$C$4:$C$1187,"Adyen")</f>
        <v/>
      </c>
      <c r="E96" s="14">
        <f>SUMIFS(Datos!$H$4:$H$1187,Datos!$A$4:$A$1187,A96,Datos!$C$4:$C$1187,"Paysafe")</f>
        <v/>
      </c>
      <c r="F96" s="15">
        <f>SUM(B96:E96)</f>
        <v/>
      </c>
    </row>
    <row r="97">
      <c r="A97" s="8" t="n">
        <v>46022</v>
      </c>
      <c r="B97" s="9">
        <f>SUMIFS(Datos!$H$4:$H$1187,Datos!$A$4:$A$1187,A97,Datos!$C$4:$C$1187,"Shift4")</f>
        <v/>
      </c>
      <c r="C97" s="9">
        <f>SUMIFS(Datos!$H$4:$H$1187,Datos!$A$4:$A$1187,A97,Datos!$C$4:$C$1187,"Nuvei")</f>
        <v/>
      </c>
      <c r="D97" s="9">
        <f>SUMIFS(Datos!$H$4:$H$1187,Datos!$A$4:$A$1187,A97,Datos!$C$4:$C$1187,"Adyen")</f>
        <v/>
      </c>
      <c r="E97" s="9">
        <f>SUMIFS(Datos!$H$4:$H$1187,Datos!$A$4:$A$1187,A97,Datos!$C$4:$C$1187,"Paysafe")</f>
        <v/>
      </c>
      <c r="F97" s="16">
        <f>SUM(B97:E97)</f>
        <v/>
      </c>
    </row>
    <row r="98">
      <c r="A98" s="13" t="n">
        <v>46023</v>
      </c>
      <c r="B98" s="14">
        <f>SUMIFS(Datos!$H$4:$H$1187,Datos!$A$4:$A$1187,A98,Datos!$C$4:$C$1187,"Shift4")</f>
        <v/>
      </c>
      <c r="C98" s="14">
        <f>SUMIFS(Datos!$H$4:$H$1187,Datos!$A$4:$A$1187,A98,Datos!$C$4:$C$1187,"Nuvei")</f>
        <v/>
      </c>
      <c r="D98" s="14">
        <f>SUMIFS(Datos!$H$4:$H$1187,Datos!$A$4:$A$1187,A98,Datos!$C$4:$C$1187,"Adyen")</f>
        <v/>
      </c>
      <c r="E98" s="14">
        <f>SUMIFS(Datos!$H$4:$H$1187,Datos!$A$4:$A$1187,A98,Datos!$C$4:$C$1187,"Paysafe")</f>
        <v/>
      </c>
      <c r="F98" s="15">
        <f>SUM(B98:E98)</f>
        <v/>
      </c>
    </row>
    <row r="99">
      <c r="A99" s="8" t="n">
        <v>46024</v>
      </c>
      <c r="B99" s="9">
        <f>SUMIFS(Datos!$H$4:$H$1187,Datos!$A$4:$A$1187,A99,Datos!$C$4:$C$1187,"Shift4")</f>
        <v/>
      </c>
      <c r="C99" s="9">
        <f>SUMIFS(Datos!$H$4:$H$1187,Datos!$A$4:$A$1187,A99,Datos!$C$4:$C$1187,"Nuvei")</f>
        <v/>
      </c>
      <c r="D99" s="9">
        <f>SUMIFS(Datos!$H$4:$H$1187,Datos!$A$4:$A$1187,A99,Datos!$C$4:$C$1187,"Adyen")</f>
        <v/>
      </c>
      <c r="E99" s="9">
        <f>SUMIFS(Datos!$H$4:$H$1187,Datos!$A$4:$A$1187,A99,Datos!$C$4:$C$1187,"Paysafe")</f>
        <v/>
      </c>
      <c r="F99" s="16">
        <f>SUM(B99:E99)</f>
        <v/>
      </c>
    </row>
    <row r="100">
      <c r="A100" s="13" t="n">
        <v>46025</v>
      </c>
      <c r="B100" s="14">
        <f>SUMIFS(Datos!$H$4:$H$1187,Datos!$A$4:$A$1187,A100,Datos!$C$4:$C$1187,"Shift4")</f>
        <v/>
      </c>
      <c r="C100" s="14">
        <f>SUMIFS(Datos!$H$4:$H$1187,Datos!$A$4:$A$1187,A100,Datos!$C$4:$C$1187,"Nuvei")</f>
        <v/>
      </c>
      <c r="D100" s="14">
        <f>SUMIFS(Datos!$H$4:$H$1187,Datos!$A$4:$A$1187,A100,Datos!$C$4:$C$1187,"Adyen")</f>
        <v/>
      </c>
      <c r="E100" s="14">
        <f>SUMIFS(Datos!$H$4:$H$1187,Datos!$A$4:$A$1187,A100,Datos!$C$4:$C$1187,"Paysafe")</f>
        <v/>
      </c>
      <c r="F100" s="15">
        <f>SUM(B100:E100)</f>
        <v/>
      </c>
    </row>
    <row r="101">
      <c r="A101" s="8" t="n">
        <v>46026</v>
      </c>
      <c r="B101" s="9">
        <f>SUMIFS(Datos!$H$4:$H$1187,Datos!$A$4:$A$1187,A101,Datos!$C$4:$C$1187,"Shift4")</f>
        <v/>
      </c>
      <c r="C101" s="9">
        <f>SUMIFS(Datos!$H$4:$H$1187,Datos!$A$4:$A$1187,A101,Datos!$C$4:$C$1187,"Nuvei")</f>
        <v/>
      </c>
      <c r="D101" s="9">
        <f>SUMIFS(Datos!$H$4:$H$1187,Datos!$A$4:$A$1187,A101,Datos!$C$4:$C$1187,"Adyen")</f>
        <v/>
      </c>
      <c r="E101" s="9">
        <f>SUMIFS(Datos!$H$4:$H$1187,Datos!$A$4:$A$1187,A101,Datos!$C$4:$C$1187,"Paysafe")</f>
        <v/>
      </c>
      <c r="F101" s="16">
        <f>SUM(B101:E101)</f>
        <v/>
      </c>
    </row>
    <row r="102">
      <c r="A102" s="13" t="n">
        <v>46027</v>
      </c>
      <c r="B102" s="14">
        <f>SUMIFS(Datos!$H$4:$H$1187,Datos!$A$4:$A$1187,A102,Datos!$C$4:$C$1187,"Shift4")</f>
        <v/>
      </c>
      <c r="C102" s="14">
        <f>SUMIFS(Datos!$H$4:$H$1187,Datos!$A$4:$A$1187,A102,Datos!$C$4:$C$1187,"Nuvei")</f>
        <v/>
      </c>
      <c r="D102" s="14">
        <f>SUMIFS(Datos!$H$4:$H$1187,Datos!$A$4:$A$1187,A102,Datos!$C$4:$C$1187,"Adyen")</f>
        <v/>
      </c>
      <c r="E102" s="14">
        <f>SUMIFS(Datos!$H$4:$H$1187,Datos!$A$4:$A$1187,A102,Datos!$C$4:$C$1187,"Paysafe")</f>
        <v/>
      </c>
      <c r="F102" s="15">
        <f>SUM(B102:E102)</f>
        <v/>
      </c>
    </row>
    <row r="103">
      <c r="A103" s="8" t="n">
        <v>46028</v>
      </c>
      <c r="B103" s="9">
        <f>SUMIFS(Datos!$H$4:$H$1187,Datos!$A$4:$A$1187,A103,Datos!$C$4:$C$1187,"Shift4")</f>
        <v/>
      </c>
      <c r="C103" s="9">
        <f>SUMIFS(Datos!$H$4:$H$1187,Datos!$A$4:$A$1187,A103,Datos!$C$4:$C$1187,"Nuvei")</f>
        <v/>
      </c>
      <c r="D103" s="9">
        <f>SUMIFS(Datos!$H$4:$H$1187,Datos!$A$4:$A$1187,A103,Datos!$C$4:$C$1187,"Adyen")</f>
        <v/>
      </c>
      <c r="E103" s="9">
        <f>SUMIFS(Datos!$H$4:$H$1187,Datos!$A$4:$A$1187,A103,Datos!$C$4:$C$1187,"Paysafe")</f>
        <v/>
      </c>
      <c r="F103" s="16">
        <f>SUM(B103:E103)</f>
        <v/>
      </c>
    </row>
    <row r="104">
      <c r="A104" s="13" t="n">
        <v>46029</v>
      </c>
      <c r="B104" s="14">
        <f>SUMIFS(Datos!$H$4:$H$1187,Datos!$A$4:$A$1187,A104,Datos!$C$4:$C$1187,"Shift4")</f>
        <v/>
      </c>
      <c r="C104" s="14">
        <f>SUMIFS(Datos!$H$4:$H$1187,Datos!$A$4:$A$1187,A104,Datos!$C$4:$C$1187,"Nuvei")</f>
        <v/>
      </c>
      <c r="D104" s="14">
        <f>SUMIFS(Datos!$H$4:$H$1187,Datos!$A$4:$A$1187,A104,Datos!$C$4:$C$1187,"Adyen")</f>
        <v/>
      </c>
      <c r="E104" s="14">
        <f>SUMIFS(Datos!$H$4:$H$1187,Datos!$A$4:$A$1187,A104,Datos!$C$4:$C$1187,"Paysafe")</f>
        <v/>
      </c>
      <c r="F104" s="15">
        <f>SUM(B104:E104)</f>
        <v/>
      </c>
    </row>
    <row r="105">
      <c r="A105" s="8" t="n">
        <v>46030</v>
      </c>
      <c r="B105" s="9">
        <f>SUMIFS(Datos!$H$4:$H$1187,Datos!$A$4:$A$1187,A105,Datos!$C$4:$C$1187,"Shift4")</f>
        <v/>
      </c>
      <c r="C105" s="9">
        <f>SUMIFS(Datos!$H$4:$H$1187,Datos!$A$4:$A$1187,A105,Datos!$C$4:$C$1187,"Nuvei")</f>
        <v/>
      </c>
      <c r="D105" s="9">
        <f>SUMIFS(Datos!$H$4:$H$1187,Datos!$A$4:$A$1187,A105,Datos!$C$4:$C$1187,"Adyen")</f>
        <v/>
      </c>
      <c r="E105" s="9">
        <f>SUMIFS(Datos!$H$4:$H$1187,Datos!$A$4:$A$1187,A105,Datos!$C$4:$C$1187,"Paysafe")</f>
        <v/>
      </c>
      <c r="F105" s="16">
        <f>SUM(B105:E105)</f>
        <v/>
      </c>
    </row>
    <row r="106">
      <c r="A106" s="13" t="n">
        <v>46031</v>
      </c>
      <c r="B106" s="14">
        <f>SUMIFS(Datos!$H$4:$H$1187,Datos!$A$4:$A$1187,A106,Datos!$C$4:$C$1187,"Shift4")</f>
        <v/>
      </c>
      <c r="C106" s="14">
        <f>SUMIFS(Datos!$H$4:$H$1187,Datos!$A$4:$A$1187,A106,Datos!$C$4:$C$1187,"Nuvei")</f>
        <v/>
      </c>
      <c r="D106" s="14">
        <f>SUMIFS(Datos!$H$4:$H$1187,Datos!$A$4:$A$1187,A106,Datos!$C$4:$C$1187,"Adyen")</f>
        <v/>
      </c>
      <c r="E106" s="14">
        <f>SUMIFS(Datos!$H$4:$H$1187,Datos!$A$4:$A$1187,A106,Datos!$C$4:$C$1187,"Paysafe")</f>
        <v/>
      </c>
      <c r="F106" s="15">
        <f>SUM(B106:E106)</f>
        <v/>
      </c>
    </row>
    <row r="107">
      <c r="A107" s="8" t="n">
        <v>46032</v>
      </c>
      <c r="B107" s="9">
        <f>SUMIFS(Datos!$H$4:$H$1187,Datos!$A$4:$A$1187,A107,Datos!$C$4:$C$1187,"Shift4")</f>
        <v/>
      </c>
      <c r="C107" s="9">
        <f>SUMIFS(Datos!$H$4:$H$1187,Datos!$A$4:$A$1187,A107,Datos!$C$4:$C$1187,"Nuvei")</f>
        <v/>
      </c>
      <c r="D107" s="9">
        <f>SUMIFS(Datos!$H$4:$H$1187,Datos!$A$4:$A$1187,A107,Datos!$C$4:$C$1187,"Adyen")</f>
        <v/>
      </c>
      <c r="E107" s="9">
        <f>SUMIFS(Datos!$H$4:$H$1187,Datos!$A$4:$A$1187,A107,Datos!$C$4:$C$1187,"Paysafe")</f>
        <v/>
      </c>
      <c r="F107" s="16">
        <f>SUM(B107:E107)</f>
        <v/>
      </c>
    </row>
    <row r="108">
      <c r="A108" s="13" t="n">
        <v>46033</v>
      </c>
      <c r="B108" s="14">
        <f>SUMIFS(Datos!$H$4:$H$1187,Datos!$A$4:$A$1187,A108,Datos!$C$4:$C$1187,"Shift4")</f>
        <v/>
      </c>
      <c r="C108" s="14">
        <f>SUMIFS(Datos!$H$4:$H$1187,Datos!$A$4:$A$1187,A108,Datos!$C$4:$C$1187,"Nuvei")</f>
        <v/>
      </c>
      <c r="D108" s="14">
        <f>SUMIFS(Datos!$H$4:$H$1187,Datos!$A$4:$A$1187,A108,Datos!$C$4:$C$1187,"Adyen")</f>
        <v/>
      </c>
      <c r="E108" s="14">
        <f>SUMIFS(Datos!$H$4:$H$1187,Datos!$A$4:$A$1187,A108,Datos!$C$4:$C$1187,"Paysafe")</f>
        <v/>
      </c>
      <c r="F108" s="15">
        <f>SUM(B108:E108)</f>
        <v/>
      </c>
    </row>
    <row r="109">
      <c r="A109" s="8" t="n">
        <v>46034</v>
      </c>
      <c r="B109" s="9">
        <f>SUMIFS(Datos!$H$4:$H$1187,Datos!$A$4:$A$1187,A109,Datos!$C$4:$C$1187,"Shift4")</f>
        <v/>
      </c>
      <c r="C109" s="9">
        <f>SUMIFS(Datos!$H$4:$H$1187,Datos!$A$4:$A$1187,A109,Datos!$C$4:$C$1187,"Nuvei")</f>
        <v/>
      </c>
      <c r="D109" s="9">
        <f>SUMIFS(Datos!$H$4:$H$1187,Datos!$A$4:$A$1187,A109,Datos!$C$4:$C$1187,"Adyen")</f>
        <v/>
      </c>
      <c r="E109" s="9">
        <f>SUMIFS(Datos!$H$4:$H$1187,Datos!$A$4:$A$1187,A109,Datos!$C$4:$C$1187,"Paysafe")</f>
        <v/>
      </c>
      <c r="F109" s="16">
        <f>SUM(B109:E109)</f>
        <v/>
      </c>
    </row>
    <row r="110">
      <c r="A110" s="13" t="n">
        <v>46035</v>
      </c>
      <c r="B110" s="14">
        <f>SUMIFS(Datos!$H$4:$H$1187,Datos!$A$4:$A$1187,A110,Datos!$C$4:$C$1187,"Shift4")</f>
        <v/>
      </c>
      <c r="C110" s="14">
        <f>SUMIFS(Datos!$H$4:$H$1187,Datos!$A$4:$A$1187,A110,Datos!$C$4:$C$1187,"Nuvei")</f>
        <v/>
      </c>
      <c r="D110" s="14">
        <f>SUMIFS(Datos!$H$4:$H$1187,Datos!$A$4:$A$1187,A110,Datos!$C$4:$C$1187,"Adyen")</f>
        <v/>
      </c>
      <c r="E110" s="14">
        <f>SUMIFS(Datos!$H$4:$H$1187,Datos!$A$4:$A$1187,A110,Datos!$C$4:$C$1187,"Paysafe")</f>
        <v/>
      </c>
      <c r="F110" s="15">
        <f>SUM(B110:E110)</f>
        <v/>
      </c>
    </row>
    <row r="111">
      <c r="A111" s="8" t="n">
        <v>46036</v>
      </c>
      <c r="B111" s="9">
        <f>SUMIFS(Datos!$H$4:$H$1187,Datos!$A$4:$A$1187,A111,Datos!$C$4:$C$1187,"Shift4")</f>
        <v/>
      </c>
      <c r="C111" s="9">
        <f>SUMIFS(Datos!$H$4:$H$1187,Datos!$A$4:$A$1187,A111,Datos!$C$4:$C$1187,"Nuvei")</f>
        <v/>
      </c>
      <c r="D111" s="9">
        <f>SUMIFS(Datos!$H$4:$H$1187,Datos!$A$4:$A$1187,A111,Datos!$C$4:$C$1187,"Adyen")</f>
        <v/>
      </c>
      <c r="E111" s="9">
        <f>SUMIFS(Datos!$H$4:$H$1187,Datos!$A$4:$A$1187,A111,Datos!$C$4:$C$1187,"Paysafe")</f>
        <v/>
      </c>
      <c r="F111" s="16">
        <f>SUM(B111:E111)</f>
        <v/>
      </c>
    </row>
    <row r="112">
      <c r="A112" s="13" t="n">
        <v>46037</v>
      </c>
      <c r="B112" s="14">
        <f>SUMIFS(Datos!$H$4:$H$1187,Datos!$A$4:$A$1187,A112,Datos!$C$4:$C$1187,"Shift4")</f>
        <v/>
      </c>
      <c r="C112" s="14">
        <f>SUMIFS(Datos!$H$4:$H$1187,Datos!$A$4:$A$1187,A112,Datos!$C$4:$C$1187,"Nuvei")</f>
        <v/>
      </c>
      <c r="D112" s="14">
        <f>SUMIFS(Datos!$H$4:$H$1187,Datos!$A$4:$A$1187,A112,Datos!$C$4:$C$1187,"Adyen")</f>
        <v/>
      </c>
      <c r="E112" s="14">
        <f>SUMIFS(Datos!$H$4:$H$1187,Datos!$A$4:$A$1187,A112,Datos!$C$4:$C$1187,"Paysafe")</f>
        <v/>
      </c>
      <c r="F112" s="15">
        <f>SUM(B112:E112)</f>
        <v/>
      </c>
    </row>
    <row r="113">
      <c r="A113" s="8" t="n">
        <v>46038</v>
      </c>
      <c r="B113" s="9">
        <f>SUMIFS(Datos!$H$4:$H$1187,Datos!$A$4:$A$1187,A113,Datos!$C$4:$C$1187,"Shift4")</f>
        <v/>
      </c>
      <c r="C113" s="9">
        <f>SUMIFS(Datos!$H$4:$H$1187,Datos!$A$4:$A$1187,A113,Datos!$C$4:$C$1187,"Nuvei")</f>
        <v/>
      </c>
      <c r="D113" s="9">
        <f>SUMIFS(Datos!$H$4:$H$1187,Datos!$A$4:$A$1187,A113,Datos!$C$4:$C$1187,"Adyen")</f>
        <v/>
      </c>
      <c r="E113" s="9">
        <f>SUMIFS(Datos!$H$4:$H$1187,Datos!$A$4:$A$1187,A113,Datos!$C$4:$C$1187,"Paysafe")</f>
        <v/>
      </c>
      <c r="F113" s="16">
        <f>SUM(B113:E113)</f>
        <v/>
      </c>
    </row>
    <row r="114">
      <c r="A114" s="13" t="n">
        <v>46039</v>
      </c>
      <c r="B114" s="14">
        <f>SUMIFS(Datos!$H$4:$H$1187,Datos!$A$4:$A$1187,A114,Datos!$C$4:$C$1187,"Shift4")</f>
        <v/>
      </c>
      <c r="C114" s="14">
        <f>SUMIFS(Datos!$H$4:$H$1187,Datos!$A$4:$A$1187,A114,Datos!$C$4:$C$1187,"Nuvei")</f>
        <v/>
      </c>
      <c r="D114" s="14">
        <f>SUMIFS(Datos!$H$4:$H$1187,Datos!$A$4:$A$1187,A114,Datos!$C$4:$C$1187,"Adyen")</f>
        <v/>
      </c>
      <c r="E114" s="14">
        <f>SUMIFS(Datos!$H$4:$H$1187,Datos!$A$4:$A$1187,A114,Datos!$C$4:$C$1187,"Paysafe")</f>
        <v/>
      </c>
      <c r="F114" s="15">
        <f>SUM(B114:E114)</f>
        <v/>
      </c>
    </row>
    <row r="115">
      <c r="A115" s="8" t="n">
        <v>46040</v>
      </c>
      <c r="B115" s="9">
        <f>SUMIFS(Datos!$H$4:$H$1187,Datos!$A$4:$A$1187,A115,Datos!$C$4:$C$1187,"Shift4")</f>
        <v/>
      </c>
      <c r="C115" s="9">
        <f>SUMIFS(Datos!$H$4:$H$1187,Datos!$A$4:$A$1187,A115,Datos!$C$4:$C$1187,"Nuvei")</f>
        <v/>
      </c>
      <c r="D115" s="9">
        <f>SUMIFS(Datos!$H$4:$H$1187,Datos!$A$4:$A$1187,A115,Datos!$C$4:$C$1187,"Adyen")</f>
        <v/>
      </c>
      <c r="E115" s="9">
        <f>SUMIFS(Datos!$H$4:$H$1187,Datos!$A$4:$A$1187,A115,Datos!$C$4:$C$1187,"Paysafe")</f>
        <v/>
      </c>
      <c r="F115" s="16">
        <f>SUM(B115:E115)</f>
        <v/>
      </c>
    </row>
    <row r="116">
      <c r="A116" s="13" t="n">
        <v>46041</v>
      </c>
      <c r="B116" s="14">
        <f>SUMIFS(Datos!$H$4:$H$1187,Datos!$A$4:$A$1187,A116,Datos!$C$4:$C$1187,"Shift4")</f>
        <v/>
      </c>
      <c r="C116" s="14">
        <f>SUMIFS(Datos!$H$4:$H$1187,Datos!$A$4:$A$1187,A116,Datos!$C$4:$C$1187,"Nuvei")</f>
        <v/>
      </c>
      <c r="D116" s="14">
        <f>SUMIFS(Datos!$H$4:$H$1187,Datos!$A$4:$A$1187,A116,Datos!$C$4:$C$1187,"Adyen")</f>
        <v/>
      </c>
      <c r="E116" s="14">
        <f>SUMIFS(Datos!$H$4:$H$1187,Datos!$A$4:$A$1187,A116,Datos!$C$4:$C$1187,"Paysafe")</f>
        <v/>
      </c>
      <c r="F116" s="15">
        <f>SUM(B116:E116)</f>
        <v/>
      </c>
    </row>
    <row r="117">
      <c r="A117" s="8" t="n">
        <v>46042</v>
      </c>
      <c r="B117" s="9">
        <f>SUMIFS(Datos!$H$4:$H$1187,Datos!$A$4:$A$1187,A117,Datos!$C$4:$C$1187,"Shift4")</f>
        <v/>
      </c>
      <c r="C117" s="9">
        <f>SUMIFS(Datos!$H$4:$H$1187,Datos!$A$4:$A$1187,A117,Datos!$C$4:$C$1187,"Nuvei")</f>
        <v/>
      </c>
      <c r="D117" s="9">
        <f>SUMIFS(Datos!$H$4:$H$1187,Datos!$A$4:$A$1187,A117,Datos!$C$4:$C$1187,"Adyen")</f>
        <v/>
      </c>
      <c r="E117" s="9">
        <f>SUMIFS(Datos!$H$4:$H$1187,Datos!$A$4:$A$1187,A117,Datos!$C$4:$C$1187,"Paysafe")</f>
        <v/>
      </c>
      <c r="F117" s="16">
        <f>SUM(B117:E117)</f>
        <v/>
      </c>
    </row>
    <row r="118">
      <c r="A118" s="13" t="n">
        <v>46043</v>
      </c>
      <c r="B118" s="14">
        <f>SUMIFS(Datos!$H$4:$H$1187,Datos!$A$4:$A$1187,A118,Datos!$C$4:$C$1187,"Shift4")</f>
        <v/>
      </c>
      <c r="C118" s="14">
        <f>SUMIFS(Datos!$H$4:$H$1187,Datos!$A$4:$A$1187,A118,Datos!$C$4:$C$1187,"Nuvei")</f>
        <v/>
      </c>
      <c r="D118" s="14">
        <f>SUMIFS(Datos!$H$4:$H$1187,Datos!$A$4:$A$1187,A118,Datos!$C$4:$C$1187,"Adyen")</f>
        <v/>
      </c>
      <c r="E118" s="14">
        <f>SUMIFS(Datos!$H$4:$H$1187,Datos!$A$4:$A$1187,A118,Datos!$C$4:$C$1187,"Paysafe")</f>
        <v/>
      </c>
      <c r="F118" s="15">
        <f>SUM(B118:E118)</f>
        <v/>
      </c>
    </row>
    <row r="119">
      <c r="A119" s="8" t="n">
        <v>46044</v>
      </c>
      <c r="B119" s="9">
        <f>SUMIFS(Datos!$H$4:$H$1187,Datos!$A$4:$A$1187,A119,Datos!$C$4:$C$1187,"Shift4")</f>
        <v/>
      </c>
      <c r="C119" s="9">
        <f>SUMIFS(Datos!$H$4:$H$1187,Datos!$A$4:$A$1187,A119,Datos!$C$4:$C$1187,"Nuvei")</f>
        <v/>
      </c>
      <c r="D119" s="9">
        <f>SUMIFS(Datos!$H$4:$H$1187,Datos!$A$4:$A$1187,A119,Datos!$C$4:$C$1187,"Adyen")</f>
        <v/>
      </c>
      <c r="E119" s="9">
        <f>SUMIFS(Datos!$H$4:$H$1187,Datos!$A$4:$A$1187,A119,Datos!$C$4:$C$1187,"Paysafe")</f>
        <v/>
      </c>
      <c r="F119" s="16">
        <f>SUM(B119:E119)</f>
        <v/>
      </c>
    </row>
    <row r="120">
      <c r="A120" s="13" t="n">
        <v>46045</v>
      </c>
      <c r="B120" s="14">
        <f>SUMIFS(Datos!$H$4:$H$1187,Datos!$A$4:$A$1187,A120,Datos!$C$4:$C$1187,"Shift4")</f>
        <v/>
      </c>
      <c r="C120" s="14">
        <f>SUMIFS(Datos!$H$4:$H$1187,Datos!$A$4:$A$1187,A120,Datos!$C$4:$C$1187,"Nuvei")</f>
        <v/>
      </c>
      <c r="D120" s="14">
        <f>SUMIFS(Datos!$H$4:$H$1187,Datos!$A$4:$A$1187,A120,Datos!$C$4:$C$1187,"Adyen")</f>
        <v/>
      </c>
      <c r="E120" s="14">
        <f>SUMIFS(Datos!$H$4:$H$1187,Datos!$A$4:$A$1187,A120,Datos!$C$4:$C$1187,"Paysafe")</f>
        <v/>
      </c>
      <c r="F120" s="15">
        <f>SUM(B120:E120)</f>
        <v/>
      </c>
    </row>
    <row r="121">
      <c r="A121" s="8" t="n">
        <v>46046</v>
      </c>
      <c r="B121" s="9">
        <f>SUMIFS(Datos!$H$4:$H$1187,Datos!$A$4:$A$1187,A121,Datos!$C$4:$C$1187,"Shift4")</f>
        <v/>
      </c>
      <c r="C121" s="9">
        <f>SUMIFS(Datos!$H$4:$H$1187,Datos!$A$4:$A$1187,A121,Datos!$C$4:$C$1187,"Nuvei")</f>
        <v/>
      </c>
      <c r="D121" s="9">
        <f>SUMIFS(Datos!$H$4:$H$1187,Datos!$A$4:$A$1187,A121,Datos!$C$4:$C$1187,"Adyen")</f>
        <v/>
      </c>
      <c r="E121" s="9">
        <f>SUMIFS(Datos!$H$4:$H$1187,Datos!$A$4:$A$1187,A121,Datos!$C$4:$C$1187,"Paysafe")</f>
        <v/>
      </c>
      <c r="F121" s="16">
        <f>SUM(B121:E121)</f>
        <v/>
      </c>
    </row>
    <row r="122">
      <c r="A122" s="13" t="n">
        <v>46047</v>
      </c>
      <c r="B122" s="14">
        <f>SUMIFS(Datos!$H$4:$H$1187,Datos!$A$4:$A$1187,A122,Datos!$C$4:$C$1187,"Shift4")</f>
        <v/>
      </c>
      <c r="C122" s="14">
        <f>SUMIFS(Datos!$H$4:$H$1187,Datos!$A$4:$A$1187,A122,Datos!$C$4:$C$1187,"Nuvei")</f>
        <v/>
      </c>
      <c r="D122" s="14">
        <f>SUMIFS(Datos!$H$4:$H$1187,Datos!$A$4:$A$1187,A122,Datos!$C$4:$C$1187,"Adyen")</f>
        <v/>
      </c>
      <c r="E122" s="14">
        <f>SUMIFS(Datos!$H$4:$H$1187,Datos!$A$4:$A$1187,A122,Datos!$C$4:$C$1187,"Paysafe")</f>
        <v/>
      </c>
      <c r="F122" s="15">
        <f>SUM(B122:E122)</f>
        <v/>
      </c>
    </row>
    <row r="123">
      <c r="A123" s="8" t="n">
        <v>46048</v>
      </c>
      <c r="B123" s="9">
        <f>SUMIFS(Datos!$H$4:$H$1187,Datos!$A$4:$A$1187,A123,Datos!$C$4:$C$1187,"Shift4")</f>
        <v/>
      </c>
      <c r="C123" s="9">
        <f>SUMIFS(Datos!$H$4:$H$1187,Datos!$A$4:$A$1187,A123,Datos!$C$4:$C$1187,"Nuvei")</f>
        <v/>
      </c>
      <c r="D123" s="9">
        <f>SUMIFS(Datos!$H$4:$H$1187,Datos!$A$4:$A$1187,A123,Datos!$C$4:$C$1187,"Adyen")</f>
        <v/>
      </c>
      <c r="E123" s="9">
        <f>SUMIFS(Datos!$H$4:$H$1187,Datos!$A$4:$A$1187,A123,Datos!$C$4:$C$1187,"Paysafe")</f>
        <v/>
      </c>
      <c r="F123" s="16">
        <f>SUM(B123:E123)</f>
        <v/>
      </c>
    </row>
    <row r="124">
      <c r="A124" s="13" t="n">
        <v>46049</v>
      </c>
      <c r="B124" s="14">
        <f>SUMIFS(Datos!$H$4:$H$1187,Datos!$A$4:$A$1187,A124,Datos!$C$4:$C$1187,"Shift4")</f>
        <v/>
      </c>
      <c r="C124" s="14">
        <f>SUMIFS(Datos!$H$4:$H$1187,Datos!$A$4:$A$1187,A124,Datos!$C$4:$C$1187,"Nuvei")</f>
        <v/>
      </c>
      <c r="D124" s="14">
        <f>SUMIFS(Datos!$H$4:$H$1187,Datos!$A$4:$A$1187,A124,Datos!$C$4:$C$1187,"Adyen")</f>
        <v/>
      </c>
      <c r="E124" s="14">
        <f>SUMIFS(Datos!$H$4:$H$1187,Datos!$A$4:$A$1187,A124,Datos!$C$4:$C$1187,"Paysafe")</f>
        <v/>
      </c>
      <c r="F124" s="15">
        <f>SUM(B124:E124)</f>
        <v/>
      </c>
    </row>
    <row r="125">
      <c r="A125" s="8" t="n">
        <v>46050</v>
      </c>
      <c r="B125" s="9">
        <f>SUMIFS(Datos!$H$4:$H$1187,Datos!$A$4:$A$1187,A125,Datos!$C$4:$C$1187,"Shift4")</f>
        <v/>
      </c>
      <c r="C125" s="9">
        <f>SUMIFS(Datos!$H$4:$H$1187,Datos!$A$4:$A$1187,A125,Datos!$C$4:$C$1187,"Nuvei")</f>
        <v/>
      </c>
      <c r="D125" s="9">
        <f>SUMIFS(Datos!$H$4:$H$1187,Datos!$A$4:$A$1187,A125,Datos!$C$4:$C$1187,"Adyen")</f>
        <v/>
      </c>
      <c r="E125" s="9">
        <f>SUMIFS(Datos!$H$4:$H$1187,Datos!$A$4:$A$1187,A125,Datos!$C$4:$C$1187,"Paysafe")</f>
        <v/>
      </c>
      <c r="F125" s="16">
        <f>SUM(B125:E125)</f>
        <v/>
      </c>
    </row>
    <row r="126">
      <c r="A126" s="13" t="n">
        <v>46051</v>
      </c>
      <c r="B126" s="14">
        <f>SUMIFS(Datos!$H$4:$H$1187,Datos!$A$4:$A$1187,A126,Datos!$C$4:$C$1187,"Shift4")</f>
        <v/>
      </c>
      <c r="C126" s="14">
        <f>SUMIFS(Datos!$H$4:$H$1187,Datos!$A$4:$A$1187,A126,Datos!$C$4:$C$1187,"Nuvei")</f>
        <v/>
      </c>
      <c r="D126" s="14">
        <f>SUMIFS(Datos!$H$4:$H$1187,Datos!$A$4:$A$1187,A126,Datos!$C$4:$C$1187,"Adyen")</f>
        <v/>
      </c>
      <c r="E126" s="14">
        <f>SUMIFS(Datos!$H$4:$H$1187,Datos!$A$4:$A$1187,A126,Datos!$C$4:$C$1187,"Paysafe")</f>
        <v/>
      </c>
      <c r="F126" s="15">
        <f>SUM(B126:E126)</f>
        <v/>
      </c>
    </row>
    <row r="127">
      <c r="A127" s="8" t="n">
        <v>46052</v>
      </c>
      <c r="B127" s="9">
        <f>SUMIFS(Datos!$H$4:$H$1187,Datos!$A$4:$A$1187,A127,Datos!$C$4:$C$1187,"Shift4")</f>
        <v/>
      </c>
      <c r="C127" s="9">
        <f>SUMIFS(Datos!$H$4:$H$1187,Datos!$A$4:$A$1187,A127,Datos!$C$4:$C$1187,"Nuvei")</f>
        <v/>
      </c>
      <c r="D127" s="9">
        <f>SUMIFS(Datos!$H$4:$H$1187,Datos!$A$4:$A$1187,A127,Datos!$C$4:$C$1187,"Adyen")</f>
        <v/>
      </c>
      <c r="E127" s="9">
        <f>SUMIFS(Datos!$H$4:$H$1187,Datos!$A$4:$A$1187,A127,Datos!$C$4:$C$1187,"Paysafe")</f>
        <v/>
      </c>
      <c r="F127" s="16">
        <f>SUM(B127:E127)</f>
        <v/>
      </c>
    </row>
    <row r="128">
      <c r="A128" s="13" t="n">
        <v>46053</v>
      </c>
      <c r="B128" s="14">
        <f>SUMIFS(Datos!$H$4:$H$1187,Datos!$A$4:$A$1187,A128,Datos!$C$4:$C$1187,"Shift4")</f>
        <v/>
      </c>
      <c r="C128" s="14">
        <f>SUMIFS(Datos!$H$4:$H$1187,Datos!$A$4:$A$1187,A128,Datos!$C$4:$C$1187,"Nuvei")</f>
        <v/>
      </c>
      <c r="D128" s="14">
        <f>SUMIFS(Datos!$H$4:$H$1187,Datos!$A$4:$A$1187,A128,Datos!$C$4:$C$1187,"Adyen")</f>
        <v/>
      </c>
      <c r="E128" s="14">
        <f>SUMIFS(Datos!$H$4:$H$1187,Datos!$A$4:$A$1187,A128,Datos!$C$4:$C$1187,"Paysafe")</f>
        <v/>
      </c>
      <c r="F128" s="15">
        <f>SUM(B128:E128)</f>
        <v/>
      </c>
    </row>
    <row r="129">
      <c r="A129" s="8" t="n">
        <v>46054</v>
      </c>
      <c r="B129" s="9">
        <f>SUMIFS(Datos!$H$4:$H$1187,Datos!$A$4:$A$1187,A129,Datos!$C$4:$C$1187,"Shift4")</f>
        <v/>
      </c>
      <c r="C129" s="9">
        <f>SUMIFS(Datos!$H$4:$H$1187,Datos!$A$4:$A$1187,A129,Datos!$C$4:$C$1187,"Nuvei")</f>
        <v/>
      </c>
      <c r="D129" s="9">
        <f>SUMIFS(Datos!$H$4:$H$1187,Datos!$A$4:$A$1187,A129,Datos!$C$4:$C$1187,"Adyen")</f>
        <v/>
      </c>
      <c r="E129" s="9">
        <f>SUMIFS(Datos!$H$4:$H$1187,Datos!$A$4:$A$1187,A129,Datos!$C$4:$C$1187,"Paysafe")</f>
        <v/>
      </c>
      <c r="F129" s="16">
        <f>SUM(B129:E129)</f>
        <v/>
      </c>
    </row>
    <row r="130">
      <c r="A130" s="13" t="n">
        <v>46055</v>
      </c>
      <c r="B130" s="14">
        <f>SUMIFS(Datos!$H$4:$H$1187,Datos!$A$4:$A$1187,A130,Datos!$C$4:$C$1187,"Shift4")</f>
        <v/>
      </c>
      <c r="C130" s="14">
        <f>SUMIFS(Datos!$H$4:$H$1187,Datos!$A$4:$A$1187,A130,Datos!$C$4:$C$1187,"Nuvei")</f>
        <v/>
      </c>
      <c r="D130" s="14">
        <f>SUMIFS(Datos!$H$4:$H$1187,Datos!$A$4:$A$1187,A130,Datos!$C$4:$C$1187,"Adyen")</f>
        <v/>
      </c>
      <c r="E130" s="14">
        <f>SUMIFS(Datos!$H$4:$H$1187,Datos!$A$4:$A$1187,A130,Datos!$C$4:$C$1187,"Paysafe")</f>
        <v/>
      </c>
      <c r="F130" s="15">
        <f>SUM(B130:E130)</f>
        <v/>
      </c>
    </row>
    <row r="131">
      <c r="A131" s="8" t="n">
        <v>46056</v>
      </c>
      <c r="B131" s="9">
        <f>SUMIFS(Datos!$H$4:$H$1187,Datos!$A$4:$A$1187,A131,Datos!$C$4:$C$1187,"Shift4")</f>
        <v/>
      </c>
      <c r="C131" s="9">
        <f>SUMIFS(Datos!$H$4:$H$1187,Datos!$A$4:$A$1187,A131,Datos!$C$4:$C$1187,"Nuvei")</f>
        <v/>
      </c>
      <c r="D131" s="9">
        <f>SUMIFS(Datos!$H$4:$H$1187,Datos!$A$4:$A$1187,A131,Datos!$C$4:$C$1187,"Adyen")</f>
        <v/>
      </c>
      <c r="E131" s="9">
        <f>SUMIFS(Datos!$H$4:$H$1187,Datos!$A$4:$A$1187,A131,Datos!$C$4:$C$1187,"Paysafe")</f>
        <v/>
      </c>
      <c r="F131" s="16">
        <f>SUM(B131:E131)</f>
        <v/>
      </c>
    </row>
    <row r="132">
      <c r="A132" s="13" t="n">
        <v>46057</v>
      </c>
      <c r="B132" s="14">
        <f>SUMIFS(Datos!$H$4:$H$1187,Datos!$A$4:$A$1187,A132,Datos!$C$4:$C$1187,"Shift4")</f>
        <v/>
      </c>
      <c r="C132" s="14">
        <f>SUMIFS(Datos!$H$4:$H$1187,Datos!$A$4:$A$1187,A132,Datos!$C$4:$C$1187,"Nuvei")</f>
        <v/>
      </c>
      <c r="D132" s="14">
        <f>SUMIFS(Datos!$H$4:$H$1187,Datos!$A$4:$A$1187,A132,Datos!$C$4:$C$1187,"Adyen")</f>
        <v/>
      </c>
      <c r="E132" s="14">
        <f>SUMIFS(Datos!$H$4:$H$1187,Datos!$A$4:$A$1187,A132,Datos!$C$4:$C$1187,"Paysafe")</f>
        <v/>
      </c>
      <c r="F132" s="15">
        <f>SUM(B132:E132)</f>
        <v/>
      </c>
    </row>
    <row r="133">
      <c r="A133" s="8" t="n">
        <v>46058</v>
      </c>
      <c r="B133" s="9">
        <f>SUMIFS(Datos!$H$4:$H$1187,Datos!$A$4:$A$1187,A133,Datos!$C$4:$C$1187,"Shift4")</f>
        <v/>
      </c>
      <c r="C133" s="9">
        <f>SUMIFS(Datos!$H$4:$H$1187,Datos!$A$4:$A$1187,A133,Datos!$C$4:$C$1187,"Nuvei")</f>
        <v/>
      </c>
      <c r="D133" s="9">
        <f>SUMIFS(Datos!$H$4:$H$1187,Datos!$A$4:$A$1187,A133,Datos!$C$4:$C$1187,"Adyen")</f>
        <v/>
      </c>
      <c r="E133" s="9">
        <f>SUMIFS(Datos!$H$4:$H$1187,Datos!$A$4:$A$1187,A133,Datos!$C$4:$C$1187,"Paysafe")</f>
        <v/>
      </c>
      <c r="F133" s="16">
        <f>SUM(B133:E133)</f>
        <v/>
      </c>
    </row>
    <row r="134">
      <c r="A134" s="13" t="n">
        <v>46059</v>
      </c>
      <c r="B134" s="14">
        <f>SUMIFS(Datos!$H$4:$H$1187,Datos!$A$4:$A$1187,A134,Datos!$C$4:$C$1187,"Shift4")</f>
        <v/>
      </c>
      <c r="C134" s="14">
        <f>SUMIFS(Datos!$H$4:$H$1187,Datos!$A$4:$A$1187,A134,Datos!$C$4:$C$1187,"Nuvei")</f>
        <v/>
      </c>
      <c r="D134" s="14">
        <f>SUMIFS(Datos!$H$4:$H$1187,Datos!$A$4:$A$1187,A134,Datos!$C$4:$C$1187,"Adyen")</f>
        <v/>
      </c>
      <c r="E134" s="14">
        <f>SUMIFS(Datos!$H$4:$H$1187,Datos!$A$4:$A$1187,A134,Datos!$C$4:$C$1187,"Paysafe")</f>
        <v/>
      </c>
      <c r="F134" s="15">
        <f>SUM(B134:E134)</f>
        <v/>
      </c>
    </row>
    <row r="135">
      <c r="A135" s="8" t="n">
        <v>46060</v>
      </c>
      <c r="B135" s="9">
        <f>SUMIFS(Datos!$H$4:$H$1187,Datos!$A$4:$A$1187,A135,Datos!$C$4:$C$1187,"Shift4")</f>
        <v/>
      </c>
      <c r="C135" s="9">
        <f>SUMIFS(Datos!$H$4:$H$1187,Datos!$A$4:$A$1187,A135,Datos!$C$4:$C$1187,"Nuvei")</f>
        <v/>
      </c>
      <c r="D135" s="9">
        <f>SUMIFS(Datos!$H$4:$H$1187,Datos!$A$4:$A$1187,A135,Datos!$C$4:$C$1187,"Adyen")</f>
        <v/>
      </c>
      <c r="E135" s="9">
        <f>SUMIFS(Datos!$H$4:$H$1187,Datos!$A$4:$A$1187,A135,Datos!$C$4:$C$1187,"Paysafe")</f>
        <v/>
      </c>
      <c r="F135" s="16">
        <f>SUM(B135:E135)</f>
        <v/>
      </c>
    </row>
    <row r="136">
      <c r="A136" s="13" t="n">
        <v>46061</v>
      </c>
      <c r="B136" s="14">
        <f>SUMIFS(Datos!$H$4:$H$1187,Datos!$A$4:$A$1187,A136,Datos!$C$4:$C$1187,"Shift4")</f>
        <v/>
      </c>
      <c r="C136" s="14">
        <f>SUMIFS(Datos!$H$4:$H$1187,Datos!$A$4:$A$1187,A136,Datos!$C$4:$C$1187,"Nuvei")</f>
        <v/>
      </c>
      <c r="D136" s="14">
        <f>SUMIFS(Datos!$H$4:$H$1187,Datos!$A$4:$A$1187,A136,Datos!$C$4:$C$1187,"Adyen")</f>
        <v/>
      </c>
      <c r="E136" s="14">
        <f>SUMIFS(Datos!$H$4:$H$1187,Datos!$A$4:$A$1187,A136,Datos!$C$4:$C$1187,"Paysafe")</f>
        <v/>
      </c>
      <c r="F136" s="15">
        <f>SUM(B136:E136)</f>
        <v/>
      </c>
    </row>
    <row r="137">
      <c r="A137" s="8" t="n">
        <v>46062</v>
      </c>
      <c r="B137" s="9">
        <f>SUMIFS(Datos!$H$4:$H$1187,Datos!$A$4:$A$1187,A137,Datos!$C$4:$C$1187,"Shift4")</f>
        <v/>
      </c>
      <c r="C137" s="9">
        <f>SUMIFS(Datos!$H$4:$H$1187,Datos!$A$4:$A$1187,A137,Datos!$C$4:$C$1187,"Nuvei")</f>
        <v/>
      </c>
      <c r="D137" s="9">
        <f>SUMIFS(Datos!$H$4:$H$1187,Datos!$A$4:$A$1187,A137,Datos!$C$4:$C$1187,"Adyen")</f>
        <v/>
      </c>
      <c r="E137" s="9">
        <f>SUMIFS(Datos!$H$4:$H$1187,Datos!$A$4:$A$1187,A137,Datos!$C$4:$C$1187,"Paysafe")</f>
        <v/>
      </c>
      <c r="F137" s="16">
        <f>SUM(B137:E137)</f>
        <v/>
      </c>
    </row>
    <row r="138">
      <c r="A138" s="13" t="n">
        <v>46063</v>
      </c>
      <c r="B138" s="14">
        <f>SUMIFS(Datos!$H$4:$H$1187,Datos!$A$4:$A$1187,A138,Datos!$C$4:$C$1187,"Shift4")</f>
        <v/>
      </c>
      <c r="C138" s="14">
        <f>SUMIFS(Datos!$H$4:$H$1187,Datos!$A$4:$A$1187,A138,Datos!$C$4:$C$1187,"Nuvei")</f>
        <v/>
      </c>
      <c r="D138" s="14">
        <f>SUMIFS(Datos!$H$4:$H$1187,Datos!$A$4:$A$1187,A138,Datos!$C$4:$C$1187,"Adyen")</f>
        <v/>
      </c>
      <c r="E138" s="14">
        <f>SUMIFS(Datos!$H$4:$H$1187,Datos!$A$4:$A$1187,A138,Datos!$C$4:$C$1187,"Paysafe")</f>
        <v/>
      </c>
      <c r="F138" s="15">
        <f>SUM(B138:E138)</f>
        <v/>
      </c>
    </row>
    <row r="139">
      <c r="A139" s="8" t="n">
        <v>46064</v>
      </c>
      <c r="B139" s="9">
        <f>SUMIFS(Datos!$H$4:$H$1187,Datos!$A$4:$A$1187,A139,Datos!$C$4:$C$1187,"Shift4")</f>
        <v/>
      </c>
      <c r="C139" s="9">
        <f>SUMIFS(Datos!$H$4:$H$1187,Datos!$A$4:$A$1187,A139,Datos!$C$4:$C$1187,"Nuvei")</f>
        <v/>
      </c>
      <c r="D139" s="9">
        <f>SUMIFS(Datos!$H$4:$H$1187,Datos!$A$4:$A$1187,A139,Datos!$C$4:$C$1187,"Adyen")</f>
        <v/>
      </c>
      <c r="E139" s="9">
        <f>SUMIFS(Datos!$H$4:$H$1187,Datos!$A$4:$A$1187,A139,Datos!$C$4:$C$1187,"Paysafe")</f>
        <v/>
      </c>
      <c r="F139" s="16">
        <f>SUM(B139:E139)</f>
        <v/>
      </c>
    </row>
    <row r="140">
      <c r="A140" s="13" t="n">
        <v>46065</v>
      </c>
      <c r="B140" s="14">
        <f>SUMIFS(Datos!$H$4:$H$1187,Datos!$A$4:$A$1187,A140,Datos!$C$4:$C$1187,"Shift4")</f>
        <v/>
      </c>
      <c r="C140" s="14">
        <f>SUMIFS(Datos!$H$4:$H$1187,Datos!$A$4:$A$1187,A140,Datos!$C$4:$C$1187,"Nuvei")</f>
        <v/>
      </c>
      <c r="D140" s="14">
        <f>SUMIFS(Datos!$H$4:$H$1187,Datos!$A$4:$A$1187,A140,Datos!$C$4:$C$1187,"Adyen")</f>
        <v/>
      </c>
      <c r="E140" s="14">
        <f>SUMIFS(Datos!$H$4:$H$1187,Datos!$A$4:$A$1187,A140,Datos!$C$4:$C$1187,"Paysafe")</f>
        <v/>
      </c>
      <c r="F140" s="15">
        <f>SUM(B140:E140)</f>
        <v/>
      </c>
    </row>
    <row r="141">
      <c r="A141" s="8" t="n">
        <v>46066</v>
      </c>
      <c r="B141" s="9">
        <f>SUMIFS(Datos!$H$4:$H$1187,Datos!$A$4:$A$1187,A141,Datos!$C$4:$C$1187,"Shift4")</f>
        <v/>
      </c>
      <c r="C141" s="9">
        <f>SUMIFS(Datos!$H$4:$H$1187,Datos!$A$4:$A$1187,A141,Datos!$C$4:$C$1187,"Nuvei")</f>
        <v/>
      </c>
      <c r="D141" s="9">
        <f>SUMIFS(Datos!$H$4:$H$1187,Datos!$A$4:$A$1187,A141,Datos!$C$4:$C$1187,"Adyen")</f>
        <v/>
      </c>
      <c r="E141" s="9">
        <f>SUMIFS(Datos!$H$4:$H$1187,Datos!$A$4:$A$1187,A141,Datos!$C$4:$C$1187,"Paysafe")</f>
        <v/>
      </c>
      <c r="F141" s="16">
        <f>SUM(B141:E141)</f>
        <v/>
      </c>
    </row>
    <row r="142">
      <c r="A142" s="13" t="n">
        <v>46067</v>
      </c>
      <c r="B142" s="14">
        <f>SUMIFS(Datos!$H$4:$H$1187,Datos!$A$4:$A$1187,A142,Datos!$C$4:$C$1187,"Shift4")</f>
        <v/>
      </c>
      <c r="C142" s="14">
        <f>SUMIFS(Datos!$H$4:$H$1187,Datos!$A$4:$A$1187,A142,Datos!$C$4:$C$1187,"Nuvei")</f>
        <v/>
      </c>
      <c r="D142" s="14">
        <f>SUMIFS(Datos!$H$4:$H$1187,Datos!$A$4:$A$1187,A142,Datos!$C$4:$C$1187,"Adyen")</f>
        <v/>
      </c>
      <c r="E142" s="14">
        <f>SUMIFS(Datos!$H$4:$H$1187,Datos!$A$4:$A$1187,A142,Datos!$C$4:$C$1187,"Paysafe")</f>
        <v/>
      </c>
      <c r="F142" s="15">
        <f>SUM(B142:E142)</f>
        <v/>
      </c>
    </row>
    <row r="143">
      <c r="A143" s="8" t="n">
        <v>46068</v>
      </c>
      <c r="B143" s="9">
        <f>SUMIFS(Datos!$H$4:$H$1187,Datos!$A$4:$A$1187,A143,Datos!$C$4:$C$1187,"Shift4")</f>
        <v/>
      </c>
      <c r="C143" s="9">
        <f>SUMIFS(Datos!$H$4:$H$1187,Datos!$A$4:$A$1187,A143,Datos!$C$4:$C$1187,"Nuvei")</f>
        <v/>
      </c>
      <c r="D143" s="9">
        <f>SUMIFS(Datos!$H$4:$H$1187,Datos!$A$4:$A$1187,A143,Datos!$C$4:$C$1187,"Adyen")</f>
        <v/>
      </c>
      <c r="E143" s="9">
        <f>SUMIFS(Datos!$H$4:$H$1187,Datos!$A$4:$A$1187,A143,Datos!$C$4:$C$1187,"Paysafe")</f>
        <v/>
      </c>
      <c r="F143" s="16">
        <f>SUM(B143:E143)</f>
        <v/>
      </c>
    </row>
    <row r="144">
      <c r="A144" s="13" t="n">
        <v>46069</v>
      </c>
      <c r="B144" s="14">
        <f>SUMIFS(Datos!$H$4:$H$1187,Datos!$A$4:$A$1187,A144,Datos!$C$4:$C$1187,"Shift4")</f>
        <v/>
      </c>
      <c r="C144" s="14">
        <f>SUMIFS(Datos!$H$4:$H$1187,Datos!$A$4:$A$1187,A144,Datos!$C$4:$C$1187,"Nuvei")</f>
        <v/>
      </c>
      <c r="D144" s="14">
        <f>SUMIFS(Datos!$H$4:$H$1187,Datos!$A$4:$A$1187,A144,Datos!$C$4:$C$1187,"Adyen")</f>
        <v/>
      </c>
      <c r="E144" s="14">
        <f>SUMIFS(Datos!$H$4:$H$1187,Datos!$A$4:$A$1187,A144,Datos!$C$4:$C$1187,"Paysafe")</f>
        <v/>
      </c>
      <c r="F144" s="15">
        <f>SUM(B144:E144)</f>
        <v/>
      </c>
    </row>
    <row r="145">
      <c r="A145" s="8" t="n">
        <v>46070</v>
      </c>
      <c r="B145" s="9">
        <f>SUMIFS(Datos!$H$4:$H$1187,Datos!$A$4:$A$1187,A145,Datos!$C$4:$C$1187,"Shift4")</f>
        <v/>
      </c>
      <c r="C145" s="9">
        <f>SUMIFS(Datos!$H$4:$H$1187,Datos!$A$4:$A$1187,A145,Datos!$C$4:$C$1187,"Nuvei")</f>
        <v/>
      </c>
      <c r="D145" s="9">
        <f>SUMIFS(Datos!$H$4:$H$1187,Datos!$A$4:$A$1187,A145,Datos!$C$4:$C$1187,"Adyen")</f>
        <v/>
      </c>
      <c r="E145" s="9">
        <f>SUMIFS(Datos!$H$4:$H$1187,Datos!$A$4:$A$1187,A145,Datos!$C$4:$C$1187,"Paysafe")</f>
        <v/>
      </c>
      <c r="F145" s="16">
        <f>SUM(B145:E145)</f>
        <v/>
      </c>
    </row>
    <row r="146">
      <c r="A146" s="13" t="n">
        <v>46071</v>
      </c>
      <c r="B146" s="14">
        <f>SUMIFS(Datos!$H$4:$H$1187,Datos!$A$4:$A$1187,A146,Datos!$C$4:$C$1187,"Shift4")</f>
        <v/>
      </c>
      <c r="C146" s="14">
        <f>SUMIFS(Datos!$H$4:$H$1187,Datos!$A$4:$A$1187,A146,Datos!$C$4:$C$1187,"Nuvei")</f>
        <v/>
      </c>
      <c r="D146" s="14">
        <f>SUMIFS(Datos!$H$4:$H$1187,Datos!$A$4:$A$1187,A146,Datos!$C$4:$C$1187,"Adyen")</f>
        <v/>
      </c>
      <c r="E146" s="14">
        <f>SUMIFS(Datos!$H$4:$H$1187,Datos!$A$4:$A$1187,A146,Datos!$C$4:$C$1187,"Paysafe")</f>
        <v/>
      </c>
      <c r="F146" s="15">
        <f>SUM(B146:E146)</f>
        <v/>
      </c>
    </row>
    <row r="147">
      <c r="A147" s="8" t="n">
        <v>46072</v>
      </c>
      <c r="B147" s="9">
        <f>SUMIFS(Datos!$H$4:$H$1187,Datos!$A$4:$A$1187,A147,Datos!$C$4:$C$1187,"Shift4")</f>
        <v/>
      </c>
      <c r="C147" s="9">
        <f>SUMIFS(Datos!$H$4:$H$1187,Datos!$A$4:$A$1187,A147,Datos!$C$4:$C$1187,"Nuvei")</f>
        <v/>
      </c>
      <c r="D147" s="9">
        <f>SUMIFS(Datos!$H$4:$H$1187,Datos!$A$4:$A$1187,A147,Datos!$C$4:$C$1187,"Adyen")</f>
        <v/>
      </c>
      <c r="E147" s="9">
        <f>SUMIFS(Datos!$H$4:$H$1187,Datos!$A$4:$A$1187,A147,Datos!$C$4:$C$1187,"Paysafe")</f>
        <v/>
      </c>
      <c r="F147" s="16">
        <f>SUM(B147:E147)</f>
        <v/>
      </c>
    </row>
    <row r="148">
      <c r="A148" s="13" t="n">
        <v>46073</v>
      </c>
      <c r="B148" s="14">
        <f>SUMIFS(Datos!$H$4:$H$1187,Datos!$A$4:$A$1187,A148,Datos!$C$4:$C$1187,"Shift4")</f>
        <v/>
      </c>
      <c r="C148" s="14">
        <f>SUMIFS(Datos!$H$4:$H$1187,Datos!$A$4:$A$1187,A148,Datos!$C$4:$C$1187,"Nuvei")</f>
        <v/>
      </c>
      <c r="D148" s="14">
        <f>SUMIFS(Datos!$H$4:$H$1187,Datos!$A$4:$A$1187,A148,Datos!$C$4:$C$1187,"Adyen")</f>
        <v/>
      </c>
      <c r="E148" s="14">
        <f>SUMIFS(Datos!$H$4:$H$1187,Datos!$A$4:$A$1187,A148,Datos!$C$4:$C$1187,"Paysafe")</f>
        <v/>
      </c>
      <c r="F148" s="15">
        <f>SUM(B148:E148)</f>
        <v/>
      </c>
    </row>
    <row r="149">
      <c r="A149" s="8" t="n">
        <v>46074</v>
      </c>
      <c r="B149" s="9">
        <f>SUMIFS(Datos!$H$4:$H$1187,Datos!$A$4:$A$1187,A149,Datos!$C$4:$C$1187,"Shift4")</f>
        <v/>
      </c>
      <c r="C149" s="9">
        <f>SUMIFS(Datos!$H$4:$H$1187,Datos!$A$4:$A$1187,A149,Datos!$C$4:$C$1187,"Nuvei")</f>
        <v/>
      </c>
      <c r="D149" s="9">
        <f>SUMIFS(Datos!$H$4:$H$1187,Datos!$A$4:$A$1187,A149,Datos!$C$4:$C$1187,"Adyen")</f>
        <v/>
      </c>
      <c r="E149" s="9">
        <f>SUMIFS(Datos!$H$4:$H$1187,Datos!$A$4:$A$1187,A149,Datos!$C$4:$C$1187,"Paysafe")</f>
        <v/>
      </c>
      <c r="F149" s="16">
        <f>SUM(B149:E149)</f>
        <v/>
      </c>
    </row>
    <row r="150">
      <c r="A150" s="13" t="n">
        <v>46075</v>
      </c>
      <c r="B150" s="14">
        <f>SUMIFS(Datos!$H$4:$H$1187,Datos!$A$4:$A$1187,A150,Datos!$C$4:$C$1187,"Shift4")</f>
        <v/>
      </c>
      <c r="C150" s="14">
        <f>SUMIFS(Datos!$H$4:$H$1187,Datos!$A$4:$A$1187,A150,Datos!$C$4:$C$1187,"Nuvei")</f>
        <v/>
      </c>
      <c r="D150" s="14">
        <f>SUMIFS(Datos!$H$4:$H$1187,Datos!$A$4:$A$1187,A150,Datos!$C$4:$C$1187,"Adyen")</f>
        <v/>
      </c>
      <c r="E150" s="14">
        <f>SUMIFS(Datos!$H$4:$H$1187,Datos!$A$4:$A$1187,A150,Datos!$C$4:$C$1187,"Paysafe")</f>
        <v/>
      </c>
      <c r="F150" s="15">
        <f>SUM(B150:E150)</f>
        <v/>
      </c>
    </row>
    <row r="151">
      <c r="A151" s="8" t="n">
        <v>46076</v>
      </c>
      <c r="B151" s="9">
        <f>SUMIFS(Datos!$H$4:$H$1187,Datos!$A$4:$A$1187,A151,Datos!$C$4:$C$1187,"Shift4")</f>
        <v/>
      </c>
      <c r="C151" s="9">
        <f>SUMIFS(Datos!$H$4:$H$1187,Datos!$A$4:$A$1187,A151,Datos!$C$4:$C$1187,"Nuvei")</f>
        <v/>
      </c>
      <c r="D151" s="9">
        <f>SUMIFS(Datos!$H$4:$H$1187,Datos!$A$4:$A$1187,A151,Datos!$C$4:$C$1187,"Adyen")</f>
        <v/>
      </c>
      <c r="E151" s="9">
        <f>SUMIFS(Datos!$H$4:$H$1187,Datos!$A$4:$A$1187,A151,Datos!$C$4:$C$1187,"Paysafe")</f>
        <v/>
      </c>
      <c r="F151" s="16">
        <f>SUM(B151:E151)</f>
        <v/>
      </c>
    </row>
    <row r="152">
      <c r="A152" s="13" t="n">
        <v>46077</v>
      </c>
      <c r="B152" s="14">
        <f>SUMIFS(Datos!$H$4:$H$1187,Datos!$A$4:$A$1187,A152,Datos!$C$4:$C$1187,"Shift4")</f>
        <v/>
      </c>
      <c r="C152" s="14">
        <f>SUMIFS(Datos!$H$4:$H$1187,Datos!$A$4:$A$1187,A152,Datos!$C$4:$C$1187,"Nuvei")</f>
        <v/>
      </c>
      <c r="D152" s="14">
        <f>SUMIFS(Datos!$H$4:$H$1187,Datos!$A$4:$A$1187,A152,Datos!$C$4:$C$1187,"Adyen")</f>
        <v/>
      </c>
      <c r="E152" s="14">
        <f>SUMIFS(Datos!$H$4:$H$1187,Datos!$A$4:$A$1187,A152,Datos!$C$4:$C$1187,"Paysafe")</f>
        <v/>
      </c>
      <c r="F152" s="15">
        <f>SUM(B152:E152)</f>
        <v/>
      </c>
    </row>
    <row r="153">
      <c r="A153" s="8" t="n">
        <v>46078</v>
      </c>
      <c r="B153" s="9">
        <f>SUMIFS(Datos!$H$4:$H$1187,Datos!$A$4:$A$1187,A153,Datos!$C$4:$C$1187,"Shift4")</f>
        <v/>
      </c>
      <c r="C153" s="9">
        <f>SUMIFS(Datos!$H$4:$H$1187,Datos!$A$4:$A$1187,A153,Datos!$C$4:$C$1187,"Nuvei")</f>
        <v/>
      </c>
      <c r="D153" s="9">
        <f>SUMIFS(Datos!$H$4:$H$1187,Datos!$A$4:$A$1187,A153,Datos!$C$4:$C$1187,"Adyen")</f>
        <v/>
      </c>
      <c r="E153" s="9">
        <f>SUMIFS(Datos!$H$4:$H$1187,Datos!$A$4:$A$1187,A153,Datos!$C$4:$C$1187,"Paysafe")</f>
        <v/>
      </c>
      <c r="F153" s="16">
        <f>SUM(B153:E153)</f>
        <v/>
      </c>
    </row>
    <row r="154">
      <c r="A154" s="13" t="n">
        <v>46079</v>
      </c>
      <c r="B154" s="14">
        <f>SUMIFS(Datos!$H$4:$H$1187,Datos!$A$4:$A$1187,A154,Datos!$C$4:$C$1187,"Shift4")</f>
        <v/>
      </c>
      <c r="C154" s="14">
        <f>SUMIFS(Datos!$H$4:$H$1187,Datos!$A$4:$A$1187,A154,Datos!$C$4:$C$1187,"Nuvei")</f>
        <v/>
      </c>
      <c r="D154" s="14">
        <f>SUMIFS(Datos!$H$4:$H$1187,Datos!$A$4:$A$1187,A154,Datos!$C$4:$C$1187,"Adyen")</f>
        <v/>
      </c>
      <c r="E154" s="14">
        <f>SUMIFS(Datos!$H$4:$H$1187,Datos!$A$4:$A$1187,A154,Datos!$C$4:$C$1187,"Paysafe")</f>
        <v/>
      </c>
      <c r="F154" s="15">
        <f>SUM(B154:E154)</f>
        <v/>
      </c>
    </row>
    <row r="155">
      <c r="A155" s="8" t="n">
        <v>46080</v>
      </c>
      <c r="B155" s="9">
        <f>SUMIFS(Datos!$H$4:$H$1187,Datos!$A$4:$A$1187,A155,Datos!$C$4:$C$1187,"Shift4")</f>
        <v/>
      </c>
      <c r="C155" s="9">
        <f>SUMIFS(Datos!$H$4:$H$1187,Datos!$A$4:$A$1187,A155,Datos!$C$4:$C$1187,"Nuvei")</f>
        <v/>
      </c>
      <c r="D155" s="9">
        <f>SUMIFS(Datos!$H$4:$H$1187,Datos!$A$4:$A$1187,A155,Datos!$C$4:$C$1187,"Adyen")</f>
        <v/>
      </c>
      <c r="E155" s="9">
        <f>SUMIFS(Datos!$H$4:$H$1187,Datos!$A$4:$A$1187,A155,Datos!$C$4:$C$1187,"Paysafe")</f>
        <v/>
      </c>
      <c r="F155" s="16">
        <f>SUM(B155:E155)</f>
        <v/>
      </c>
    </row>
    <row r="156">
      <c r="A156" s="13" t="n">
        <v>46081</v>
      </c>
      <c r="B156" s="14">
        <f>SUMIFS(Datos!$H$4:$H$1187,Datos!$A$4:$A$1187,A156,Datos!$C$4:$C$1187,"Shift4")</f>
        <v/>
      </c>
      <c r="C156" s="14">
        <f>SUMIFS(Datos!$H$4:$H$1187,Datos!$A$4:$A$1187,A156,Datos!$C$4:$C$1187,"Nuvei")</f>
        <v/>
      </c>
      <c r="D156" s="14">
        <f>SUMIFS(Datos!$H$4:$H$1187,Datos!$A$4:$A$1187,A156,Datos!$C$4:$C$1187,"Adyen")</f>
        <v/>
      </c>
      <c r="E156" s="14">
        <f>SUMIFS(Datos!$H$4:$H$1187,Datos!$A$4:$A$1187,A156,Datos!$C$4:$C$1187,"Paysafe")</f>
        <v/>
      </c>
      <c r="F156" s="15">
        <f>SUM(B156:E156)</f>
        <v/>
      </c>
    </row>
    <row r="157">
      <c r="A157" s="8" t="n">
        <v>46082</v>
      </c>
      <c r="B157" s="9">
        <f>SUMIFS(Datos!$H$4:$H$1187,Datos!$A$4:$A$1187,A157,Datos!$C$4:$C$1187,"Shift4")</f>
        <v/>
      </c>
      <c r="C157" s="9">
        <f>SUMIFS(Datos!$H$4:$H$1187,Datos!$A$4:$A$1187,A157,Datos!$C$4:$C$1187,"Nuvei")</f>
        <v/>
      </c>
      <c r="D157" s="9">
        <f>SUMIFS(Datos!$H$4:$H$1187,Datos!$A$4:$A$1187,A157,Datos!$C$4:$C$1187,"Adyen")</f>
        <v/>
      </c>
      <c r="E157" s="9">
        <f>SUMIFS(Datos!$H$4:$H$1187,Datos!$A$4:$A$1187,A157,Datos!$C$4:$C$1187,"Paysafe")</f>
        <v/>
      </c>
      <c r="F157" s="16">
        <f>SUM(B157:E157)</f>
        <v/>
      </c>
    </row>
    <row r="158">
      <c r="A158" s="13" t="n">
        <v>46083</v>
      </c>
      <c r="B158" s="14">
        <f>SUMIFS(Datos!$H$4:$H$1187,Datos!$A$4:$A$1187,A158,Datos!$C$4:$C$1187,"Shift4")</f>
        <v/>
      </c>
      <c r="C158" s="14">
        <f>SUMIFS(Datos!$H$4:$H$1187,Datos!$A$4:$A$1187,A158,Datos!$C$4:$C$1187,"Nuvei")</f>
        <v/>
      </c>
      <c r="D158" s="14">
        <f>SUMIFS(Datos!$H$4:$H$1187,Datos!$A$4:$A$1187,A158,Datos!$C$4:$C$1187,"Adyen")</f>
        <v/>
      </c>
      <c r="E158" s="14">
        <f>SUMIFS(Datos!$H$4:$H$1187,Datos!$A$4:$A$1187,A158,Datos!$C$4:$C$1187,"Paysafe")</f>
        <v/>
      </c>
      <c r="F158" s="15">
        <f>SUM(B158:E158)</f>
        <v/>
      </c>
    </row>
    <row r="159">
      <c r="A159" s="8" t="n">
        <v>46084</v>
      </c>
      <c r="B159" s="9">
        <f>SUMIFS(Datos!$H$4:$H$1187,Datos!$A$4:$A$1187,A159,Datos!$C$4:$C$1187,"Shift4")</f>
        <v/>
      </c>
      <c r="C159" s="9">
        <f>SUMIFS(Datos!$H$4:$H$1187,Datos!$A$4:$A$1187,A159,Datos!$C$4:$C$1187,"Nuvei")</f>
        <v/>
      </c>
      <c r="D159" s="9">
        <f>SUMIFS(Datos!$H$4:$H$1187,Datos!$A$4:$A$1187,A159,Datos!$C$4:$C$1187,"Adyen")</f>
        <v/>
      </c>
      <c r="E159" s="9">
        <f>SUMIFS(Datos!$H$4:$H$1187,Datos!$A$4:$A$1187,A159,Datos!$C$4:$C$1187,"Paysafe")</f>
        <v/>
      </c>
      <c r="F159" s="16">
        <f>SUM(B159:E159)</f>
        <v/>
      </c>
    </row>
    <row r="160">
      <c r="A160" s="13" t="n">
        <v>46085</v>
      </c>
      <c r="B160" s="14">
        <f>SUMIFS(Datos!$H$4:$H$1187,Datos!$A$4:$A$1187,A160,Datos!$C$4:$C$1187,"Shift4")</f>
        <v/>
      </c>
      <c r="C160" s="14">
        <f>SUMIFS(Datos!$H$4:$H$1187,Datos!$A$4:$A$1187,A160,Datos!$C$4:$C$1187,"Nuvei")</f>
        <v/>
      </c>
      <c r="D160" s="14">
        <f>SUMIFS(Datos!$H$4:$H$1187,Datos!$A$4:$A$1187,A160,Datos!$C$4:$C$1187,"Adyen")</f>
        <v/>
      </c>
      <c r="E160" s="14">
        <f>SUMIFS(Datos!$H$4:$H$1187,Datos!$A$4:$A$1187,A160,Datos!$C$4:$C$1187,"Paysafe")</f>
        <v/>
      </c>
      <c r="F160" s="15">
        <f>SUM(B160:E160)</f>
        <v/>
      </c>
    </row>
    <row r="161">
      <c r="A161" s="8" t="n">
        <v>46086</v>
      </c>
      <c r="B161" s="9">
        <f>SUMIFS(Datos!$H$4:$H$1187,Datos!$A$4:$A$1187,A161,Datos!$C$4:$C$1187,"Shift4")</f>
        <v/>
      </c>
      <c r="C161" s="9">
        <f>SUMIFS(Datos!$H$4:$H$1187,Datos!$A$4:$A$1187,A161,Datos!$C$4:$C$1187,"Nuvei")</f>
        <v/>
      </c>
      <c r="D161" s="9">
        <f>SUMIFS(Datos!$H$4:$H$1187,Datos!$A$4:$A$1187,A161,Datos!$C$4:$C$1187,"Adyen")</f>
        <v/>
      </c>
      <c r="E161" s="9">
        <f>SUMIFS(Datos!$H$4:$H$1187,Datos!$A$4:$A$1187,A161,Datos!$C$4:$C$1187,"Paysafe")</f>
        <v/>
      </c>
      <c r="F161" s="16">
        <f>SUM(B161:E161)</f>
        <v/>
      </c>
    </row>
    <row r="162">
      <c r="A162" s="13" t="n">
        <v>46087</v>
      </c>
      <c r="B162" s="14">
        <f>SUMIFS(Datos!$H$4:$H$1187,Datos!$A$4:$A$1187,A162,Datos!$C$4:$C$1187,"Shift4")</f>
        <v/>
      </c>
      <c r="C162" s="14">
        <f>SUMIFS(Datos!$H$4:$H$1187,Datos!$A$4:$A$1187,A162,Datos!$C$4:$C$1187,"Nuvei")</f>
        <v/>
      </c>
      <c r="D162" s="14">
        <f>SUMIFS(Datos!$H$4:$H$1187,Datos!$A$4:$A$1187,A162,Datos!$C$4:$C$1187,"Adyen")</f>
        <v/>
      </c>
      <c r="E162" s="14">
        <f>SUMIFS(Datos!$H$4:$H$1187,Datos!$A$4:$A$1187,A162,Datos!$C$4:$C$1187,"Paysafe")</f>
        <v/>
      </c>
      <c r="F162" s="15">
        <f>SUM(B162:E162)</f>
        <v/>
      </c>
    </row>
    <row r="163">
      <c r="A163" s="8" t="n">
        <v>46088</v>
      </c>
      <c r="B163" s="9">
        <f>SUMIFS(Datos!$H$4:$H$1187,Datos!$A$4:$A$1187,A163,Datos!$C$4:$C$1187,"Shift4")</f>
        <v/>
      </c>
      <c r="C163" s="9">
        <f>SUMIFS(Datos!$H$4:$H$1187,Datos!$A$4:$A$1187,A163,Datos!$C$4:$C$1187,"Nuvei")</f>
        <v/>
      </c>
      <c r="D163" s="9">
        <f>SUMIFS(Datos!$H$4:$H$1187,Datos!$A$4:$A$1187,A163,Datos!$C$4:$C$1187,"Adyen")</f>
        <v/>
      </c>
      <c r="E163" s="9">
        <f>SUMIFS(Datos!$H$4:$H$1187,Datos!$A$4:$A$1187,A163,Datos!$C$4:$C$1187,"Paysafe")</f>
        <v/>
      </c>
      <c r="F163" s="16">
        <f>SUM(B163:E163)</f>
        <v/>
      </c>
    </row>
    <row r="164">
      <c r="A164" s="13" t="n">
        <v>46089</v>
      </c>
      <c r="B164" s="14">
        <f>SUMIFS(Datos!$H$4:$H$1187,Datos!$A$4:$A$1187,A164,Datos!$C$4:$C$1187,"Shift4")</f>
        <v/>
      </c>
      <c r="C164" s="14">
        <f>SUMIFS(Datos!$H$4:$H$1187,Datos!$A$4:$A$1187,A164,Datos!$C$4:$C$1187,"Nuvei")</f>
        <v/>
      </c>
      <c r="D164" s="14">
        <f>SUMIFS(Datos!$H$4:$H$1187,Datos!$A$4:$A$1187,A164,Datos!$C$4:$C$1187,"Adyen")</f>
        <v/>
      </c>
      <c r="E164" s="14">
        <f>SUMIFS(Datos!$H$4:$H$1187,Datos!$A$4:$A$1187,A164,Datos!$C$4:$C$1187,"Paysafe")</f>
        <v/>
      </c>
      <c r="F164" s="15">
        <f>SUM(B164:E164)</f>
        <v/>
      </c>
    </row>
    <row r="165">
      <c r="A165" s="8" t="n">
        <v>46090</v>
      </c>
      <c r="B165" s="9">
        <f>SUMIFS(Datos!$H$4:$H$1187,Datos!$A$4:$A$1187,A165,Datos!$C$4:$C$1187,"Shift4")</f>
        <v/>
      </c>
      <c r="C165" s="9">
        <f>SUMIFS(Datos!$H$4:$H$1187,Datos!$A$4:$A$1187,A165,Datos!$C$4:$C$1187,"Nuvei")</f>
        <v/>
      </c>
      <c r="D165" s="9">
        <f>SUMIFS(Datos!$H$4:$H$1187,Datos!$A$4:$A$1187,A165,Datos!$C$4:$C$1187,"Adyen")</f>
        <v/>
      </c>
      <c r="E165" s="9">
        <f>SUMIFS(Datos!$H$4:$H$1187,Datos!$A$4:$A$1187,A165,Datos!$C$4:$C$1187,"Paysafe")</f>
        <v/>
      </c>
      <c r="F165" s="16">
        <f>SUM(B165:E165)</f>
        <v/>
      </c>
    </row>
    <row r="166">
      <c r="A166" s="13" t="n">
        <v>46091</v>
      </c>
      <c r="B166" s="14">
        <f>SUMIFS(Datos!$H$4:$H$1187,Datos!$A$4:$A$1187,A166,Datos!$C$4:$C$1187,"Shift4")</f>
        <v/>
      </c>
      <c r="C166" s="14">
        <f>SUMIFS(Datos!$H$4:$H$1187,Datos!$A$4:$A$1187,A166,Datos!$C$4:$C$1187,"Nuvei")</f>
        <v/>
      </c>
      <c r="D166" s="14">
        <f>SUMIFS(Datos!$H$4:$H$1187,Datos!$A$4:$A$1187,A166,Datos!$C$4:$C$1187,"Adyen")</f>
        <v/>
      </c>
      <c r="E166" s="14">
        <f>SUMIFS(Datos!$H$4:$H$1187,Datos!$A$4:$A$1187,A166,Datos!$C$4:$C$1187,"Paysafe")</f>
        <v/>
      </c>
      <c r="F166" s="15">
        <f>SUM(B166:E166)</f>
        <v/>
      </c>
    </row>
    <row r="167">
      <c r="A167" s="8" t="n">
        <v>46092</v>
      </c>
      <c r="B167" s="9">
        <f>SUMIFS(Datos!$H$4:$H$1187,Datos!$A$4:$A$1187,A167,Datos!$C$4:$C$1187,"Shift4")</f>
        <v/>
      </c>
      <c r="C167" s="9">
        <f>SUMIFS(Datos!$H$4:$H$1187,Datos!$A$4:$A$1187,A167,Datos!$C$4:$C$1187,"Nuvei")</f>
        <v/>
      </c>
      <c r="D167" s="9">
        <f>SUMIFS(Datos!$H$4:$H$1187,Datos!$A$4:$A$1187,A167,Datos!$C$4:$C$1187,"Adyen")</f>
        <v/>
      </c>
      <c r="E167" s="9">
        <f>SUMIFS(Datos!$H$4:$H$1187,Datos!$A$4:$A$1187,A167,Datos!$C$4:$C$1187,"Paysafe")</f>
        <v/>
      </c>
      <c r="F167" s="16">
        <f>SUM(B167:E167)</f>
        <v/>
      </c>
    </row>
    <row r="168">
      <c r="A168" s="13" t="n">
        <v>46093</v>
      </c>
      <c r="B168" s="14">
        <f>SUMIFS(Datos!$H$4:$H$1187,Datos!$A$4:$A$1187,A168,Datos!$C$4:$C$1187,"Shift4")</f>
        <v/>
      </c>
      <c r="C168" s="14">
        <f>SUMIFS(Datos!$H$4:$H$1187,Datos!$A$4:$A$1187,A168,Datos!$C$4:$C$1187,"Nuvei")</f>
        <v/>
      </c>
      <c r="D168" s="14">
        <f>SUMIFS(Datos!$H$4:$H$1187,Datos!$A$4:$A$1187,A168,Datos!$C$4:$C$1187,"Adyen")</f>
        <v/>
      </c>
      <c r="E168" s="14">
        <f>SUMIFS(Datos!$H$4:$H$1187,Datos!$A$4:$A$1187,A168,Datos!$C$4:$C$1187,"Paysafe")</f>
        <v/>
      </c>
      <c r="F168" s="15">
        <f>SUM(B168:E168)</f>
        <v/>
      </c>
    </row>
    <row r="169">
      <c r="A169" s="8" t="n">
        <v>46094</v>
      </c>
      <c r="B169" s="9">
        <f>SUMIFS(Datos!$H$4:$H$1187,Datos!$A$4:$A$1187,A169,Datos!$C$4:$C$1187,"Shift4")</f>
        <v/>
      </c>
      <c r="C169" s="9">
        <f>SUMIFS(Datos!$H$4:$H$1187,Datos!$A$4:$A$1187,A169,Datos!$C$4:$C$1187,"Nuvei")</f>
        <v/>
      </c>
      <c r="D169" s="9">
        <f>SUMIFS(Datos!$H$4:$H$1187,Datos!$A$4:$A$1187,A169,Datos!$C$4:$C$1187,"Adyen")</f>
        <v/>
      </c>
      <c r="E169" s="9">
        <f>SUMIFS(Datos!$H$4:$H$1187,Datos!$A$4:$A$1187,A169,Datos!$C$4:$C$1187,"Paysafe")</f>
        <v/>
      </c>
      <c r="F169" s="16">
        <f>SUM(B169:E169)</f>
        <v/>
      </c>
    </row>
    <row r="170">
      <c r="A170" s="13" t="n">
        <v>46095</v>
      </c>
      <c r="B170" s="14">
        <f>SUMIFS(Datos!$H$4:$H$1187,Datos!$A$4:$A$1187,A170,Datos!$C$4:$C$1187,"Shift4")</f>
        <v/>
      </c>
      <c r="C170" s="14">
        <f>SUMIFS(Datos!$H$4:$H$1187,Datos!$A$4:$A$1187,A170,Datos!$C$4:$C$1187,"Nuvei")</f>
        <v/>
      </c>
      <c r="D170" s="14">
        <f>SUMIFS(Datos!$H$4:$H$1187,Datos!$A$4:$A$1187,A170,Datos!$C$4:$C$1187,"Adyen")</f>
        <v/>
      </c>
      <c r="E170" s="14">
        <f>SUMIFS(Datos!$H$4:$H$1187,Datos!$A$4:$A$1187,A170,Datos!$C$4:$C$1187,"Paysafe")</f>
        <v/>
      </c>
      <c r="F170" s="15">
        <f>SUM(B170:E170)</f>
        <v/>
      </c>
    </row>
    <row r="171">
      <c r="A171" s="8" t="n">
        <v>46096</v>
      </c>
      <c r="B171" s="9">
        <f>SUMIFS(Datos!$H$4:$H$1187,Datos!$A$4:$A$1187,A171,Datos!$C$4:$C$1187,"Shift4")</f>
        <v/>
      </c>
      <c r="C171" s="9">
        <f>SUMIFS(Datos!$H$4:$H$1187,Datos!$A$4:$A$1187,A171,Datos!$C$4:$C$1187,"Nuvei")</f>
        <v/>
      </c>
      <c r="D171" s="9">
        <f>SUMIFS(Datos!$H$4:$H$1187,Datos!$A$4:$A$1187,A171,Datos!$C$4:$C$1187,"Adyen")</f>
        <v/>
      </c>
      <c r="E171" s="9">
        <f>SUMIFS(Datos!$H$4:$H$1187,Datos!$A$4:$A$1187,A171,Datos!$C$4:$C$1187,"Paysafe")</f>
        <v/>
      </c>
      <c r="F171" s="16">
        <f>SUM(B171:E171)</f>
        <v/>
      </c>
    </row>
    <row r="172">
      <c r="A172" s="13" t="n">
        <v>46097</v>
      </c>
      <c r="B172" s="14">
        <f>SUMIFS(Datos!$H$4:$H$1187,Datos!$A$4:$A$1187,A172,Datos!$C$4:$C$1187,"Shift4")</f>
        <v/>
      </c>
      <c r="C172" s="14">
        <f>SUMIFS(Datos!$H$4:$H$1187,Datos!$A$4:$A$1187,A172,Datos!$C$4:$C$1187,"Nuvei")</f>
        <v/>
      </c>
      <c r="D172" s="14">
        <f>SUMIFS(Datos!$H$4:$H$1187,Datos!$A$4:$A$1187,A172,Datos!$C$4:$C$1187,"Adyen")</f>
        <v/>
      </c>
      <c r="E172" s="14">
        <f>SUMIFS(Datos!$H$4:$H$1187,Datos!$A$4:$A$1187,A172,Datos!$C$4:$C$1187,"Paysafe")</f>
        <v/>
      </c>
      <c r="F172" s="15">
        <f>SUM(B172:E172)</f>
        <v/>
      </c>
    </row>
    <row r="173">
      <c r="A173" s="8" t="n">
        <v>46098</v>
      </c>
      <c r="B173" s="9">
        <f>SUMIFS(Datos!$H$4:$H$1187,Datos!$A$4:$A$1187,A173,Datos!$C$4:$C$1187,"Shift4")</f>
        <v/>
      </c>
      <c r="C173" s="9">
        <f>SUMIFS(Datos!$H$4:$H$1187,Datos!$A$4:$A$1187,A173,Datos!$C$4:$C$1187,"Nuvei")</f>
        <v/>
      </c>
      <c r="D173" s="9">
        <f>SUMIFS(Datos!$H$4:$H$1187,Datos!$A$4:$A$1187,A173,Datos!$C$4:$C$1187,"Adyen")</f>
        <v/>
      </c>
      <c r="E173" s="9">
        <f>SUMIFS(Datos!$H$4:$H$1187,Datos!$A$4:$A$1187,A173,Datos!$C$4:$C$1187,"Paysafe")</f>
        <v/>
      </c>
      <c r="F173" s="16">
        <f>SUM(B173:E173)</f>
        <v/>
      </c>
    </row>
    <row r="174">
      <c r="A174" s="13" t="n">
        <v>46099</v>
      </c>
      <c r="B174" s="14">
        <f>SUMIFS(Datos!$H$4:$H$1187,Datos!$A$4:$A$1187,A174,Datos!$C$4:$C$1187,"Shift4")</f>
        <v/>
      </c>
      <c r="C174" s="14">
        <f>SUMIFS(Datos!$H$4:$H$1187,Datos!$A$4:$A$1187,A174,Datos!$C$4:$C$1187,"Nuvei")</f>
        <v/>
      </c>
      <c r="D174" s="14">
        <f>SUMIFS(Datos!$H$4:$H$1187,Datos!$A$4:$A$1187,A174,Datos!$C$4:$C$1187,"Adyen")</f>
        <v/>
      </c>
      <c r="E174" s="14">
        <f>SUMIFS(Datos!$H$4:$H$1187,Datos!$A$4:$A$1187,A174,Datos!$C$4:$C$1187,"Paysafe")</f>
        <v/>
      </c>
      <c r="F174" s="15">
        <f>SUM(B174:E174)</f>
        <v/>
      </c>
    </row>
    <row r="175">
      <c r="A175" s="8" t="n">
        <v>46100</v>
      </c>
      <c r="B175" s="9">
        <f>SUMIFS(Datos!$H$4:$H$1187,Datos!$A$4:$A$1187,A175,Datos!$C$4:$C$1187,"Shift4")</f>
        <v/>
      </c>
      <c r="C175" s="9">
        <f>SUMIFS(Datos!$H$4:$H$1187,Datos!$A$4:$A$1187,A175,Datos!$C$4:$C$1187,"Nuvei")</f>
        <v/>
      </c>
      <c r="D175" s="9">
        <f>SUMIFS(Datos!$H$4:$H$1187,Datos!$A$4:$A$1187,A175,Datos!$C$4:$C$1187,"Adyen")</f>
        <v/>
      </c>
      <c r="E175" s="9">
        <f>SUMIFS(Datos!$H$4:$H$1187,Datos!$A$4:$A$1187,A175,Datos!$C$4:$C$1187,"Paysafe")</f>
        <v/>
      </c>
      <c r="F175" s="16">
        <f>SUM(B175:E175)</f>
        <v/>
      </c>
    </row>
    <row r="176">
      <c r="A176" s="13" t="n">
        <v>46101</v>
      </c>
      <c r="B176" s="14">
        <f>SUMIFS(Datos!$H$4:$H$1187,Datos!$A$4:$A$1187,A176,Datos!$C$4:$C$1187,"Shift4")</f>
        <v/>
      </c>
      <c r="C176" s="14">
        <f>SUMIFS(Datos!$H$4:$H$1187,Datos!$A$4:$A$1187,A176,Datos!$C$4:$C$1187,"Nuvei")</f>
        <v/>
      </c>
      <c r="D176" s="14">
        <f>SUMIFS(Datos!$H$4:$H$1187,Datos!$A$4:$A$1187,A176,Datos!$C$4:$C$1187,"Adyen")</f>
        <v/>
      </c>
      <c r="E176" s="14">
        <f>SUMIFS(Datos!$H$4:$H$1187,Datos!$A$4:$A$1187,A176,Datos!$C$4:$C$1187,"Paysafe")</f>
        <v/>
      </c>
      <c r="F176" s="15">
        <f>SUM(B176:E176)</f>
        <v/>
      </c>
    </row>
    <row r="177">
      <c r="A177" s="8" t="n">
        <v>46102</v>
      </c>
      <c r="B177" s="9">
        <f>SUMIFS(Datos!$H$4:$H$1187,Datos!$A$4:$A$1187,A177,Datos!$C$4:$C$1187,"Shift4")</f>
        <v/>
      </c>
      <c r="C177" s="9">
        <f>SUMIFS(Datos!$H$4:$H$1187,Datos!$A$4:$A$1187,A177,Datos!$C$4:$C$1187,"Nuvei")</f>
        <v/>
      </c>
      <c r="D177" s="9">
        <f>SUMIFS(Datos!$H$4:$H$1187,Datos!$A$4:$A$1187,A177,Datos!$C$4:$C$1187,"Adyen")</f>
        <v/>
      </c>
      <c r="E177" s="9">
        <f>SUMIFS(Datos!$H$4:$H$1187,Datos!$A$4:$A$1187,A177,Datos!$C$4:$C$1187,"Paysafe")</f>
        <v/>
      </c>
      <c r="F177" s="16">
        <f>SUM(B177:E177)</f>
        <v/>
      </c>
    </row>
    <row r="178">
      <c r="A178" s="13" t="n">
        <v>46103</v>
      </c>
      <c r="B178" s="14">
        <f>SUMIFS(Datos!$H$4:$H$1187,Datos!$A$4:$A$1187,A178,Datos!$C$4:$C$1187,"Shift4")</f>
        <v/>
      </c>
      <c r="C178" s="14">
        <f>SUMIFS(Datos!$H$4:$H$1187,Datos!$A$4:$A$1187,A178,Datos!$C$4:$C$1187,"Nuvei")</f>
        <v/>
      </c>
      <c r="D178" s="14">
        <f>SUMIFS(Datos!$H$4:$H$1187,Datos!$A$4:$A$1187,A178,Datos!$C$4:$C$1187,"Adyen")</f>
        <v/>
      </c>
      <c r="E178" s="14">
        <f>SUMIFS(Datos!$H$4:$H$1187,Datos!$A$4:$A$1187,A178,Datos!$C$4:$C$1187,"Paysafe")</f>
        <v/>
      </c>
      <c r="F178" s="15">
        <f>SUM(B178:E178)</f>
        <v/>
      </c>
    </row>
    <row r="179">
      <c r="A179" s="8" t="n">
        <v>46104</v>
      </c>
      <c r="B179" s="9">
        <f>SUMIFS(Datos!$H$4:$H$1187,Datos!$A$4:$A$1187,A179,Datos!$C$4:$C$1187,"Shift4")</f>
        <v/>
      </c>
      <c r="C179" s="9">
        <f>SUMIFS(Datos!$H$4:$H$1187,Datos!$A$4:$A$1187,A179,Datos!$C$4:$C$1187,"Nuvei")</f>
        <v/>
      </c>
      <c r="D179" s="9">
        <f>SUMIFS(Datos!$H$4:$H$1187,Datos!$A$4:$A$1187,A179,Datos!$C$4:$C$1187,"Adyen")</f>
        <v/>
      </c>
      <c r="E179" s="9">
        <f>SUMIFS(Datos!$H$4:$H$1187,Datos!$A$4:$A$1187,A179,Datos!$C$4:$C$1187,"Paysafe")</f>
        <v/>
      </c>
      <c r="F179" s="16">
        <f>SUM(B179:E179)</f>
        <v/>
      </c>
    </row>
    <row r="180">
      <c r="A180" s="13" t="n">
        <v>46105</v>
      </c>
      <c r="B180" s="14">
        <f>SUMIFS(Datos!$H$4:$H$1187,Datos!$A$4:$A$1187,A180,Datos!$C$4:$C$1187,"Shift4")</f>
        <v/>
      </c>
      <c r="C180" s="14">
        <f>SUMIFS(Datos!$H$4:$H$1187,Datos!$A$4:$A$1187,A180,Datos!$C$4:$C$1187,"Nuvei")</f>
        <v/>
      </c>
      <c r="D180" s="14">
        <f>SUMIFS(Datos!$H$4:$H$1187,Datos!$A$4:$A$1187,A180,Datos!$C$4:$C$1187,"Adyen")</f>
        <v/>
      </c>
      <c r="E180" s="14">
        <f>SUMIFS(Datos!$H$4:$H$1187,Datos!$A$4:$A$1187,A180,Datos!$C$4:$C$1187,"Paysafe")</f>
        <v/>
      </c>
      <c r="F180" s="15">
        <f>SUM(B180:E180)</f>
        <v/>
      </c>
    </row>
    <row r="181">
      <c r="A181" s="8" t="n">
        <v>46106</v>
      </c>
      <c r="B181" s="9">
        <f>SUMIFS(Datos!$H$4:$H$1187,Datos!$A$4:$A$1187,A181,Datos!$C$4:$C$1187,"Shift4")</f>
        <v/>
      </c>
      <c r="C181" s="9">
        <f>SUMIFS(Datos!$H$4:$H$1187,Datos!$A$4:$A$1187,A181,Datos!$C$4:$C$1187,"Nuvei")</f>
        <v/>
      </c>
      <c r="D181" s="9">
        <f>SUMIFS(Datos!$H$4:$H$1187,Datos!$A$4:$A$1187,A181,Datos!$C$4:$C$1187,"Adyen")</f>
        <v/>
      </c>
      <c r="E181" s="9">
        <f>SUMIFS(Datos!$H$4:$H$1187,Datos!$A$4:$A$1187,A181,Datos!$C$4:$C$1187,"Paysafe")</f>
        <v/>
      </c>
      <c r="F181" s="16">
        <f>SUM(B181:E181)</f>
        <v/>
      </c>
    </row>
    <row r="182">
      <c r="A182" s="13" t="n">
        <v>46107</v>
      </c>
      <c r="B182" s="14">
        <f>SUMIFS(Datos!$H$4:$H$1187,Datos!$A$4:$A$1187,A182,Datos!$C$4:$C$1187,"Shift4")</f>
        <v/>
      </c>
      <c r="C182" s="14">
        <f>SUMIFS(Datos!$H$4:$H$1187,Datos!$A$4:$A$1187,A182,Datos!$C$4:$C$1187,"Nuvei")</f>
        <v/>
      </c>
      <c r="D182" s="14">
        <f>SUMIFS(Datos!$H$4:$H$1187,Datos!$A$4:$A$1187,A182,Datos!$C$4:$C$1187,"Adyen")</f>
        <v/>
      </c>
      <c r="E182" s="14">
        <f>SUMIFS(Datos!$H$4:$H$1187,Datos!$A$4:$A$1187,A182,Datos!$C$4:$C$1187,"Paysafe")</f>
        <v/>
      </c>
      <c r="F182" s="15">
        <f>SUM(B182:E182)</f>
        <v/>
      </c>
    </row>
    <row r="183">
      <c r="A183" s="8" t="n">
        <v>46108</v>
      </c>
      <c r="B183" s="9">
        <f>SUMIFS(Datos!$H$4:$H$1187,Datos!$A$4:$A$1187,A183,Datos!$C$4:$C$1187,"Shift4")</f>
        <v/>
      </c>
      <c r="C183" s="9">
        <f>SUMIFS(Datos!$H$4:$H$1187,Datos!$A$4:$A$1187,A183,Datos!$C$4:$C$1187,"Nuvei")</f>
        <v/>
      </c>
      <c r="D183" s="9">
        <f>SUMIFS(Datos!$H$4:$H$1187,Datos!$A$4:$A$1187,A183,Datos!$C$4:$C$1187,"Adyen")</f>
        <v/>
      </c>
      <c r="E183" s="9">
        <f>SUMIFS(Datos!$H$4:$H$1187,Datos!$A$4:$A$1187,A183,Datos!$C$4:$C$1187,"Paysafe")</f>
        <v/>
      </c>
      <c r="F183" s="16">
        <f>SUM(B183:E183)</f>
        <v/>
      </c>
    </row>
    <row r="184">
      <c r="A184" s="13" t="n">
        <v>46109</v>
      </c>
      <c r="B184" s="14">
        <f>SUMIFS(Datos!$H$4:$H$1187,Datos!$A$4:$A$1187,A184,Datos!$C$4:$C$1187,"Shift4")</f>
        <v/>
      </c>
      <c r="C184" s="14">
        <f>SUMIFS(Datos!$H$4:$H$1187,Datos!$A$4:$A$1187,A184,Datos!$C$4:$C$1187,"Nuvei")</f>
        <v/>
      </c>
      <c r="D184" s="14">
        <f>SUMIFS(Datos!$H$4:$H$1187,Datos!$A$4:$A$1187,A184,Datos!$C$4:$C$1187,"Adyen")</f>
        <v/>
      </c>
      <c r="E184" s="14">
        <f>SUMIFS(Datos!$H$4:$H$1187,Datos!$A$4:$A$1187,A184,Datos!$C$4:$C$1187,"Paysafe")</f>
        <v/>
      </c>
      <c r="F184" s="15">
        <f>SUM(B184:E184)</f>
        <v/>
      </c>
    </row>
    <row r="185">
      <c r="A185" s="8" t="n">
        <v>46110</v>
      </c>
      <c r="B185" s="9">
        <f>SUMIFS(Datos!$H$4:$H$1187,Datos!$A$4:$A$1187,A185,Datos!$C$4:$C$1187,"Shift4")</f>
        <v/>
      </c>
      <c r="C185" s="9">
        <f>SUMIFS(Datos!$H$4:$H$1187,Datos!$A$4:$A$1187,A185,Datos!$C$4:$C$1187,"Nuvei")</f>
        <v/>
      </c>
      <c r="D185" s="9">
        <f>SUMIFS(Datos!$H$4:$H$1187,Datos!$A$4:$A$1187,A185,Datos!$C$4:$C$1187,"Adyen")</f>
        <v/>
      </c>
      <c r="E185" s="9">
        <f>SUMIFS(Datos!$H$4:$H$1187,Datos!$A$4:$A$1187,A185,Datos!$C$4:$C$1187,"Paysafe")</f>
        <v/>
      </c>
      <c r="F185" s="16">
        <f>SUM(B185:E185)</f>
        <v/>
      </c>
    </row>
    <row r="186">
      <c r="A186" s="13" t="n">
        <v>46111</v>
      </c>
      <c r="B186" s="14">
        <f>SUMIFS(Datos!$H$4:$H$1187,Datos!$A$4:$A$1187,A186,Datos!$C$4:$C$1187,"Shift4")</f>
        <v/>
      </c>
      <c r="C186" s="14">
        <f>SUMIFS(Datos!$H$4:$H$1187,Datos!$A$4:$A$1187,A186,Datos!$C$4:$C$1187,"Nuvei")</f>
        <v/>
      </c>
      <c r="D186" s="14">
        <f>SUMIFS(Datos!$H$4:$H$1187,Datos!$A$4:$A$1187,A186,Datos!$C$4:$C$1187,"Adyen")</f>
        <v/>
      </c>
      <c r="E186" s="14">
        <f>SUMIFS(Datos!$H$4:$H$1187,Datos!$A$4:$A$1187,A186,Datos!$C$4:$C$1187,"Paysafe")</f>
        <v/>
      </c>
      <c r="F186" s="15">
        <f>SUM(B186:E186)</f>
        <v/>
      </c>
    </row>
    <row r="187">
      <c r="A187" s="8" t="n">
        <v>46112</v>
      </c>
      <c r="B187" s="9">
        <f>SUMIFS(Datos!$H$4:$H$1187,Datos!$A$4:$A$1187,A187,Datos!$C$4:$C$1187,"Shift4")</f>
        <v/>
      </c>
      <c r="C187" s="9">
        <f>SUMIFS(Datos!$H$4:$H$1187,Datos!$A$4:$A$1187,A187,Datos!$C$4:$C$1187,"Nuvei")</f>
        <v/>
      </c>
      <c r="D187" s="9">
        <f>SUMIFS(Datos!$H$4:$H$1187,Datos!$A$4:$A$1187,A187,Datos!$C$4:$C$1187,"Adyen")</f>
        <v/>
      </c>
      <c r="E187" s="9">
        <f>SUMIFS(Datos!$H$4:$H$1187,Datos!$A$4:$A$1187,A187,Datos!$C$4:$C$1187,"Paysafe")</f>
        <v/>
      </c>
      <c r="F187" s="16">
        <f>SUM(B187:E187)</f>
        <v/>
      </c>
    </row>
    <row r="188">
      <c r="A188" s="13" t="n">
        <v>46113</v>
      </c>
      <c r="B188" s="14">
        <f>SUMIFS(Datos!$H$4:$H$1187,Datos!$A$4:$A$1187,A188,Datos!$C$4:$C$1187,"Shift4")</f>
        <v/>
      </c>
      <c r="C188" s="14">
        <f>SUMIFS(Datos!$H$4:$H$1187,Datos!$A$4:$A$1187,A188,Datos!$C$4:$C$1187,"Nuvei")</f>
        <v/>
      </c>
      <c r="D188" s="14">
        <f>SUMIFS(Datos!$H$4:$H$1187,Datos!$A$4:$A$1187,A188,Datos!$C$4:$C$1187,"Adyen")</f>
        <v/>
      </c>
      <c r="E188" s="14">
        <f>SUMIFS(Datos!$H$4:$H$1187,Datos!$A$4:$A$1187,A188,Datos!$C$4:$C$1187,"Paysafe")</f>
        <v/>
      </c>
      <c r="F188" s="15">
        <f>SUM(B188:E188)</f>
        <v/>
      </c>
    </row>
    <row r="189">
      <c r="A189" s="8" t="n">
        <v>46114</v>
      </c>
      <c r="B189" s="9">
        <f>SUMIFS(Datos!$H$4:$H$1187,Datos!$A$4:$A$1187,A189,Datos!$C$4:$C$1187,"Shift4")</f>
        <v/>
      </c>
      <c r="C189" s="9">
        <f>SUMIFS(Datos!$H$4:$H$1187,Datos!$A$4:$A$1187,A189,Datos!$C$4:$C$1187,"Nuvei")</f>
        <v/>
      </c>
      <c r="D189" s="9">
        <f>SUMIFS(Datos!$H$4:$H$1187,Datos!$A$4:$A$1187,A189,Datos!$C$4:$C$1187,"Adyen")</f>
        <v/>
      </c>
      <c r="E189" s="9">
        <f>SUMIFS(Datos!$H$4:$H$1187,Datos!$A$4:$A$1187,A189,Datos!$C$4:$C$1187,"Paysafe")</f>
        <v/>
      </c>
      <c r="F189" s="16">
        <f>SUM(B189:E189)</f>
        <v/>
      </c>
    </row>
    <row r="190">
      <c r="A190" s="13" t="n">
        <v>46115</v>
      </c>
      <c r="B190" s="14">
        <f>SUMIFS(Datos!$H$4:$H$1187,Datos!$A$4:$A$1187,A190,Datos!$C$4:$C$1187,"Shift4")</f>
        <v/>
      </c>
      <c r="C190" s="14">
        <f>SUMIFS(Datos!$H$4:$H$1187,Datos!$A$4:$A$1187,A190,Datos!$C$4:$C$1187,"Nuvei")</f>
        <v/>
      </c>
      <c r="D190" s="14">
        <f>SUMIFS(Datos!$H$4:$H$1187,Datos!$A$4:$A$1187,A190,Datos!$C$4:$C$1187,"Adyen")</f>
        <v/>
      </c>
      <c r="E190" s="14">
        <f>SUMIFS(Datos!$H$4:$H$1187,Datos!$A$4:$A$1187,A190,Datos!$C$4:$C$1187,"Paysafe")</f>
        <v/>
      </c>
      <c r="F190" s="15">
        <f>SUM(B190:E190)</f>
        <v/>
      </c>
    </row>
    <row r="191">
      <c r="A191" s="8" t="n">
        <v>46116</v>
      </c>
      <c r="B191" s="9">
        <f>SUMIFS(Datos!$H$4:$H$1187,Datos!$A$4:$A$1187,A191,Datos!$C$4:$C$1187,"Shift4")</f>
        <v/>
      </c>
      <c r="C191" s="9">
        <f>SUMIFS(Datos!$H$4:$H$1187,Datos!$A$4:$A$1187,A191,Datos!$C$4:$C$1187,"Nuvei")</f>
        <v/>
      </c>
      <c r="D191" s="9">
        <f>SUMIFS(Datos!$H$4:$H$1187,Datos!$A$4:$A$1187,A191,Datos!$C$4:$C$1187,"Adyen")</f>
        <v/>
      </c>
      <c r="E191" s="9">
        <f>SUMIFS(Datos!$H$4:$H$1187,Datos!$A$4:$A$1187,A191,Datos!$C$4:$C$1187,"Paysafe")</f>
        <v/>
      </c>
      <c r="F191" s="16">
        <f>SUM(B191:E191)</f>
        <v/>
      </c>
    </row>
    <row r="192">
      <c r="A192" s="13" t="n">
        <v>46117</v>
      </c>
      <c r="B192" s="14">
        <f>SUMIFS(Datos!$H$4:$H$1187,Datos!$A$4:$A$1187,A192,Datos!$C$4:$C$1187,"Shift4")</f>
        <v/>
      </c>
      <c r="C192" s="14">
        <f>SUMIFS(Datos!$H$4:$H$1187,Datos!$A$4:$A$1187,A192,Datos!$C$4:$C$1187,"Nuvei")</f>
        <v/>
      </c>
      <c r="D192" s="14">
        <f>SUMIFS(Datos!$H$4:$H$1187,Datos!$A$4:$A$1187,A192,Datos!$C$4:$C$1187,"Adyen")</f>
        <v/>
      </c>
      <c r="E192" s="14">
        <f>SUMIFS(Datos!$H$4:$H$1187,Datos!$A$4:$A$1187,A192,Datos!$C$4:$C$1187,"Paysafe")</f>
        <v/>
      </c>
      <c r="F192" s="15">
        <f>SUM(B192:E192)</f>
        <v/>
      </c>
    </row>
    <row r="193">
      <c r="A193" s="8" t="n">
        <v>46118</v>
      </c>
      <c r="B193" s="9">
        <f>SUMIFS(Datos!$H$4:$H$1187,Datos!$A$4:$A$1187,A193,Datos!$C$4:$C$1187,"Shift4")</f>
        <v/>
      </c>
      <c r="C193" s="9">
        <f>SUMIFS(Datos!$H$4:$H$1187,Datos!$A$4:$A$1187,A193,Datos!$C$4:$C$1187,"Nuvei")</f>
        <v/>
      </c>
      <c r="D193" s="9">
        <f>SUMIFS(Datos!$H$4:$H$1187,Datos!$A$4:$A$1187,A193,Datos!$C$4:$C$1187,"Adyen")</f>
        <v/>
      </c>
      <c r="E193" s="9">
        <f>SUMIFS(Datos!$H$4:$H$1187,Datos!$A$4:$A$1187,A193,Datos!$C$4:$C$1187,"Paysafe")</f>
        <v/>
      </c>
      <c r="F193" s="16">
        <f>SUM(B193:E193)</f>
        <v/>
      </c>
    </row>
    <row r="194">
      <c r="A194" s="13" t="n">
        <v>46119</v>
      </c>
      <c r="B194" s="14">
        <f>SUMIFS(Datos!$H$4:$H$1187,Datos!$A$4:$A$1187,A194,Datos!$C$4:$C$1187,"Shift4")</f>
        <v/>
      </c>
      <c r="C194" s="14">
        <f>SUMIFS(Datos!$H$4:$H$1187,Datos!$A$4:$A$1187,A194,Datos!$C$4:$C$1187,"Nuvei")</f>
        <v/>
      </c>
      <c r="D194" s="14">
        <f>SUMIFS(Datos!$H$4:$H$1187,Datos!$A$4:$A$1187,A194,Datos!$C$4:$C$1187,"Adyen")</f>
        <v/>
      </c>
      <c r="E194" s="14">
        <f>SUMIFS(Datos!$H$4:$H$1187,Datos!$A$4:$A$1187,A194,Datos!$C$4:$C$1187,"Paysafe")</f>
        <v/>
      </c>
      <c r="F194" s="15">
        <f>SUM(B194:E194)</f>
        <v/>
      </c>
    </row>
    <row r="195">
      <c r="A195" s="8" t="n">
        <v>46120</v>
      </c>
      <c r="B195" s="9">
        <f>SUMIFS(Datos!$H$4:$H$1187,Datos!$A$4:$A$1187,A195,Datos!$C$4:$C$1187,"Shift4")</f>
        <v/>
      </c>
      <c r="C195" s="9">
        <f>SUMIFS(Datos!$H$4:$H$1187,Datos!$A$4:$A$1187,A195,Datos!$C$4:$C$1187,"Nuvei")</f>
        <v/>
      </c>
      <c r="D195" s="9">
        <f>SUMIFS(Datos!$H$4:$H$1187,Datos!$A$4:$A$1187,A195,Datos!$C$4:$C$1187,"Adyen")</f>
        <v/>
      </c>
      <c r="E195" s="9">
        <f>SUMIFS(Datos!$H$4:$H$1187,Datos!$A$4:$A$1187,A195,Datos!$C$4:$C$1187,"Paysafe")</f>
        <v/>
      </c>
      <c r="F195" s="16">
        <f>SUM(B195:E195)</f>
        <v/>
      </c>
    </row>
    <row r="196">
      <c r="A196" s="13" t="n">
        <v>46121</v>
      </c>
      <c r="B196" s="14">
        <f>SUMIFS(Datos!$H$4:$H$1187,Datos!$A$4:$A$1187,A196,Datos!$C$4:$C$1187,"Shift4")</f>
        <v/>
      </c>
      <c r="C196" s="14">
        <f>SUMIFS(Datos!$H$4:$H$1187,Datos!$A$4:$A$1187,A196,Datos!$C$4:$C$1187,"Nuvei")</f>
        <v/>
      </c>
      <c r="D196" s="14">
        <f>SUMIFS(Datos!$H$4:$H$1187,Datos!$A$4:$A$1187,A196,Datos!$C$4:$C$1187,"Adyen")</f>
        <v/>
      </c>
      <c r="E196" s="14">
        <f>SUMIFS(Datos!$H$4:$H$1187,Datos!$A$4:$A$1187,A196,Datos!$C$4:$C$1187,"Paysafe")</f>
        <v/>
      </c>
      <c r="F196" s="15">
        <f>SUM(B196:E196)</f>
        <v/>
      </c>
    </row>
    <row r="197">
      <c r="A197" s="8" t="n">
        <v>46122</v>
      </c>
      <c r="B197" s="9">
        <f>SUMIFS(Datos!$H$4:$H$1187,Datos!$A$4:$A$1187,A197,Datos!$C$4:$C$1187,"Shift4")</f>
        <v/>
      </c>
      <c r="C197" s="9">
        <f>SUMIFS(Datos!$H$4:$H$1187,Datos!$A$4:$A$1187,A197,Datos!$C$4:$C$1187,"Nuvei")</f>
        <v/>
      </c>
      <c r="D197" s="9">
        <f>SUMIFS(Datos!$H$4:$H$1187,Datos!$A$4:$A$1187,A197,Datos!$C$4:$C$1187,"Adyen")</f>
        <v/>
      </c>
      <c r="E197" s="9">
        <f>SUMIFS(Datos!$H$4:$H$1187,Datos!$A$4:$A$1187,A197,Datos!$C$4:$C$1187,"Paysafe")</f>
        <v/>
      </c>
      <c r="F197" s="16">
        <f>SUM(B197:E197)</f>
        <v/>
      </c>
    </row>
    <row r="198">
      <c r="A198" s="13" t="n">
        <v>46123</v>
      </c>
      <c r="B198" s="14">
        <f>SUMIFS(Datos!$H$4:$H$1187,Datos!$A$4:$A$1187,A198,Datos!$C$4:$C$1187,"Shift4")</f>
        <v/>
      </c>
      <c r="C198" s="14">
        <f>SUMIFS(Datos!$H$4:$H$1187,Datos!$A$4:$A$1187,A198,Datos!$C$4:$C$1187,"Nuvei")</f>
        <v/>
      </c>
      <c r="D198" s="14">
        <f>SUMIFS(Datos!$H$4:$H$1187,Datos!$A$4:$A$1187,A198,Datos!$C$4:$C$1187,"Adyen")</f>
        <v/>
      </c>
      <c r="E198" s="14">
        <f>SUMIFS(Datos!$H$4:$H$1187,Datos!$A$4:$A$1187,A198,Datos!$C$4:$C$1187,"Paysafe")</f>
        <v/>
      </c>
      <c r="F198" s="15">
        <f>SUM(B198:E198)</f>
        <v/>
      </c>
    </row>
    <row r="199">
      <c r="A199" s="8" t="n">
        <v>46124</v>
      </c>
      <c r="B199" s="9">
        <f>SUMIFS(Datos!$H$4:$H$1187,Datos!$A$4:$A$1187,A199,Datos!$C$4:$C$1187,"Shift4")</f>
        <v/>
      </c>
      <c r="C199" s="9">
        <f>SUMIFS(Datos!$H$4:$H$1187,Datos!$A$4:$A$1187,A199,Datos!$C$4:$C$1187,"Nuvei")</f>
        <v/>
      </c>
      <c r="D199" s="9">
        <f>SUMIFS(Datos!$H$4:$H$1187,Datos!$A$4:$A$1187,A199,Datos!$C$4:$C$1187,"Adyen")</f>
        <v/>
      </c>
      <c r="E199" s="9">
        <f>SUMIFS(Datos!$H$4:$H$1187,Datos!$A$4:$A$1187,A199,Datos!$C$4:$C$1187,"Paysafe")</f>
        <v/>
      </c>
      <c r="F199" s="16">
        <f>SUM(B199:E199)</f>
        <v/>
      </c>
    </row>
    <row r="200">
      <c r="A200" s="13" t="n">
        <v>46125</v>
      </c>
      <c r="B200" s="14">
        <f>SUMIFS(Datos!$H$4:$H$1187,Datos!$A$4:$A$1187,A200,Datos!$C$4:$C$1187,"Shift4")</f>
        <v/>
      </c>
      <c r="C200" s="14">
        <f>SUMIFS(Datos!$H$4:$H$1187,Datos!$A$4:$A$1187,A200,Datos!$C$4:$C$1187,"Nuvei")</f>
        <v/>
      </c>
      <c r="D200" s="14">
        <f>SUMIFS(Datos!$H$4:$H$1187,Datos!$A$4:$A$1187,A200,Datos!$C$4:$C$1187,"Adyen")</f>
        <v/>
      </c>
      <c r="E200" s="14">
        <f>SUMIFS(Datos!$H$4:$H$1187,Datos!$A$4:$A$1187,A200,Datos!$C$4:$C$1187,"Paysafe")</f>
        <v/>
      </c>
      <c r="F200" s="15">
        <f>SUM(B200:E200)</f>
        <v/>
      </c>
    </row>
    <row r="201">
      <c r="A201" s="8" t="n">
        <v>46126</v>
      </c>
      <c r="B201" s="9">
        <f>SUMIFS(Datos!$H$4:$H$1187,Datos!$A$4:$A$1187,A201,Datos!$C$4:$C$1187,"Shift4")</f>
        <v/>
      </c>
      <c r="C201" s="9">
        <f>SUMIFS(Datos!$H$4:$H$1187,Datos!$A$4:$A$1187,A201,Datos!$C$4:$C$1187,"Nuvei")</f>
        <v/>
      </c>
      <c r="D201" s="9">
        <f>SUMIFS(Datos!$H$4:$H$1187,Datos!$A$4:$A$1187,A201,Datos!$C$4:$C$1187,"Adyen")</f>
        <v/>
      </c>
      <c r="E201" s="9">
        <f>SUMIFS(Datos!$H$4:$H$1187,Datos!$A$4:$A$1187,A201,Datos!$C$4:$C$1187,"Paysafe")</f>
        <v/>
      </c>
      <c r="F201" s="16">
        <f>SUM(B201:E201)</f>
        <v/>
      </c>
    </row>
    <row r="202">
      <c r="A202" s="13" t="n">
        <v>46127</v>
      </c>
      <c r="B202" s="14">
        <f>SUMIFS(Datos!$H$4:$H$1187,Datos!$A$4:$A$1187,A202,Datos!$C$4:$C$1187,"Shift4")</f>
        <v/>
      </c>
      <c r="C202" s="14">
        <f>SUMIFS(Datos!$H$4:$H$1187,Datos!$A$4:$A$1187,A202,Datos!$C$4:$C$1187,"Nuvei")</f>
        <v/>
      </c>
      <c r="D202" s="14">
        <f>SUMIFS(Datos!$H$4:$H$1187,Datos!$A$4:$A$1187,A202,Datos!$C$4:$C$1187,"Adyen")</f>
        <v/>
      </c>
      <c r="E202" s="14">
        <f>SUMIFS(Datos!$H$4:$H$1187,Datos!$A$4:$A$1187,A202,Datos!$C$4:$C$1187,"Paysafe")</f>
        <v/>
      </c>
      <c r="F202" s="15">
        <f>SUM(B202:E202)</f>
        <v/>
      </c>
    </row>
    <row r="203">
      <c r="A203" s="8" t="n">
        <v>46128</v>
      </c>
      <c r="B203" s="9">
        <f>SUMIFS(Datos!$H$4:$H$1187,Datos!$A$4:$A$1187,A203,Datos!$C$4:$C$1187,"Shift4")</f>
        <v/>
      </c>
      <c r="C203" s="9">
        <f>SUMIFS(Datos!$H$4:$H$1187,Datos!$A$4:$A$1187,A203,Datos!$C$4:$C$1187,"Nuvei")</f>
        <v/>
      </c>
      <c r="D203" s="9">
        <f>SUMIFS(Datos!$H$4:$H$1187,Datos!$A$4:$A$1187,A203,Datos!$C$4:$C$1187,"Adyen")</f>
        <v/>
      </c>
      <c r="E203" s="9">
        <f>SUMIFS(Datos!$H$4:$H$1187,Datos!$A$4:$A$1187,A203,Datos!$C$4:$C$1187,"Paysafe")</f>
        <v/>
      </c>
      <c r="F203" s="16">
        <f>SUM(B203:E203)</f>
        <v/>
      </c>
    </row>
    <row r="204">
      <c r="A204" s="13" t="n">
        <v>46129</v>
      </c>
      <c r="B204" s="14">
        <f>SUMIFS(Datos!$H$4:$H$1187,Datos!$A$4:$A$1187,A204,Datos!$C$4:$C$1187,"Shift4")</f>
        <v/>
      </c>
      <c r="C204" s="14">
        <f>SUMIFS(Datos!$H$4:$H$1187,Datos!$A$4:$A$1187,A204,Datos!$C$4:$C$1187,"Nuvei")</f>
        <v/>
      </c>
      <c r="D204" s="14">
        <f>SUMIFS(Datos!$H$4:$H$1187,Datos!$A$4:$A$1187,A204,Datos!$C$4:$C$1187,"Adyen")</f>
        <v/>
      </c>
      <c r="E204" s="14">
        <f>SUMIFS(Datos!$H$4:$H$1187,Datos!$A$4:$A$1187,A204,Datos!$C$4:$C$1187,"Paysafe")</f>
        <v/>
      </c>
      <c r="F204" s="15">
        <f>SUM(B204:E204)</f>
        <v/>
      </c>
    </row>
    <row r="205">
      <c r="A205" s="8" t="n">
        <v>46130</v>
      </c>
      <c r="B205" s="9">
        <f>SUMIFS(Datos!$H$4:$H$1187,Datos!$A$4:$A$1187,A205,Datos!$C$4:$C$1187,"Shift4")</f>
        <v/>
      </c>
      <c r="C205" s="9">
        <f>SUMIFS(Datos!$H$4:$H$1187,Datos!$A$4:$A$1187,A205,Datos!$C$4:$C$1187,"Nuvei")</f>
        <v/>
      </c>
      <c r="D205" s="9">
        <f>SUMIFS(Datos!$H$4:$H$1187,Datos!$A$4:$A$1187,A205,Datos!$C$4:$C$1187,"Adyen")</f>
        <v/>
      </c>
      <c r="E205" s="9">
        <f>SUMIFS(Datos!$H$4:$H$1187,Datos!$A$4:$A$1187,A205,Datos!$C$4:$C$1187,"Paysafe")</f>
        <v/>
      </c>
      <c r="F205" s="16">
        <f>SUM(B205:E205)</f>
        <v/>
      </c>
    </row>
    <row r="206">
      <c r="A206" s="13" t="n">
        <v>46131</v>
      </c>
      <c r="B206" s="14">
        <f>SUMIFS(Datos!$H$4:$H$1187,Datos!$A$4:$A$1187,A206,Datos!$C$4:$C$1187,"Shift4")</f>
        <v/>
      </c>
      <c r="C206" s="14">
        <f>SUMIFS(Datos!$H$4:$H$1187,Datos!$A$4:$A$1187,A206,Datos!$C$4:$C$1187,"Nuvei")</f>
        <v/>
      </c>
      <c r="D206" s="14">
        <f>SUMIFS(Datos!$H$4:$H$1187,Datos!$A$4:$A$1187,A206,Datos!$C$4:$C$1187,"Adyen")</f>
        <v/>
      </c>
      <c r="E206" s="14">
        <f>SUMIFS(Datos!$H$4:$H$1187,Datos!$A$4:$A$1187,A206,Datos!$C$4:$C$1187,"Paysafe")</f>
        <v/>
      </c>
      <c r="F206" s="15">
        <f>SUM(B206:E206)</f>
        <v/>
      </c>
    </row>
    <row r="207">
      <c r="A207" s="8" t="n">
        <v>46132</v>
      </c>
      <c r="B207" s="9">
        <f>SUMIFS(Datos!$H$4:$H$1187,Datos!$A$4:$A$1187,A207,Datos!$C$4:$C$1187,"Shift4")</f>
        <v/>
      </c>
      <c r="C207" s="9">
        <f>SUMIFS(Datos!$H$4:$H$1187,Datos!$A$4:$A$1187,A207,Datos!$C$4:$C$1187,"Nuvei")</f>
        <v/>
      </c>
      <c r="D207" s="9">
        <f>SUMIFS(Datos!$H$4:$H$1187,Datos!$A$4:$A$1187,A207,Datos!$C$4:$C$1187,"Adyen")</f>
        <v/>
      </c>
      <c r="E207" s="9">
        <f>SUMIFS(Datos!$H$4:$H$1187,Datos!$A$4:$A$1187,A207,Datos!$C$4:$C$1187,"Paysafe")</f>
        <v/>
      </c>
      <c r="F207" s="16">
        <f>SUM(B207:E207)</f>
        <v/>
      </c>
    </row>
    <row r="208">
      <c r="A208" s="13" t="n">
        <v>46133</v>
      </c>
      <c r="B208" s="14">
        <f>SUMIFS(Datos!$H$4:$H$1187,Datos!$A$4:$A$1187,A208,Datos!$C$4:$C$1187,"Shift4")</f>
        <v/>
      </c>
      <c r="C208" s="14">
        <f>SUMIFS(Datos!$H$4:$H$1187,Datos!$A$4:$A$1187,A208,Datos!$C$4:$C$1187,"Nuvei")</f>
        <v/>
      </c>
      <c r="D208" s="14">
        <f>SUMIFS(Datos!$H$4:$H$1187,Datos!$A$4:$A$1187,A208,Datos!$C$4:$C$1187,"Adyen")</f>
        <v/>
      </c>
      <c r="E208" s="14">
        <f>SUMIFS(Datos!$H$4:$H$1187,Datos!$A$4:$A$1187,A208,Datos!$C$4:$C$1187,"Paysafe")</f>
        <v/>
      </c>
      <c r="F208" s="15">
        <f>SUM(B208:E208)</f>
        <v/>
      </c>
    </row>
    <row r="209">
      <c r="A209" s="8" t="n">
        <v>46134</v>
      </c>
      <c r="B209" s="9">
        <f>SUMIFS(Datos!$H$4:$H$1187,Datos!$A$4:$A$1187,A209,Datos!$C$4:$C$1187,"Shift4")</f>
        <v/>
      </c>
      <c r="C209" s="9">
        <f>SUMIFS(Datos!$H$4:$H$1187,Datos!$A$4:$A$1187,A209,Datos!$C$4:$C$1187,"Nuvei")</f>
        <v/>
      </c>
      <c r="D209" s="9">
        <f>SUMIFS(Datos!$H$4:$H$1187,Datos!$A$4:$A$1187,A209,Datos!$C$4:$C$1187,"Adyen")</f>
        <v/>
      </c>
      <c r="E209" s="9">
        <f>SUMIFS(Datos!$H$4:$H$1187,Datos!$A$4:$A$1187,A209,Datos!$C$4:$C$1187,"Paysafe")</f>
        <v/>
      </c>
      <c r="F209" s="16">
        <f>SUM(B209:E209)</f>
        <v/>
      </c>
    </row>
    <row r="210">
      <c r="A210" s="13" t="n">
        <v>46135</v>
      </c>
      <c r="B210" s="14">
        <f>SUMIFS(Datos!$H$4:$H$1187,Datos!$A$4:$A$1187,A210,Datos!$C$4:$C$1187,"Shift4")</f>
        <v/>
      </c>
      <c r="C210" s="14">
        <f>SUMIFS(Datos!$H$4:$H$1187,Datos!$A$4:$A$1187,A210,Datos!$C$4:$C$1187,"Nuvei")</f>
        <v/>
      </c>
      <c r="D210" s="14">
        <f>SUMIFS(Datos!$H$4:$H$1187,Datos!$A$4:$A$1187,A210,Datos!$C$4:$C$1187,"Adyen")</f>
        <v/>
      </c>
      <c r="E210" s="14">
        <f>SUMIFS(Datos!$H$4:$H$1187,Datos!$A$4:$A$1187,A210,Datos!$C$4:$C$1187,"Paysafe")</f>
        <v/>
      </c>
      <c r="F210" s="15">
        <f>SUM(B210:E210)</f>
        <v/>
      </c>
    </row>
    <row r="211">
      <c r="A211" s="8" t="n">
        <v>46136</v>
      </c>
      <c r="B211" s="9">
        <f>SUMIFS(Datos!$H$4:$H$1187,Datos!$A$4:$A$1187,A211,Datos!$C$4:$C$1187,"Shift4")</f>
        <v/>
      </c>
      <c r="C211" s="9">
        <f>SUMIFS(Datos!$H$4:$H$1187,Datos!$A$4:$A$1187,A211,Datos!$C$4:$C$1187,"Nuvei")</f>
        <v/>
      </c>
      <c r="D211" s="9">
        <f>SUMIFS(Datos!$H$4:$H$1187,Datos!$A$4:$A$1187,A211,Datos!$C$4:$C$1187,"Adyen")</f>
        <v/>
      </c>
      <c r="E211" s="9">
        <f>SUMIFS(Datos!$H$4:$H$1187,Datos!$A$4:$A$1187,A211,Datos!$C$4:$C$1187,"Paysafe")</f>
        <v/>
      </c>
      <c r="F211" s="16">
        <f>SUM(B211:E211)</f>
        <v/>
      </c>
    </row>
    <row r="212">
      <c r="A212" s="13" t="n">
        <v>46137</v>
      </c>
      <c r="B212" s="14">
        <f>SUMIFS(Datos!$H$4:$H$1187,Datos!$A$4:$A$1187,A212,Datos!$C$4:$C$1187,"Shift4")</f>
        <v/>
      </c>
      <c r="C212" s="14">
        <f>SUMIFS(Datos!$H$4:$H$1187,Datos!$A$4:$A$1187,A212,Datos!$C$4:$C$1187,"Nuvei")</f>
        <v/>
      </c>
      <c r="D212" s="14">
        <f>SUMIFS(Datos!$H$4:$H$1187,Datos!$A$4:$A$1187,A212,Datos!$C$4:$C$1187,"Adyen")</f>
        <v/>
      </c>
      <c r="E212" s="14">
        <f>SUMIFS(Datos!$H$4:$H$1187,Datos!$A$4:$A$1187,A212,Datos!$C$4:$C$1187,"Paysafe")</f>
        <v/>
      </c>
      <c r="F212" s="15">
        <f>SUM(B212:E212)</f>
        <v/>
      </c>
    </row>
    <row r="213">
      <c r="A213" s="8" t="n">
        <v>46138</v>
      </c>
      <c r="B213" s="9">
        <f>SUMIFS(Datos!$H$4:$H$1187,Datos!$A$4:$A$1187,A213,Datos!$C$4:$C$1187,"Shift4")</f>
        <v/>
      </c>
      <c r="C213" s="9">
        <f>SUMIFS(Datos!$H$4:$H$1187,Datos!$A$4:$A$1187,A213,Datos!$C$4:$C$1187,"Nuvei")</f>
        <v/>
      </c>
      <c r="D213" s="9">
        <f>SUMIFS(Datos!$H$4:$H$1187,Datos!$A$4:$A$1187,A213,Datos!$C$4:$C$1187,"Adyen")</f>
        <v/>
      </c>
      <c r="E213" s="9">
        <f>SUMIFS(Datos!$H$4:$H$1187,Datos!$A$4:$A$1187,A213,Datos!$C$4:$C$1187,"Paysafe")</f>
        <v/>
      </c>
      <c r="F213" s="16">
        <f>SUM(B213:E213)</f>
        <v/>
      </c>
    </row>
    <row r="214">
      <c r="A214" s="13" t="n">
        <v>46139</v>
      </c>
      <c r="B214" s="14">
        <f>SUMIFS(Datos!$H$4:$H$1187,Datos!$A$4:$A$1187,A214,Datos!$C$4:$C$1187,"Shift4")</f>
        <v/>
      </c>
      <c r="C214" s="14">
        <f>SUMIFS(Datos!$H$4:$H$1187,Datos!$A$4:$A$1187,A214,Datos!$C$4:$C$1187,"Nuvei")</f>
        <v/>
      </c>
      <c r="D214" s="14">
        <f>SUMIFS(Datos!$H$4:$H$1187,Datos!$A$4:$A$1187,A214,Datos!$C$4:$C$1187,"Adyen")</f>
        <v/>
      </c>
      <c r="E214" s="14">
        <f>SUMIFS(Datos!$H$4:$H$1187,Datos!$A$4:$A$1187,A214,Datos!$C$4:$C$1187,"Paysafe")</f>
        <v/>
      </c>
      <c r="F214" s="15">
        <f>SUM(B214:E214)</f>
        <v/>
      </c>
    </row>
    <row r="215">
      <c r="A215" s="8" t="n">
        <v>46140</v>
      </c>
      <c r="B215" s="9">
        <f>SUMIFS(Datos!$H$4:$H$1187,Datos!$A$4:$A$1187,A215,Datos!$C$4:$C$1187,"Shift4")</f>
        <v/>
      </c>
      <c r="C215" s="9">
        <f>SUMIFS(Datos!$H$4:$H$1187,Datos!$A$4:$A$1187,A215,Datos!$C$4:$C$1187,"Nuvei")</f>
        <v/>
      </c>
      <c r="D215" s="9">
        <f>SUMIFS(Datos!$H$4:$H$1187,Datos!$A$4:$A$1187,A215,Datos!$C$4:$C$1187,"Adyen")</f>
        <v/>
      </c>
      <c r="E215" s="9">
        <f>SUMIFS(Datos!$H$4:$H$1187,Datos!$A$4:$A$1187,A215,Datos!$C$4:$C$1187,"Paysafe")</f>
        <v/>
      </c>
      <c r="F215" s="16">
        <f>SUM(B215:E215)</f>
        <v/>
      </c>
    </row>
    <row r="216">
      <c r="A216" s="13" t="n">
        <v>46141</v>
      </c>
      <c r="B216" s="14">
        <f>SUMIFS(Datos!$H$4:$H$1187,Datos!$A$4:$A$1187,A216,Datos!$C$4:$C$1187,"Shift4")</f>
        <v/>
      </c>
      <c r="C216" s="14">
        <f>SUMIFS(Datos!$H$4:$H$1187,Datos!$A$4:$A$1187,A216,Datos!$C$4:$C$1187,"Nuvei")</f>
        <v/>
      </c>
      <c r="D216" s="14">
        <f>SUMIFS(Datos!$H$4:$H$1187,Datos!$A$4:$A$1187,A216,Datos!$C$4:$C$1187,"Adyen")</f>
        <v/>
      </c>
      <c r="E216" s="14">
        <f>SUMIFS(Datos!$H$4:$H$1187,Datos!$A$4:$A$1187,A216,Datos!$C$4:$C$1187,"Paysafe")</f>
        <v/>
      </c>
      <c r="F216" s="15">
        <f>SUM(B216:E216)</f>
        <v/>
      </c>
    </row>
    <row r="217">
      <c r="A217" s="8" t="n">
        <v>46142</v>
      </c>
      <c r="B217" s="9">
        <f>SUMIFS(Datos!$H$4:$H$1187,Datos!$A$4:$A$1187,A217,Datos!$C$4:$C$1187,"Shift4")</f>
        <v/>
      </c>
      <c r="C217" s="9">
        <f>SUMIFS(Datos!$H$4:$H$1187,Datos!$A$4:$A$1187,A217,Datos!$C$4:$C$1187,"Nuvei")</f>
        <v/>
      </c>
      <c r="D217" s="9">
        <f>SUMIFS(Datos!$H$4:$H$1187,Datos!$A$4:$A$1187,A217,Datos!$C$4:$C$1187,"Adyen")</f>
        <v/>
      </c>
      <c r="E217" s="9">
        <f>SUMIFS(Datos!$H$4:$H$1187,Datos!$A$4:$A$1187,A217,Datos!$C$4:$C$1187,"Paysafe")</f>
        <v/>
      </c>
      <c r="F217" s="16">
        <f>SUM(B217:E217)</f>
        <v/>
      </c>
    </row>
    <row r="218">
      <c r="A218" s="13" t="n">
        <v>46143</v>
      </c>
      <c r="B218" s="14">
        <f>SUMIFS(Datos!$H$4:$H$1187,Datos!$A$4:$A$1187,A218,Datos!$C$4:$C$1187,"Shift4")</f>
        <v/>
      </c>
      <c r="C218" s="14">
        <f>SUMIFS(Datos!$H$4:$H$1187,Datos!$A$4:$A$1187,A218,Datos!$C$4:$C$1187,"Nuvei")</f>
        <v/>
      </c>
      <c r="D218" s="14">
        <f>SUMIFS(Datos!$H$4:$H$1187,Datos!$A$4:$A$1187,A218,Datos!$C$4:$C$1187,"Adyen")</f>
        <v/>
      </c>
      <c r="E218" s="14">
        <f>SUMIFS(Datos!$H$4:$H$1187,Datos!$A$4:$A$1187,A218,Datos!$C$4:$C$1187,"Paysafe")</f>
        <v/>
      </c>
      <c r="F218" s="15">
        <f>SUM(B218:E218)</f>
        <v/>
      </c>
    </row>
    <row r="219">
      <c r="A219" s="8" t="n">
        <v>46144</v>
      </c>
      <c r="B219" s="9">
        <f>SUMIFS(Datos!$H$4:$H$1187,Datos!$A$4:$A$1187,A219,Datos!$C$4:$C$1187,"Shift4")</f>
        <v/>
      </c>
      <c r="C219" s="9">
        <f>SUMIFS(Datos!$H$4:$H$1187,Datos!$A$4:$A$1187,A219,Datos!$C$4:$C$1187,"Nuvei")</f>
        <v/>
      </c>
      <c r="D219" s="9">
        <f>SUMIFS(Datos!$H$4:$H$1187,Datos!$A$4:$A$1187,A219,Datos!$C$4:$C$1187,"Adyen")</f>
        <v/>
      </c>
      <c r="E219" s="9">
        <f>SUMIFS(Datos!$H$4:$H$1187,Datos!$A$4:$A$1187,A219,Datos!$C$4:$C$1187,"Paysafe")</f>
        <v/>
      </c>
      <c r="F219" s="16">
        <f>SUM(B219:E219)</f>
        <v/>
      </c>
    </row>
    <row r="220">
      <c r="A220" s="13" t="n">
        <v>46145</v>
      </c>
      <c r="B220" s="14">
        <f>SUMIFS(Datos!$H$4:$H$1187,Datos!$A$4:$A$1187,A220,Datos!$C$4:$C$1187,"Shift4")</f>
        <v/>
      </c>
      <c r="C220" s="14">
        <f>SUMIFS(Datos!$H$4:$H$1187,Datos!$A$4:$A$1187,A220,Datos!$C$4:$C$1187,"Nuvei")</f>
        <v/>
      </c>
      <c r="D220" s="14">
        <f>SUMIFS(Datos!$H$4:$H$1187,Datos!$A$4:$A$1187,A220,Datos!$C$4:$C$1187,"Adyen")</f>
        <v/>
      </c>
      <c r="E220" s="14">
        <f>SUMIFS(Datos!$H$4:$H$1187,Datos!$A$4:$A$1187,A220,Datos!$C$4:$C$1187,"Paysafe")</f>
        <v/>
      </c>
      <c r="F220" s="15">
        <f>SUM(B220:E220)</f>
        <v/>
      </c>
    </row>
    <row r="221">
      <c r="A221" s="8" t="n">
        <v>46146</v>
      </c>
      <c r="B221" s="9">
        <f>SUMIFS(Datos!$H$4:$H$1187,Datos!$A$4:$A$1187,A221,Datos!$C$4:$C$1187,"Shift4")</f>
        <v/>
      </c>
      <c r="C221" s="9">
        <f>SUMIFS(Datos!$H$4:$H$1187,Datos!$A$4:$A$1187,A221,Datos!$C$4:$C$1187,"Nuvei")</f>
        <v/>
      </c>
      <c r="D221" s="9">
        <f>SUMIFS(Datos!$H$4:$H$1187,Datos!$A$4:$A$1187,A221,Datos!$C$4:$C$1187,"Adyen")</f>
        <v/>
      </c>
      <c r="E221" s="9">
        <f>SUMIFS(Datos!$H$4:$H$1187,Datos!$A$4:$A$1187,A221,Datos!$C$4:$C$1187,"Paysafe")</f>
        <v/>
      </c>
      <c r="F221" s="16">
        <f>SUM(B221:E221)</f>
        <v/>
      </c>
    </row>
    <row r="222">
      <c r="A222" s="13" t="n">
        <v>46147</v>
      </c>
      <c r="B222" s="14">
        <f>SUMIFS(Datos!$H$4:$H$1187,Datos!$A$4:$A$1187,A222,Datos!$C$4:$C$1187,"Shift4")</f>
        <v/>
      </c>
      <c r="C222" s="14">
        <f>SUMIFS(Datos!$H$4:$H$1187,Datos!$A$4:$A$1187,A222,Datos!$C$4:$C$1187,"Nuvei")</f>
        <v/>
      </c>
      <c r="D222" s="14">
        <f>SUMIFS(Datos!$H$4:$H$1187,Datos!$A$4:$A$1187,A222,Datos!$C$4:$C$1187,"Adyen")</f>
        <v/>
      </c>
      <c r="E222" s="14">
        <f>SUMIFS(Datos!$H$4:$H$1187,Datos!$A$4:$A$1187,A222,Datos!$C$4:$C$1187,"Paysafe")</f>
        <v/>
      </c>
      <c r="F222" s="15">
        <f>SUM(B222:E222)</f>
        <v/>
      </c>
    </row>
    <row r="223">
      <c r="A223" s="8" t="n">
        <v>46148</v>
      </c>
      <c r="B223" s="9">
        <f>SUMIFS(Datos!$H$4:$H$1187,Datos!$A$4:$A$1187,A223,Datos!$C$4:$C$1187,"Shift4")</f>
        <v/>
      </c>
      <c r="C223" s="9">
        <f>SUMIFS(Datos!$H$4:$H$1187,Datos!$A$4:$A$1187,A223,Datos!$C$4:$C$1187,"Nuvei")</f>
        <v/>
      </c>
      <c r="D223" s="9">
        <f>SUMIFS(Datos!$H$4:$H$1187,Datos!$A$4:$A$1187,A223,Datos!$C$4:$C$1187,"Adyen")</f>
        <v/>
      </c>
      <c r="E223" s="9">
        <f>SUMIFS(Datos!$H$4:$H$1187,Datos!$A$4:$A$1187,A223,Datos!$C$4:$C$1187,"Paysafe")</f>
        <v/>
      </c>
      <c r="F223" s="16">
        <f>SUM(B223:E223)</f>
        <v/>
      </c>
    </row>
    <row r="224">
      <c r="A224" s="13" t="n">
        <v>46149</v>
      </c>
      <c r="B224" s="14">
        <f>SUMIFS(Datos!$H$4:$H$1187,Datos!$A$4:$A$1187,A224,Datos!$C$4:$C$1187,"Shift4")</f>
        <v/>
      </c>
      <c r="C224" s="14">
        <f>SUMIFS(Datos!$H$4:$H$1187,Datos!$A$4:$A$1187,A224,Datos!$C$4:$C$1187,"Nuvei")</f>
        <v/>
      </c>
      <c r="D224" s="14">
        <f>SUMIFS(Datos!$H$4:$H$1187,Datos!$A$4:$A$1187,A224,Datos!$C$4:$C$1187,"Adyen")</f>
        <v/>
      </c>
      <c r="E224" s="14">
        <f>SUMIFS(Datos!$H$4:$H$1187,Datos!$A$4:$A$1187,A224,Datos!$C$4:$C$1187,"Paysafe")</f>
        <v/>
      </c>
      <c r="F224" s="15">
        <f>SUM(B224:E224)</f>
        <v/>
      </c>
    </row>
    <row r="225">
      <c r="A225" s="8" t="n">
        <v>46150</v>
      </c>
      <c r="B225" s="9">
        <f>SUMIFS(Datos!$H$4:$H$1187,Datos!$A$4:$A$1187,A225,Datos!$C$4:$C$1187,"Shift4")</f>
        <v/>
      </c>
      <c r="C225" s="9">
        <f>SUMIFS(Datos!$H$4:$H$1187,Datos!$A$4:$A$1187,A225,Datos!$C$4:$C$1187,"Nuvei")</f>
        <v/>
      </c>
      <c r="D225" s="9">
        <f>SUMIFS(Datos!$H$4:$H$1187,Datos!$A$4:$A$1187,A225,Datos!$C$4:$C$1187,"Adyen")</f>
        <v/>
      </c>
      <c r="E225" s="9">
        <f>SUMIFS(Datos!$H$4:$H$1187,Datos!$A$4:$A$1187,A225,Datos!$C$4:$C$1187,"Paysafe")</f>
        <v/>
      </c>
      <c r="F225" s="16">
        <f>SUM(B225:E225)</f>
        <v/>
      </c>
    </row>
    <row r="226">
      <c r="A226" s="13" t="n">
        <v>46151</v>
      </c>
      <c r="B226" s="14">
        <f>SUMIFS(Datos!$H$4:$H$1187,Datos!$A$4:$A$1187,A226,Datos!$C$4:$C$1187,"Shift4")</f>
        <v/>
      </c>
      <c r="C226" s="14">
        <f>SUMIFS(Datos!$H$4:$H$1187,Datos!$A$4:$A$1187,A226,Datos!$C$4:$C$1187,"Nuvei")</f>
        <v/>
      </c>
      <c r="D226" s="14">
        <f>SUMIFS(Datos!$H$4:$H$1187,Datos!$A$4:$A$1187,A226,Datos!$C$4:$C$1187,"Adyen")</f>
        <v/>
      </c>
      <c r="E226" s="14">
        <f>SUMIFS(Datos!$H$4:$H$1187,Datos!$A$4:$A$1187,A226,Datos!$C$4:$C$1187,"Paysafe")</f>
        <v/>
      </c>
      <c r="F226" s="15">
        <f>SUM(B226:E226)</f>
        <v/>
      </c>
    </row>
    <row r="227">
      <c r="A227" s="8" t="n">
        <v>46152</v>
      </c>
      <c r="B227" s="9">
        <f>SUMIFS(Datos!$H$4:$H$1187,Datos!$A$4:$A$1187,A227,Datos!$C$4:$C$1187,"Shift4")</f>
        <v/>
      </c>
      <c r="C227" s="9">
        <f>SUMIFS(Datos!$H$4:$H$1187,Datos!$A$4:$A$1187,A227,Datos!$C$4:$C$1187,"Nuvei")</f>
        <v/>
      </c>
      <c r="D227" s="9">
        <f>SUMIFS(Datos!$H$4:$H$1187,Datos!$A$4:$A$1187,A227,Datos!$C$4:$C$1187,"Adyen")</f>
        <v/>
      </c>
      <c r="E227" s="9">
        <f>SUMIFS(Datos!$H$4:$H$1187,Datos!$A$4:$A$1187,A227,Datos!$C$4:$C$1187,"Paysafe")</f>
        <v/>
      </c>
      <c r="F227" s="16">
        <f>SUM(B227:E227)</f>
        <v/>
      </c>
    </row>
    <row r="228">
      <c r="A228" s="13" t="n">
        <v>46153</v>
      </c>
      <c r="B228" s="14">
        <f>SUMIFS(Datos!$H$4:$H$1187,Datos!$A$4:$A$1187,A228,Datos!$C$4:$C$1187,"Shift4")</f>
        <v/>
      </c>
      <c r="C228" s="14">
        <f>SUMIFS(Datos!$H$4:$H$1187,Datos!$A$4:$A$1187,A228,Datos!$C$4:$C$1187,"Nuvei")</f>
        <v/>
      </c>
      <c r="D228" s="14">
        <f>SUMIFS(Datos!$H$4:$H$1187,Datos!$A$4:$A$1187,A228,Datos!$C$4:$C$1187,"Adyen")</f>
        <v/>
      </c>
      <c r="E228" s="14">
        <f>SUMIFS(Datos!$H$4:$H$1187,Datos!$A$4:$A$1187,A228,Datos!$C$4:$C$1187,"Paysafe")</f>
        <v/>
      </c>
      <c r="F228" s="15">
        <f>SUM(B228:E228)</f>
        <v/>
      </c>
    </row>
    <row r="229">
      <c r="A229" s="8" t="n">
        <v>46154</v>
      </c>
      <c r="B229" s="9">
        <f>SUMIFS(Datos!$H$4:$H$1187,Datos!$A$4:$A$1187,A229,Datos!$C$4:$C$1187,"Shift4")</f>
        <v/>
      </c>
      <c r="C229" s="9">
        <f>SUMIFS(Datos!$H$4:$H$1187,Datos!$A$4:$A$1187,A229,Datos!$C$4:$C$1187,"Nuvei")</f>
        <v/>
      </c>
      <c r="D229" s="9">
        <f>SUMIFS(Datos!$H$4:$H$1187,Datos!$A$4:$A$1187,A229,Datos!$C$4:$C$1187,"Adyen")</f>
        <v/>
      </c>
      <c r="E229" s="9">
        <f>SUMIFS(Datos!$H$4:$H$1187,Datos!$A$4:$A$1187,A229,Datos!$C$4:$C$1187,"Paysafe")</f>
        <v/>
      </c>
      <c r="F229" s="16">
        <f>SUM(B229:E229)</f>
        <v/>
      </c>
    </row>
    <row r="230">
      <c r="A230" s="13" t="n">
        <v>46155</v>
      </c>
      <c r="B230" s="14">
        <f>SUMIFS(Datos!$H$4:$H$1187,Datos!$A$4:$A$1187,A230,Datos!$C$4:$C$1187,"Shift4")</f>
        <v/>
      </c>
      <c r="C230" s="14">
        <f>SUMIFS(Datos!$H$4:$H$1187,Datos!$A$4:$A$1187,A230,Datos!$C$4:$C$1187,"Nuvei")</f>
        <v/>
      </c>
      <c r="D230" s="14">
        <f>SUMIFS(Datos!$H$4:$H$1187,Datos!$A$4:$A$1187,A230,Datos!$C$4:$C$1187,"Adyen")</f>
        <v/>
      </c>
      <c r="E230" s="14">
        <f>SUMIFS(Datos!$H$4:$H$1187,Datos!$A$4:$A$1187,A230,Datos!$C$4:$C$1187,"Paysafe")</f>
        <v/>
      </c>
      <c r="F230" s="15">
        <f>SUM(B230:E230)</f>
        <v/>
      </c>
    </row>
    <row r="231">
      <c r="A231" s="8" t="n">
        <v>46156</v>
      </c>
      <c r="B231" s="9">
        <f>SUMIFS(Datos!$H$4:$H$1187,Datos!$A$4:$A$1187,A231,Datos!$C$4:$C$1187,"Shift4")</f>
        <v/>
      </c>
      <c r="C231" s="9">
        <f>SUMIFS(Datos!$H$4:$H$1187,Datos!$A$4:$A$1187,A231,Datos!$C$4:$C$1187,"Nuvei")</f>
        <v/>
      </c>
      <c r="D231" s="9">
        <f>SUMIFS(Datos!$H$4:$H$1187,Datos!$A$4:$A$1187,A231,Datos!$C$4:$C$1187,"Adyen")</f>
        <v/>
      </c>
      <c r="E231" s="9">
        <f>SUMIFS(Datos!$H$4:$H$1187,Datos!$A$4:$A$1187,A231,Datos!$C$4:$C$1187,"Paysafe")</f>
        <v/>
      </c>
      <c r="F231" s="16">
        <f>SUM(B231:E231)</f>
        <v/>
      </c>
    </row>
    <row r="232">
      <c r="A232" s="13" t="n">
        <v>46157</v>
      </c>
      <c r="B232" s="14">
        <f>SUMIFS(Datos!$H$4:$H$1187,Datos!$A$4:$A$1187,A232,Datos!$C$4:$C$1187,"Shift4")</f>
        <v/>
      </c>
      <c r="C232" s="14">
        <f>SUMIFS(Datos!$H$4:$H$1187,Datos!$A$4:$A$1187,A232,Datos!$C$4:$C$1187,"Nuvei")</f>
        <v/>
      </c>
      <c r="D232" s="14">
        <f>SUMIFS(Datos!$H$4:$H$1187,Datos!$A$4:$A$1187,A232,Datos!$C$4:$C$1187,"Adyen")</f>
        <v/>
      </c>
      <c r="E232" s="14">
        <f>SUMIFS(Datos!$H$4:$H$1187,Datos!$A$4:$A$1187,A232,Datos!$C$4:$C$1187,"Paysafe")</f>
        <v/>
      </c>
      <c r="F232" s="15">
        <f>SUM(B232:E232)</f>
        <v/>
      </c>
    </row>
    <row r="233">
      <c r="A233" s="8" t="n">
        <v>46158</v>
      </c>
      <c r="B233" s="9">
        <f>SUMIFS(Datos!$H$4:$H$1187,Datos!$A$4:$A$1187,A233,Datos!$C$4:$C$1187,"Shift4")</f>
        <v/>
      </c>
      <c r="C233" s="9">
        <f>SUMIFS(Datos!$H$4:$H$1187,Datos!$A$4:$A$1187,A233,Datos!$C$4:$C$1187,"Nuvei")</f>
        <v/>
      </c>
      <c r="D233" s="9">
        <f>SUMIFS(Datos!$H$4:$H$1187,Datos!$A$4:$A$1187,A233,Datos!$C$4:$C$1187,"Adyen")</f>
        <v/>
      </c>
      <c r="E233" s="9">
        <f>SUMIFS(Datos!$H$4:$H$1187,Datos!$A$4:$A$1187,A233,Datos!$C$4:$C$1187,"Paysafe")</f>
        <v/>
      </c>
      <c r="F233" s="16">
        <f>SUM(B233:E233)</f>
        <v/>
      </c>
    </row>
    <row r="234">
      <c r="A234" s="13" t="n">
        <v>46159</v>
      </c>
      <c r="B234" s="14">
        <f>SUMIFS(Datos!$H$4:$H$1187,Datos!$A$4:$A$1187,A234,Datos!$C$4:$C$1187,"Shift4")</f>
        <v/>
      </c>
      <c r="C234" s="14">
        <f>SUMIFS(Datos!$H$4:$H$1187,Datos!$A$4:$A$1187,A234,Datos!$C$4:$C$1187,"Nuvei")</f>
        <v/>
      </c>
      <c r="D234" s="14">
        <f>SUMIFS(Datos!$H$4:$H$1187,Datos!$A$4:$A$1187,A234,Datos!$C$4:$C$1187,"Adyen")</f>
        <v/>
      </c>
      <c r="E234" s="14">
        <f>SUMIFS(Datos!$H$4:$H$1187,Datos!$A$4:$A$1187,A234,Datos!$C$4:$C$1187,"Paysafe")</f>
        <v/>
      </c>
      <c r="F234" s="15">
        <f>SUM(B234:E234)</f>
        <v/>
      </c>
    </row>
    <row r="235">
      <c r="A235" s="8" t="n">
        <v>46160</v>
      </c>
      <c r="B235" s="9">
        <f>SUMIFS(Datos!$H$4:$H$1187,Datos!$A$4:$A$1187,A235,Datos!$C$4:$C$1187,"Shift4")</f>
        <v/>
      </c>
      <c r="C235" s="9">
        <f>SUMIFS(Datos!$H$4:$H$1187,Datos!$A$4:$A$1187,A235,Datos!$C$4:$C$1187,"Nuvei")</f>
        <v/>
      </c>
      <c r="D235" s="9">
        <f>SUMIFS(Datos!$H$4:$H$1187,Datos!$A$4:$A$1187,A235,Datos!$C$4:$C$1187,"Adyen")</f>
        <v/>
      </c>
      <c r="E235" s="9">
        <f>SUMIFS(Datos!$H$4:$H$1187,Datos!$A$4:$A$1187,A235,Datos!$C$4:$C$1187,"Paysafe")</f>
        <v/>
      </c>
      <c r="F235" s="16">
        <f>SUM(B235:E235)</f>
        <v/>
      </c>
    </row>
    <row r="236">
      <c r="A236" s="13" t="n">
        <v>46161</v>
      </c>
      <c r="B236" s="14">
        <f>SUMIFS(Datos!$H$4:$H$1187,Datos!$A$4:$A$1187,A236,Datos!$C$4:$C$1187,"Shift4")</f>
        <v/>
      </c>
      <c r="C236" s="14">
        <f>SUMIFS(Datos!$H$4:$H$1187,Datos!$A$4:$A$1187,A236,Datos!$C$4:$C$1187,"Nuvei")</f>
        <v/>
      </c>
      <c r="D236" s="14">
        <f>SUMIFS(Datos!$H$4:$H$1187,Datos!$A$4:$A$1187,A236,Datos!$C$4:$C$1187,"Adyen")</f>
        <v/>
      </c>
      <c r="E236" s="14">
        <f>SUMIFS(Datos!$H$4:$H$1187,Datos!$A$4:$A$1187,A236,Datos!$C$4:$C$1187,"Paysafe")</f>
        <v/>
      </c>
      <c r="F236" s="15">
        <f>SUM(B236:E236)</f>
        <v/>
      </c>
    </row>
    <row r="237">
      <c r="A237" s="8" t="n">
        <v>46162</v>
      </c>
      <c r="B237" s="9">
        <f>SUMIFS(Datos!$H$4:$H$1187,Datos!$A$4:$A$1187,A237,Datos!$C$4:$C$1187,"Shift4")</f>
        <v/>
      </c>
      <c r="C237" s="9">
        <f>SUMIFS(Datos!$H$4:$H$1187,Datos!$A$4:$A$1187,A237,Datos!$C$4:$C$1187,"Nuvei")</f>
        <v/>
      </c>
      <c r="D237" s="9">
        <f>SUMIFS(Datos!$H$4:$H$1187,Datos!$A$4:$A$1187,A237,Datos!$C$4:$C$1187,"Adyen")</f>
        <v/>
      </c>
      <c r="E237" s="9">
        <f>SUMIFS(Datos!$H$4:$H$1187,Datos!$A$4:$A$1187,A237,Datos!$C$4:$C$1187,"Paysafe")</f>
        <v/>
      </c>
      <c r="F237" s="16">
        <f>SUM(B237:E237)</f>
        <v/>
      </c>
    </row>
    <row r="238">
      <c r="A238" s="13" t="n">
        <v>46163</v>
      </c>
      <c r="B238" s="14">
        <f>SUMIFS(Datos!$H$4:$H$1187,Datos!$A$4:$A$1187,A238,Datos!$C$4:$C$1187,"Shift4")</f>
        <v/>
      </c>
      <c r="C238" s="14">
        <f>SUMIFS(Datos!$H$4:$H$1187,Datos!$A$4:$A$1187,A238,Datos!$C$4:$C$1187,"Nuvei")</f>
        <v/>
      </c>
      <c r="D238" s="14">
        <f>SUMIFS(Datos!$H$4:$H$1187,Datos!$A$4:$A$1187,A238,Datos!$C$4:$C$1187,"Adyen")</f>
        <v/>
      </c>
      <c r="E238" s="14">
        <f>SUMIFS(Datos!$H$4:$H$1187,Datos!$A$4:$A$1187,A238,Datos!$C$4:$C$1187,"Paysafe")</f>
        <v/>
      </c>
      <c r="F238" s="15">
        <f>SUM(B238:E238)</f>
        <v/>
      </c>
    </row>
    <row r="239">
      <c r="A239" s="8" t="n">
        <v>46164</v>
      </c>
      <c r="B239" s="9">
        <f>SUMIFS(Datos!$H$4:$H$1187,Datos!$A$4:$A$1187,A239,Datos!$C$4:$C$1187,"Shift4")</f>
        <v/>
      </c>
      <c r="C239" s="9">
        <f>SUMIFS(Datos!$H$4:$H$1187,Datos!$A$4:$A$1187,A239,Datos!$C$4:$C$1187,"Nuvei")</f>
        <v/>
      </c>
      <c r="D239" s="9">
        <f>SUMIFS(Datos!$H$4:$H$1187,Datos!$A$4:$A$1187,A239,Datos!$C$4:$C$1187,"Adyen")</f>
        <v/>
      </c>
      <c r="E239" s="9">
        <f>SUMIFS(Datos!$H$4:$H$1187,Datos!$A$4:$A$1187,A239,Datos!$C$4:$C$1187,"Paysafe")</f>
        <v/>
      </c>
      <c r="F239" s="16">
        <f>SUM(B239:E239)</f>
        <v/>
      </c>
    </row>
    <row r="240">
      <c r="A240" s="13" t="n">
        <v>46165</v>
      </c>
      <c r="B240" s="14">
        <f>SUMIFS(Datos!$H$4:$H$1187,Datos!$A$4:$A$1187,A240,Datos!$C$4:$C$1187,"Shift4")</f>
        <v/>
      </c>
      <c r="C240" s="14">
        <f>SUMIFS(Datos!$H$4:$H$1187,Datos!$A$4:$A$1187,A240,Datos!$C$4:$C$1187,"Nuvei")</f>
        <v/>
      </c>
      <c r="D240" s="14">
        <f>SUMIFS(Datos!$H$4:$H$1187,Datos!$A$4:$A$1187,A240,Datos!$C$4:$C$1187,"Adyen")</f>
        <v/>
      </c>
      <c r="E240" s="14">
        <f>SUMIFS(Datos!$H$4:$H$1187,Datos!$A$4:$A$1187,A240,Datos!$C$4:$C$1187,"Paysafe")</f>
        <v/>
      </c>
      <c r="F240" s="15">
        <f>SUM(B240:E240)</f>
        <v/>
      </c>
    </row>
    <row r="241">
      <c r="A241" s="8" t="n">
        <v>46166</v>
      </c>
      <c r="B241" s="9">
        <f>SUMIFS(Datos!$H$4:$H$1187,Datos!$A$4:$A$1187,A241,Datos!$C$4:$C$1187,"Shift4")</f>
        <v/>
      </c>
      <c r="C241" s="9">
        <f>SUMIFS(Datos!$H$4:$H$1187,Datos!$A$4:$A$1187,A241,Datos!$C$4:$C$1187,"Nuvei")</f>
        <v/>
      </c>
      <c r="D241" s="9">
        <f>SUMIFS(Datos!$H$4:$H$1187,Datos!$A$4:$A$1187,A241,Datos!$C$4:$C$1187,"Adyen")</f>
        <v/>
      </c>
      <c r="E241" s="9">
        <f>SUMIFS(Datos!$H$4:$H$1187,Datos!$A$4:$A$1187,A241,Datos!$C$4:$C$1187,"Paysafe")</f>
        <v/>
      </c>
      <c r="F241" s="16">
        <f>SUM(B241:E241)</f>
        <v/>
      </c>
    </row>
    <row r="242">
      <c r="A242" s="13" t="n">
        <v>46167</v>
      </c>
      <c r="B242" s="14">
        <f>SUMIFS(Datos!$H$4:$H$1187,Datos!$A$4:$A$1187,A242,Datos!$C$4:$C$1187,"Shift4")</f>
        <v/>
      </c>
      <c r="C242" s="14">
        <f>SUMIFS(Datos!$H$4:$H$1187,Datos!$A$4:$A$1187,A242,Datos!$C$4:$C$1187,"Nuvei")</f>
        <v/>
      </c>
      <c r="D242" s="14">
        <f>SUMIFS(Datos!$H$4:$H$1187,Datos!$A$4:$A$1187,A242,Datos!$C$4:$C$1187,"Adyen")</f>
        <v/>
      </c>
      <c r="E242" s="14">
        <f>SUMIFS(Datos!$H$4:$H$1187,Datos!$A$4:$A$1187,A242,Datos!$C$4:$C$1187,"Paysafe")</f>
        <v/>
      </c>
      <c r="F242" s="15">
        <f>SUM(B242:E242)</f>
        <v/>
      </c>
    </row>
    <row r="243">
      <c r="A243" s="8" t="n">
        <v>46168</v>
      </c>
      <c r="B243" s="9">
        <f>SUMIFS(Datos!$H$4:$H$1187,Datos!$A$4:$A$1187,A243,Datos!$C$4:$C$1187,"Shift4")</f>
        <v/>
      </c>
      <c r="C243" s="9">
        <f>SUMIFS(Datos!$H$4:$H$1187,Datos!$A$4:$A$1187,A243,Datos!$C$4:$C$1187,"Nuvei")</f>
        <v/>
      </c>
      <c r="D243" s="9">
        <f>SUMIFS(Datos!$H$4:$H$1187,Datos!$A$4:$A$1187,A243,Datos!$C$4:$C$1187,"Adyen")</f>
        <v/>
      </c>
      <c r="E243" s="9">
        <f>SUMIFS(Datos!$H$4:$H$1187,Datos!$A$4:$A$1187,A243,Datos!$C$4:$C$1187,"Paysafe")</f>
        <v/>
      </c>
      <c r="F243" s="16">
        <f>SUM(B243:E243)</f>
        <v/>
      </c>
    </row>
    <row r="244">
      <c r="A244" s="13" t="n">
        <v>46169</v>
      </c>
      <c r="B244" s="14">
        <f>SUMIFS(Datos!$H$4:$H$1187,Datos!$A$4:$A$1187,A244,Datos!$C$4:$C$1187,"Shift4")</f>
        <v/>
      </c>
      <c r="C244" s="14">
        <f>SUMIFS(Datos!$H$4:$H$1187,Datos!$A$4:$A$1187,A244,Datos!$C$4:$C$1187,"Nuvei")</f>
        <v/>
      </c>
      <c r="D244" s="14">
        <f>SUMIFS(Datos!$H$4:$H$1187,Datos!$A$4:$A$1187,A244,Datos!$C$4:$C$1187,"Adyen")</f>
        <v/>
      </c>
      <c r="E244" s="14">
        <f>SUMIFS(Datos!$H$4:$H$1187,Datos!$A$4:$A$1187,A244,Datos!$C$4:$C$1187,"Paysafe")</f>
        <v/>
      </c>
      <c r="F244" s="15">
        <f>SUM(B244:E244)</f>
        <v/>
      </c>
    </row>
    <row r="245">
      <c r="A245" s="8" t="n">
        <v>46170</v>
      </c>
      <c r="B245" s="9">
        <f>SUMIFS(Datos!$H$4:$H$1187,Datos!$A$4:$A$1187,A245,Datos!$C$4:$C$1187,"Shift4")</f>
        <v/>
      </c>
      <c r="C245" s="9">
        <f>SUMIFS(Datos!$H$4:$H$1187,Datos!$A$4:$A$1187,A245,Datos!$C$4:$C$1187,"Nuvei")</f>
        <v/>
      </c>
      <c r="D245" s="9">
        <f>SUMIFS(Datos!$H$4:$H$1187,Datos!$A$4:$A$1187,A245,Datos!$C$4:$C$1187,"Adyen")</f>
        <v/>
      </c>
      <c r="E245" s="9">
        <f>SUMIFS(Datos!$H$4:$H$1187,Datos!$A$4:$A$1187,A245,Datos!$C$4:$C$1187,"Paysafe")</f>
        <v/>
      </c>
      <c r="F245" s="16">
        <f>SUM(B245:E245)</f>
        <v/>
      </c>
    </row>
    <row r="246">
      <c r="A246" s="13" t="n">
        <v>46171</v>
      </c>
      <c r="B246" s="14">
        <f>SUMIFS(Datos!$H$4:$H$1187,Datos!$A$4:$A$1187,A246,Datos!$C$4:$C$1187,"Shift4")</f>
        <v/>
      </c>
      <c r="C246" s="14">
        <f>SUMIFS(Datos!$H$4:$H$1187,Datos!$A$4:$A$1187,A246,Datos!$C$4:$C$1187,"Nuvei")</f>
        <v/>
      </c>
      <c r="D246" s="14">
        <f>SUMIFS(Datos!$H$4:$H$1187,Datos!$A$4:$A$1187,A246,Datos!$C$4:$C$1187,"Adyen")</f>
        <v/>
      </c>
      <c r="E246" s="14">
        <f>SUMIFS(Datos!$H$4:$H$1187,Datos!$A$4:$A$1187,A246,Datos!$C$4:$C$1187,"Paysafe")</f>
        <v/>
      </c>
      <c r="F246" s="15">
        <f>SUM(B246:E246)</f>
        <v/>
      </c>
    </row>
    <row r="247">
      <c r="A247" s="8" t="n">
        <v>46172</v>
      </c>
      <c r="B247" s="9">
        <f>SUMIFS(Datos!$H$4:$H$1187,Datos!$A$4:$A$1187,A247,Datos!$C$4:$C$1187,"Shift4")</f>
        <v/>
      </c>
      <c r="C247" s="9">
        <f>SUMIFS(Datos!$H$4:$H$1187,Datos!$A$4:$A$1187,A247,Datos!$C$4:$C$1187,"Nuvei")</f>
        <v/>
      </c>
      <c r="D247" s="9">
        <f>SUMIFS(Datos!$H$4:$H$1187,Datos!$A$4:$A$1187,A247,Datos!$C$4:$C$1187,"Adyen")</f>
        <v/>
      </c>
      <c r="E247" s="9">
        <f>SUMIFS(Datos!$H$4:$H$1187,Datos!$A$4:$A$1187,A247,Datos!$C$4:$C$1187,"Paysafe")</f>
        <v/>
      </c>
      <c r="F247" s="16">
        <f>SUM(B247:E247)</f>
        <v/>
      </c>
    </row>
    <row r="248">
      <c r="A248" s="13" t="n">
        <v>46173</v>
      </c>
      <c r="B248" s="14">
        <f>SUMIFS(Datos!$H$4:$H$1187,Datos!$A$4:$A$1187,A248,Datos!$C$4:$C$1187,"Shift4")</f>
        <v/>
      </c>
      <c r="C248" s="14">
        <f>SUMIFS(Datos!$H$4:$H$1187,Datos!$A$4:$A$1187,A248,Datos!$C$4:$C$1187,"Nuvei")</f>
        <v/>
      </c>
      <c r="D248" s="14">
        <f>SUMIFS(Datos!$H$4:$H$1187,Datos!$A$4:$A$1187,A248,Datos!$C$4:$C$1187,"Adyen")</f>
        <v/>
      </c>
      <c r="E248" s="14">
        <f>SUMIFS(Datos!$H$4:$H$1187,Datos!$A$4:$A$1187,A248,Datos!$C$4:$C$1187,"Paysafe")</f>
        <v/>
      </c>
      <c r="F248" s="15">
        <f>SUM(B248:E248)</f>
        <v/>
      </c>
    </row>
    <row r="249">
      <c r="A249" s="8" t="n">
        <v>46174</v>
      </c>
      <c r="B249" s="9">
        <f>SUMIFS(Datos!$H$4:$H$1187,Datos!$A$4:$A$1187,A249,Datos!$C$4:$C$1187,"Shift4")</f>
        <v/>
      </c>
      <c r="C249" s="9">
        <f>SUMIFS(Datos!$H$4:$H$1187,Datos!$A$4:$A$1187,A249,Datos!$C$4:$C$1187,"Nuvei")</f>
        <v/>
      </c>
      <c r="D249" s="9">
        <f>SUMIFS(Datos!$H$4:$H$1187,Datos!$A$4:$A$1187,A249,Datos!$C$4:$C$1187,"Adyen")</f>
        <v/>
      </c>
      <c r="E249" s="9">
        <f>SUMIFS(Datos!$H$4:$H$1187,Datos!$A$4:$A$1187,A249,Datos!$C$4:$C$1187,"Paysafe")</f>
        <v/>
      </c>
      <c r="F249" s="16">
        <f>SUM(B249:E249)</f>
        <v/>
      </c>
    </row>
    <row r="250">
      <c r="A250" s="13" t="n">
        <v>46175</v>
      </c>
      <c r="B250" s="14">
        <f>SUMIFS(Datos!$H$4:$H$1187,Datos!$A$4:$A$1187,A250,Datos!$C$4:$C$1187,"Shift4")</f>
        <v/>
      </c>
      <c r="C250" s="14">
        <f>SUMIFS(Datos!$H$4:$H$1187,Datos!$A$4:$A$1187,A250,Datos!$C$4:$C$1187,"Nuvei")</f>
        <v/>
      </c>
      <c r="D250" s="14">
        <f>SUMIFS(Datos!$H$4:$H$1187,Datos!$A$4:$A$1187,A250,Datos!$C$4:$C$1187,"Adyen")</f>
        <v/>
      </c>
      <c r="E250" s="14">
        <f>SUMIFS(Datos!$H$4:$H$1187,Datos!$A$4:$A$1187,A250,Datos!$C$4:$C$1187,"Paysafe")</f>
        <v/>
      </c>
      <c r="F250" s="15">
        <f>SUM(B250:E250)</f>
        <v/>
      </c>
    </row>
    <row r="251">
      <c r="A251" s="8" t="n">
        <v>46176</v>
      </c>
      <c r="B251" s="9">
        <f>SUMIFS(Datos!$H$4:$H$1187,Datos!$A$4:$A$1187,A251,Datos!$C$4:$C$1187,"Shift4")</f>
        <v/>
      </c>
      <c r="C251" s="9">
        <f>SUMIFS(Datos!$H$4:$H$1187,Datos!$A$4:$A$1187,A251,Datos!$C$4:$C$1187,"Nuvei")</f>
        <v/>
      </c>
      <c r="D251" s="9">
        <f>SUMIFS(Datos!$H$4:$H$1187,Datos!$A$4:$A$1187,A251,Datos!$C$4:$C$1187,"Adyen")</f>
        <v/>
      </c>
      <c r="E251" s="9">
        <f>SUMIFS(Datos!$H$4:$H$1187,Datos!$A$4:$A$1187,A251,Datos!$C$4:$C$1187,"Paysafe")</f>
        <v/>
      </c>
      <c r="F251" s="16">
        <f>SUM(B251:E251)</f>
        <v/>
      </c>
    </row>
    <row r="252">
      <c r="A252" s="13" t="n">
        <v>46177</v>
      </c>
      <c r="B252" s="14">
        <f>SUMIFS(Datos!$H$4:$H$1187,Datos!$A$4:$A$1187,A252,Datos!$C$4:$C$1187,"Shift4")</f>
        <v/>
      </c>
      <c r="C252" s="14">
        <f>SUMIFS(Datos!$H$4:$H$1187,Datos!$A$4:$A$1187,A252,Datos!$C$4:$C$1187,"Nuvei")</f>
        <v/>
      </c>
      <c r="D252" s="14">
        <f>SUMIFS(Datos!$H$4:$H$1187,Datos!$A$4:$A$1187,A252,Datos!$C$4:$C$1187,"Adyen")</f>
        <v/>
      </c>
      <c r="E252" s="14">
        <f>SUMIFS(Datos!$H$4:$H$1187,Datos!$A$4:$A$1187,A252,Datos!$C$4:$C$1187,"Paysafe")</f>
        <v/>
      </c>
      <c r="F252" s="15">
        <f>SUM(B252:E252)</f>
        <v/>
      </c>
    </row>
    <row r="253">
      <c r="A253" s="8" t="n">
        <v>46178</v>
      </c>
      <c r="B253" s="9">
        <f>SUMIFS(Datos!$H$4:$H$1187,Datos!$A$4:$A$1187,A253,Datos!$C$4:$C$1187,"Shift4")</f>
        <v/>
      </c>
      <c r="C253" s="9">
        <f>SUMIFS(Datos!$H$4:$H$1187,Datos!$A$4:$A$1187,A253,Datos!$C$4:$C$1187,"Nuvei")</f>
        <v/>
      </c>
      <c r="D253" s="9">
        <f>SUMIFS(Datos!$H$4:$H$1187,Datos!$A$4:$A$1187,A253,Datos!$C$4:$C$1187,"Adyen")</f>
        <v/>
      </c>
      <c r="E253" s="9">
        <f>SUMIFS(Datos!$H$4:$H$1187,Datos!$A$4:$A$1187,A253,Datos!$C$4:$C$1187,"Paysafe")</f>
        <v/>
      </c>
      <c r="F253" s="16">
        <f>SUM(B253:E253)</f>
        <v/>
      </c>
    </row>
    <row r="254">
      <c r="A254" s="13" t="n">
        <v>46179</v>
      </c>
      <c r="B254" s="14">
        <f>SUMIFS(Datos!$H$4:$H$1187,Datos!$A$4:$A$1187,A254,Datos!$C$4:$C$1187,"Shift4")</f>
        <v/>
      </c>
      <c r="C254" s="14">
        <f>SUMIFS(Datos!$H$4:$H$1187,Datos!$A$4:$A$1187,A254,Datos!$C$4:$C$1187,"Nuvei")</f>
        <v/>
      </c>
      <c r="D254" s="14">
        <f>SUMIFS(Datos!$H$4:$H$1187,Datos!$A$4:$A$1187,A254,Datos!$C$4:$C$1187,"Adyen")</f>
        <v/>
      </c>
      <c r="E254" s="14">
        <f>SUMIFS(Datos!$H$4:$H$1187,Datos!$A$4:$A$1187,A254,Datos!$C$4:$C$1187,"Paysafe")</f>
        <v/>
      </c>
      <c r="F254" s="15">
        <f>SUM(B254:E254)</f>
        <v/>
      </c>
    </row>
    <row r="255">
      <c r="A255" s="8" t="n">
        <v>46180</v>
      </c>
      <c r="B255" s="9">
        <f>SUMIFS(Datos!$H$4:$H$1187,Datos!$A$4:$A$1187,A255,Datos!$C$4:$C$1187,"Shift4")</f>
        <v/>
      </c>
      <c r="C255" s="9">
        <f>SUMIFS(Datos!$H$4:$H$1187,Datos!$A$4:$A$1187,A255,Datos!$C$4:$C$1187,"Nuvei")</f>
        <v/>
      </c>
      <c r="D255" s="9">
        <f>SUMIFS(Datos!$H$4:$H$1187,Datos!$A$4:$A$1187,A255,Datos!$C$4:$C$1187,"Adyen")</f>
        <v/>
      </c>
      <c r="E255" s="9">
        <f>SUMIFS(Datos!$H$4:$H$1187,Datos!$A$4:$A$1187,A255,Datos!$C$4:$C$1187,"Paysafe")</f>
        <v/>
      </c>
      <c r="F255" s="16">
        <f>SUM(B255:E255)</f>
        <v/>
      </c>
    </row>
    <row r="256">
      <c r="A256" s="13" t="n">
        <v>46181</v>
      </c>
      <c r="B256" s="14">
        <f>SUMIFS(Datos!$H$4:$H$1187,Datos!$A$4:$A$1187,A256,Datos!$C$4:$C$1187,"Shift4")</f>
        <v/>
      </c>
      <c r="C256" s="14">
        <f>SUMIFS(Datos!$H$4:$H$1187,Datos!$A$4:$A$1187,A256,Datos!$C$4:$C$1187,"Nuvei")</f>
        <v/>
      </c>
      <c r="D256" s="14">
        <f>SUMIFS(Datos!$H$4:$H$1187,Datos!$A$4:$A$1187,A256,Datos!$C$4:$C$1187,"Adyen")</f>
        <v/>
      </c>
      <c r="E256" s="14">
        <f>SUMIFS(Datos!$H$4:$H$1187,Datos!$A$4:$A$1187,A256,Datos!$C$4:$C$1187,"Paysafe")</f>
        <v/>
      </c>
      <c r="F256" s="15">
        <f>SUM(B256:E256)</f>
        <v/>
      </c>
    </row>
    <row r="257">
      <c r="A257" s="8" t="n">
        <v>46182</v>
      </c>
      <c r="B257" s="9">
        <f>SUMIFS(Datos!$H$4:$H$1187,Datos!$A$4:$A$1187,A257,Datos!$C$4:$C$1187,"Shift4")</f>
        <v/>
      </c>
      <c r="C257" s="9">
        <f>SUMIFS(Datos!$H$4:$H$1187,Datos!$A$4:$A$1187,A257,Datos!$C$4:$C$1187,"Nuvei")</f>
        <v/>
      </c>
      <c r="D257" s="9">
        <f>SUMIFS(Datos!$H$4:$H$1187,Datos!$A$4:$A$1187,A257,Datos!$C$4:$C$1187,"Adyen")</f>
        <v/>
      </c>
      <c r="E257" s="9">
        <f>SUMIFS(Datos!$H$4:$H$1187,Datos!$A$4:$A$1187,A257,Datos!$C$4:$C$1187,"Paysafe")</f>
        <v/>
      </c>
      <c r="F257" s="16">
        <f>SUM(B257:E257)</f>
        <v/>
      </c>
    </row>
    <row r="258">
      <c r="A258" s="13" t="n">
        <v>46183</v>
      </c>
      <c r="B258" s="14">
        <f>SUMIFS(Datos!$H$4:$H$1187,Datos!$A$4:$A$1187,A258,Datos!$C$4:$C$1187,"Shift4")</f>
        <v/>
      </c>
      <c r="C258" s="14">
        <f>SUMIFS(Datos!$H$4:$H$1187,Datos!$A$4:$A$1187,A258,Datos!$C$4:$C$1187,"Nuvei")</f>
        <v/>
      </c>
      <c r="D258" s="14">
        <f>SUMIFS(Datos!$H$4:$H$1187,Datos!$A$4:$A$1187,A258,Datos!$C$4:$C$1187,"Adyen")</f>
        <v/>
      </c>
      <c r="E258" s="14">
        <f>SUMIFS(Datos!$H$4:$H$1187,Datos!$A$4:$A$1187,A258,Datos!$C$4:$C$1187,"Paysafe")</f>
        <v/>
      </c>
      <c r="F258" s="15">
        <f>SUM(B258:E258)</f>
        <v/>
      </c>
    </row>
    <row r="259">
      <c r="A259" s="8" t="n">
        <v>46184</v>
      </c>
      <c r="B259" s="9">
        <f>SUMIFS(Datos!$H$4:$H$1187,Datos!$A$4:$A$1187,A259,Datos!$C$4:$C$1187,"Shift4")</f>
        <v/>
      </c>
      <c r="C259" s="9">
        <f>SUMIFS(Datos!$H$4:$H$1187,Datos!$A$4:$A$1187,A259,Datos!$C$4:$C$1187,"Nuvei")</f>
        <v/>
      </c>
      <c r="D259" s="9">
        <f>SUMIFS(Datos!$H$4:$H$1187,Datos!$A$4:$A$1187,A259,Datos!$C$4:$C$1187,"Adyen")</f>
        <v/>
      </c>
      <c r="E259" s="9">
        <f>SUMIFS(Datos!$H$4:$H$1187,Datos!$A$4:$A$1187,A259,Datos!$C$4:$C$1187,"Paysafe")</f>
        <v/>
      </c>
      <c r="F259" s="16">
        <f>SUM(B259:E259)</f>
        <v/>
      </c>
    </row>
    <row r="260">
      <c r="A260" s="13" t="n">
        <v>46185</v>
      </c>
      <c r="B260" s="14">
        <f>SUMIFS(Datos!$H$4:$H$1187,Datos!$A$4:$A$1187,A260,Datos!$C$4:$C$1187,"Shift4")</f>
        <v/>
      </c>
      <c r="C260" s="14">
        <f>SUMIFS(Datos!$H$4:$H$1187,Datos!$A$4:$A$1187,A260,Datos!$C$4:$C$1187,"Nuvei")</f>
        <v/>
      </c>
      <c r="D260" s="14">
        <f>SUMIFS(Datos!$H$4:$H$1187,Datos!$A$4:$A$1187,A260,Datos!$C$4:$C$1187,"Adyen")</f>
        <v/>
      </c>
      <c r="E260" s="14">
        <f>SUMIFS(Datos!$H$4:$H$1187,Datos!$A$4:$A$1187,A260,Datos!$C$4:$C$1187,"Paysafe")</f>
        <v/>
      </c>
      <c r="F260" s="15">
        <f>SUM(B260:E260)</f>
        <v/>
      </c>
    </row>
    <row r="261">
      <c r="A261" s="8" t="n">
        <v>46186</v>
      </c>
      <c r="B261" s="9">
        <f>SUMIFS(Datos!$H$4:$H$1187,Datos!$A$4:$A$1187,A261,Datos!$C$4:$C$1187,"Shift4")</f>
        <v/>
      </c>
      <c r="C261" s="9">
        <f>SUMIFS(Datos!$H$4:$H$1187,Datos!$A$4:$A$1187,A261,Datos!$C$4:$C$1187,"Nuvei")</f>
        <v/>
      </c>
      <c r="D261" s="9">
        <f>SUMIFS(Datos!$H$4:$H$1187,Datos!$A$4:$A$1187,A261,Datos!$C$4:$C$1187,"Adyen")</f>
        <v/>
      </c>
      <c r="E261" s="9">
        <f>SUMIFS(Datos!$H$4:$H$1187,Datos!$A$4:$A$1187,A261,Datos!$C$4:$C$1187,"Paysafe")</f>
        <v/>
      </c>
      <c r="F261" s="16">
        <f>SUM(B261:E261)</f>
        <v/>
      </c>
    </row>
    <row r="262">
      <c r="A262" s="13" t="n">
        <v>46187</v>
      </c>
      <c r="B262" s="14">
        <f>SUMIFS(Datos!$H$4:$H$1187,Datos!$A$4:$A$1187,A262,Datos!$C$4:$C$1187,"Shift4")</f>
        <v/>
      </c>
      <c r="C262" s="14">
        <f>SUMIFS(Datos!$H$4:$H$1187,Datos!$A$4:$A$1187,A262,Datos!$C$4:$C$1187,"Nuvei")</f>
        <v/>
      </c>
      <c r="D262" s="14">
        <f>SUMIFS(Datos!$H$4:$H$1187,Datos!$A$4:$A$1187,A262,Datos!$C$4:$C$1187,"Adyen")</f>
        <v/>
      </c>
      <c r="E262" s="14">
        <f>SUMIFS(Datos!$H$4:$H$1187,Datos!$A$4:$A$1187,A262,Datos!$C$4:$C$1187,"Paysafe")</f>
        <v/>
      </c>
      <c r="F262" s="15">
        <f>SUM(B262:E262)</f>
        <v/>
      </c>
    </row>
    <row r="263">
      <c r="A263" s="8" t="n">
        <v>46188</v>
      </c>
      <c r="B263" s="9">
        <f>SUMIFS(Datos!$H$4:$H$1187,Datos!$A$4:$A$1187,A263,Datos!$C$4:$C$1187,"Shift4")</f>
        <v/>
      </c>
      <c r="C263" s="9">
        <f>SUMIFS(Datos!$H$4:$H$1187,Datos!$A$4:$A$1187,A263,Datos!$C$4:$C$1187,"Nuvei")</f>
        <v/>
      </c>
      <c r="D263" s="9">
        <f>SUMIFS(Datos!$H$4:$H$1187,Datos!$A$4:$A$1187,A263,Datos!$C$4:$C$1187,"Adyen")</f>
        <v/>
      </c>
      <c r="E263" s="9">
        <f>SUMIFS(Datos!$H$4:$H$1187,Datos!$A$4:$A$1187,A263,Datos!$C$4:$C$1187,"Paysafe")</f>
        <v/>
      </c>
      <c r="F263" s="16">
        <f>SUM(B263:E263)</f>
        <v/>
      </c>
    </row>
    <row r="264">
      <c r="A264" s="13" t="n">
        <v>46189</v>
      </c>
      <c r="B264" s="14">
        <f>SUMIFS(Datos!$H$4:$H$1187,Datos!$A$4:$A$1187,A264,Datos!$C$4:$C$1187,"Shift4")</f>
        <v/>
      </c>
      <c r="C264" s="14">
        <f>SUMIFS(Datos!$H$4:$H$1187,Datos!$A$4:$A$1187,A264,Datos!$C$4:$C$1187,"Nuvei")</f>
        <v/>
      </c>
      <c r="D264" s="14">
        <f>SUMIFS(Datos!$H$4:$H$1187,Datos!$A$4:$A$1187,A264,Datos!$C$4:$C$1187,"Adyen")</f>
        <v/>
      </c>
      <c r="E264" s="14">
        <f>SUMIFS(Datos!$H$4:$H$1187,Datos!$A$4:$A$1187,A264,Datos!$C$4:$C$1187,"Paysafe")</f>
        <v/>
      </c>
      <c r="F264" s="15">
        <f>SUM(B264:E264)</f>
        <v/>
      </c>
    </row>
    <row r="265">
      <c r="A265" s="8" t="n">
        <v>46190</v>
      </c>
      <c r="B265" s="9">
        <f>SUMIFS(Datos!$H$4:$H$1187,Datos!$A$4:$A$1187,A265,Datos!$C$4:$C$1187,"Shift4")</f>
        <v/>
      </c>
      <c r="C265" s="9">
        <f>SUMIFS(Datos!$H$4:$H$1187,Datos!$A$4:$A$1187,A265,Datos!$C$4:$C$1187,"Nuvei")</f>
        <v/>
      </c>
      <c r="D265" s="9">
        <f>SUMIFS(Datos!$H$4:$H$1187,Datos!$A$4:$A$1187,A265,Datos!$C$4:$C$1187,"Adyen")</f>
        <v/>
      </c>
      <c r="E265" s="9">
        <f>SUMIFS(Datos!$H$4:$H$1187,Datos!$A$4:$A$1187,A265,Datos!$C$4:$C$1187,"Paysafe")</f>
        <v/>
      </c>
      <c r="F265" s="16">
        <f>SUM(B265:E265)</f>
        <v/>
      </c>
    </row>
    <row r="266">
      <c r="A266" s="13" t="n">
        <v>46191</v>
      </c>
      <c r="B266" s="14">
        <f>SUMIFS(Datos!$H$4:$H$1187,Datos!$A$4:$A$1187,A266,Datos!$C$4:$C$1187,"Shift4")</f>
        <v/>
      </c>
      <c r="C266" s="14">
        <f>SUMIFS(Datos!$H$4:$H$1187,Datos!$A$4:$A$1187,A266,Datos!$C$4:$C$1187,"Nuvei")</f>
        <v/>
      </c>
      <c r="D266" s="14">
        <f>SUMIFS(Datos!$H$4:$H$1187,Datos!$A$4:$A$1187,A266,Datos!$C$4:$C$1187,"Adyen")</f>
        <v/>
      </c>
      <c r="E266" s="14">
        <f>SUMIFS(Datos!$H$4:$H$1187,Datos!$A$4:$A$1187,A266,Datos!$C$4:$C$1187,"Paysafe")</f>
        <v/>
      </c>
      <c r="F266" s="15">
        <f>SUM(B266:E266)</f>
        <v/>
      </c>
    </row>
    <row r="267">
      <c r="A267" s="8" t="n">
        <v>46192</v>
      </c>
      <c r="B267" s="9">
        <f>SUMIFS(Datos!$H$4:$H$1187,Datos!$A$4:$A$1187,A267,Datos!$C$4:$C$1187,"Shift4")</f>
        <v/>
      </c>
      <c r="C267" s="9">
        <f>SUMIFS(Datos!$H$4:$H$1187,Datos!$A$4:$A$1187,A267,Datos!$C$4:$C$1187,"Nuvei")</f>
        <v/>
      </c>
      <c r="D267" s="9">
        <f>SUMIFS(Datos!$H$4:$H$1187,Datos!$A$4:$A$1187,A267,Datos!$C$4:$C$1187,"Adyen")</f>
        <v/>
      </c>
      <c r="E267" s="9">
        <f>SUMIFS(Datos!$H$4:$H$1187,Datos!$A$4:$A$1187,A267,Datos!$C$4:$C$1187,"Paysafe")</f>
        <v/>
      </c>
      <c r="F267" s="16">
        <f>SUM(B267:E267)</f>
        <v/>
      </c>
    </row>
    <row r="268">
      <c r="A268" s="13" t="n">
        <v>46193</v>
      </c>
      <c r="B268" s="14">
        <f>SUMIFS(Datos!$H$4:$H$1187,Datos!$A$4:$A$1187,A268,Datos!$C$4:$C$1187,"Shift4")</f>
        <v/>
      </c>
      <c r="C268" s="14">
        <f>SUMIFS(Datos!$H$4:$H$1187,Datos!$A$4:$A$1187,A268,Datos!$C$4:$C$1187,"Nuvei")</f>
        <v/>
      </c>
      <c r="D268" s="14">
        <f>SUMIFS(Datos!$H$4:$H$1187,Datos!$A$4:$A$1187,A268,Datos!$C$4:$C$1187,"Adyen")</f>
        <v/>
      </c>
      <c r="E268" s="14">
        <f>SUMIFS(Datos!$H$4:$H$1187,Datos!$A$4:$A$1187,A268,Datos!$C$4:$C$1187,"Paysafe")</f>
        <v/>
      </c>
      <c r="F268" s="15">
        <f>SUM(B268:E268)</f>
        <v/>
      </c>
    </row>
    <row r="269">
      <c r="A269" s="8" t="n">
        <v>46194</v>
      </c>
      <c r="B269" s="9">
        <f>SUMIFS(Datos!$H$4:$H$1187,Datos!$A$4:$A$1187,A269,Datos!$C$4:$C$1187,"Shift4")</f>
        <v/>
      </c>
      <c r="C269" s="9">
        <f>SUMIFS(Datos!$H$4:$H$1187,Datos!$A$4:$A$1187,A269,Datos!$C$4:$C$1187,"Nuvei")</f>
        <v/>
      </c>
      <c r="D269" s="9">
        <f>SUMIFS(Datos!$H$4:$H$1187,Datos!$A$4:$A$1187,A269,Datos!$C$4:$C$1187,"Adyen")</f>
        <v/>
      </c>
      <c r="E269" s="9">
        <f>SUMIFS(Datos!$H$4:$H$1187,Datos!$A$4:$A$1187,A269,Datos!$C$4:$C$1187,"Paysafe")</f>
        <v/>
      </c>
      <c r="F269" s="16">
        <f>SUM(B269:E269)</f>
        <v/>
      </c>
    </row>
    <row r="270">
      <c r="A270" s="13" t="n">
        <v>46195</v>
      </c>
      <c r="B270" s="14">
        <f>SUMIFS(Datos!$H$4:$H$1187,Datos!$A$4:$A$1187,A270,Datos!$C$4:$C$1187,"Shift4")</f>
        <v/>
      </c>
      <c r="C270" s="14">
        <f>SUMIFS(Datos!$H$4:$H$1187,Datos!$A$4:$A$1187,A270,Datos!$C$4:$C$1187,"Nuvei")</f>
        <v/>
      </c>
      <c r="D270" s="14">
        <f>SUMIFS(Datos!$H$4:$H$1187,Datos!$A$4:$A$1187,A270,Datos!$C$4:$C$1187,"Adyen")</f>
        <v/>
      </c>
      <c r="E270" s="14">
        <f>SUMIFS(Datos!$H$4:$H$1187,Datos!$A$4:$A$1187,A270,Datos!$C$4:$C$1187,"Paysafe")</f>
        <v/>
      </c>
      <c r="F270" s="15">
        <f>SUM(B270:E270)</f>
        <v/>
      </c>
    </row>
    <row r="271">
      <c r="A271" s="8" t="n">
        <v>46196</v>
      </c>
      <c r="B271" s="9">
        <f>SUMIFS(Datos!$H$4:$H$1187,Datos!$A$4:$A$1187,A271,Datos!$C$4:$C$1187,"Shift4")</f>
        <v/>
      </c>
      <c r="C271" s="9">
        <f>SUMIFS(Datos!$H$4:$H$1187,Datos!$A$4:$A$1187,A271,Datos!$C$4:$C$1187,"Nuvei")</f>
        <v/>
      </c>
      <c r="D271" s="9">
        <f>SUMIFS(Datos!$H$4:$H$1187,Datos!$A$4:$A$1187,A271,Datos!$C$4:$C$1187,"Adyen")</f>
        <v/>
      </c>
      <c r="E271" s="9">
        <f>SUMIFS(Datos!$H$4:$H$1187,Datos!$A$4:$A$1187,A271,Datos!$C$4:$C$1187,"Paysafe")</f>
        <v/>
      </c>
      <c r="F271" s="16">
        <f>SUM(B271:E271)</f>
        <v/>
      </c>
    </row>
    <row r="272">
      <c r="A272" s="13" t="n">
        <v>46197</v>
      </c>
      <c r="B272" s="14">
        <f>SUMIFS(Datos!$H$4:$H$1187,Datos!$A$4:$A$1187,A272,Datos!$C$4:$C$1187,"Shift4")</f>
        <v/>
      </c>
      <c r="C272" s="14">
        <f>SUMIFS(Datos!$H$4:$H$1187,Datos!$A$4:$A$1187,A272,Datos!$C$4:$C$1187,"Nuvei")</f>
        <v/>
      </c>
      <c r="D272" s="14">
        <f>SUMIFS(Datos!$H$4:$H$1187,Datos!$A$4:$A$1187,A272,Datos!$C$4:$C$1187,"Adyen")</f>
        <v/>
      </c>
      <c r="E272" s="14">
        <f>SUMIFS(Datos!$H$4:$H$1187,Datos!$A$4:$A$1187,A272,Datos!$C$4:$C$1187,"Paysafe")</f>
        <v/>
      </c>
      <c r="F272" s="15">
        <f>SUM(B272:E272)</f>
        <v/>
      </c>
    </row>
    <row r="273">
      <c r="A273" s="8" t="n">
        <v>46198</v>
      </c>
      <c r="B273" s="9">
        <f>SUMIFS(Datos!$H$4:$H$1187,Datos!$A$4:$A$1187,A273,Datos!$C$4:$C$1187,"Shift4")</f>
        <v/>
      </c>
      <c r="C273" s="9">
        <f>SUMIFS(Datos!$H$4:$H$1187,Datos!$A$4:$A$1187,A273,Datos!$C$4:$C$1187,"Nuvei")</f>
        <v/>
      </c>
      <c r="D273" s="9">
        <f>SUMIFS(Datos!$H$4:$H$1187,Datos!$A$4:$A$1187,A273,Datos!$C$4:$C$1187,"Adyen")</f>
        <v/>
      </c>
      <c r="E273" s="9">
        <f>SUMIFS(Datos!$H$4:$H$1187,Datos!$A$4:$A$1187,A273,Datos!$C$4:$C$1187,"Paysafe")</f>
        <v/>
      </c>
      <c r="F273" s="16">
        <f>SUM(B273:E273)</f>
        <v/>
      </c>
    </row>
    <row r="274">
      <c r="A274" s="13" t="n">
        <v>46199</v>
      </c>
      <c r="B274" s="14">
        <f>SUMIFS(Datos!$H$4:$H$1187,Datos!$A$4:$A$1187,A274,Datos!$C$4:$C$1187,"Shift4")</f>
        <v/>
      </c>
      <c r="C274" s="14">
        <f>SUMIFS(Datos!$H$4:$H$1187,Datos!$A$4:$A$1187,A274,Datos!$C$4:$C$1187,"Nuvei")</f>
        <v/>
      </c>
      <c r="D274" s="14">
        <f>SUMIFS(Datos!$H$4:$H$1187,Datos!$A$4:$A$1187,A274,Datos!$C$4:$C$1187,"Adyen")</f>
        <v/>
      </c>
      <c r="E274" s="14">
        <f>SUMIFS(Datos!$H$4:$H$1187,Datos!$A$4:$A$1187,A274,Datos!$C$4:$C$1187,"Paysafe")</f>
        <v/>
      </c>
      <c r="F274" s="15">
        <f>SUM(B274:E274)</f>
        <v/>
      </c>
    </row>
    <row r="275">
      <c r="A275" s="8" t="n">
        <v>46200</v>
      </c>
      <c r="B275" s="9">
        <f>SUMIFS(Datos!$H$4:$H$1187,Datos!$A$4:$A$1187,A275,Datos!$C$4:$C$1187,"Shift4")</f>
        <v/>
      </c>
      <c r="C275" s="9">
        <f>SUMIFS(Datos!$H$4:$H$1187,Datos!$A$4:$A$1187,A275,Datos!$C$4:$C$1187,"Nuvei")</f>
        <v/>
      </c>
      <c r="D275" s="9">
        <f>SUMIFS(Datos!$H$4:$H$1187,Datos!$A$4:$A$1187,A275,Datos!$C$4:$C$1187,"Adyen")</f>
        <v/>
      </c>
      <c r="E275" s="9">
        <f>SUMIFS(Datos!$H$4:$H$1187,Datos!$A$4:$A$1187,A275,Datos!$C$4:$C$1187,"Paysafe")</f>
        <v/>
      </c>
      <c r="F275" s="16">
        <f>SUM(B275:E275)</f>
        <v/>
      </c>
    </row>
    <row r="276">
      <c r="A276" s="13" t="n">
        <v>46201</v>
      </c>
      <c r="B276" s="14">
        <f>SUMIFS(Datos!$H$4:$H$1187,Datos!$A$4:$A$1187,A276,Datos!$C$4:$C$1187,"Shift4")</f>
        <v/>
      </c>
      <c r="C276" s="14">
        <f>SUMIFS(Datos!$H$4:$H$1187,Datos!$A$4:$A$1187,A276,Datos!$C$4:$C$1187,"Nuvei")</f>
        <v/>
      </c>
      <c r="D276" s="14">
        <f>SUMIFS(Datos!$H$4:$H$1187,Datos!$A$4:$A$1187,A276,Datos!$C$4:$C$1187,"Adyen")</f>
        <v/>
      </c>
      <c r="E276" s="14">
        <f>SUMIFS(Datos!$H$4:$H$1187,Datos!$A$4:$A$1187,A276,Datos!$C$4:$C$1187,"Paysafe")</f>
        <v/>
      </c>
      <c r="F276" s="15">
        <f>SUM(B276:E276)</f>
        <v/>
      </c>
    </row>
    <row r="277">
      <c r="A277" s="8" t="n">
        <v>46202</v>
      </c>
      <c r="B277" s="9">
        <f>SUMIFS(Datos!$H$4:$H$1187,Datos!$A$4:$A$1187,A277,Datos!$C$4:$C$1187,"Shift4")</f>
        <v/>
      </c>
      <c r="C277" s="9">
        <f>SUMIFS(Datos!$H$4:$H$1187,Datos!$A$4:$A$1187,A277,Datos!$C$4:$C$1187,"Nuvei")</f>
        <v/>
      </c>
      <c r="D277" s="9">
        <f>SUMIFS(Datos!$H$4:$H$1187,Datos!$A$4:$A$1187,A277,Datos!$C$4:$C$1187,"Adyen")</f>
        <v/>
      </c>
      <c r="E277" s="9">
        <f>SUMIFS(Datos!$H$4:$H$1187,Datos!$A$4:$A$1187,A277,Datos!$C$4:$C$1187,"Paysafe")</f>
        <v/>
      </c>
      <c r="F277" s="16">
        <f>SUM(B277:E277)</f>
        <v/>
      </c>
    </row>
    <row r="278">
      <c r="A278" s="13" t="n">
        <v>46203</v>
      </c>
      <c r="B278" s="14">
        <f>SUMIFS(Datos!$H$4:$H$1187,Datos!$A$4:$A$1187,A278,Datos!$C$4:$C$1187,"Shift4")</f>
        <v/>
      </c>
      <c r="C278" s="14">
        <f>SUMIFS(Datos!$H$4:$H$1187,Datos!$A$4:$A$1187,A278,Datos!$C$4:$C$1187,"Nuvei")</f>
        <v/>
      </c>
      <c r="D278" s="14">
        <f>SUMIFS(Datos!$H$4:$H$1187,Datos!$A$4:$A$1187,A278,Datos!$C$4:$C$1187,"Adyen")</f>
        <v/>
      </c>
      <c r="E278" s="14">
        <f>SUMIFS(Datos!$H$4:$H$1187,Datos!$A$4:$A$1187,A278,Datos!$C$4:$C$1187,"Paysafe")</f>
        <v/>
      </c>
      <c r="F278" s="15">
        <f>SUM(B278:E278)</f>
        <v/>
      </c>
    </row>
    <row r="279">
      <c r="A279" s="8" t="n">
        <v>46204</v>
      </c>
      <c r="B279" s="9">
        <f>SUMIFS(Datos!$H$4:$H$1187,Datos!$A$4:$A$1187,A279,Datos!$C$4:$C$1187,"Shift4")</f>
        <v/>
      </c>
      <c r="C279" s="9">
        <f>SUMIFS(Datos!$H$4:$H$1187,Datos!$A$4:$A$1187,A279,Datos!$C$4:$C$1187,"Nuvei")</f>
        <v/>
      </c>
      <c r="D279" s="9">
        <f>SUMIFS(Datos!$H$4:$H$1187,Datos!$A$4:$A$1187,A279,Datos!$C$4:$C$1187,"Adyen")</f>
        <v/>
      </c>
      <c r="E279" s="9">
        <f>SUMIFS(Datos!$H$4:$H$1187,Datos!$A$4:$A$1187,A279,Datos!$C$4:$C$1187,"Paysafe")</f>
        <v/>
      </c>
      <c r="F279" s="16">
        <f>SUM(B279:E279)</f>
        <v/>
      </c>
    </row>
    <row r="280">
      <c r="A280" s="13" t="n">
        <v>46205</v>
      </c>
      <c r="B280" s="14">
        <f>SUMIFS(Datos!$H$4:$H$1187,Datos!$A$4:$A$1187,A280,Datos!$C$4:$C$1187,"Shift4")</f>
        <v/>
      </c>
      <c r="C280" s="14">
        <f>SUMIFS(Datos!$H$4:$H$1187,Datos!$A$4:$A$1187,A280,Datos!$C$4:$C$1187,"Nuvei")</f>
        <v/>
      </c>
      <c r="D280" s="14">
        <f>SUMIFS(Datos!$H$4:$H$1187,Datos!$A$4:$A$1187,A280,Datos!$C$4:$C$1187,"Adyen")</f>
        <v/>
      </c>
      <c r="E280" s="14">
        <f>SUMIFS(Datos!$H$4:$H$1187,Datos!$A$4:$A$1187,A280,Datos!$C$4:$C$1187,"Paysafe")</f>
        <v/>
      </c>
      <c r="F280" s="15">
        <f>SUM(B280:E280)</f>
        <v/>
      </c>
    </row>
    <row r="281">
      <c r="A281" s="8" t="n">
        <v>46206</v>
      </c>
      <c r="B281" s="9">
        <f>SUMIFS(Datos!$H$4:$H$1187,Datos!$A$4:$A$1187,A281,Datos!$C$4:$C$1187,"Shift4")</f>
        <v/>
      </c>
      <c r="C281" s="9">
        <f>SUMIFS(Datos!$H$4:$H$1187,Datos!$A$4:$A$1187,A281,Datos!$C$4:$C$1187,"Nuvei")</f>
        <v/>
      </c>
      <c r="D281" s="9">
        <f>SUMIFS(Datos!$H$4:$H$1187,Datos!$A$4:$A$1187,A281,Datos!$C$4:$C$1187,"Adyen")</f>
        <v/>
      </c>
      <c r="E281" s="9">
        <f>SUMIFS(Datos!$H$4:$H$1187,Datos!$A$4:$A$1187,A281,Datos!$C$4:$C$1187,"Paysafe")</f>
        <v/>
      </c>
      <c r="F281" s="16">
        <f>SUM(B281:E281)</f>
        <v/>
      </c>
    </row>
    <row r="282">
      <c r="A282" s="13" t="n">
        <v>46207</v>
      </c>
      <c r="B282" s="14">
        <f>SUMIFS(Datos!$H$4:$H$1187,Datos!$A$4:$A$1187,A282,Datos!$C$4:$C$1187,"Shift4")</f>
        <v/>
      </c>
      <c r="C282" s="14">
        <f>SUMIFS(Datos!$H$4:$H$1187,Datos!$A$4:$A$1187,A282,Datos!$C$4:$C$1187,"Nuvei")</f>
        <v/>
      </c>
      <c r="D282" s="14">
        <f>SUMIFS(Datos!$H$4:$H$1187,Datos!$A$4:$A$1187,A282,Datos!$C$4:$C$1187,"Adyen")</f>
        <v/>
      </c>
      <c r="E282" s="14">
        <f>SUMIFS(Datos!$H$4:$H$1187,Datos!$A$4:$A$1187,A282,Datos!$C$4:$C$1187,"Paysafe")</f>
        <v/>
      </c>
      <c r="F282" s="15">
        <f>SUM(B282:E282)</f>
        <v/>
      </c>
    </row>
    <row r="283">
      <c r="A283" s="8" t="n">
        <v>46208</v>
      </c>
      <c r="B283" s="9">
        <f>SUMIFS(Datos!$H$4:$H$1187,Datos!$A$4:$A$1187,A283,Datos!$C$4:$C$1187,"Shift4")</f>
        <v/>
      </c>
      <c r="C283" s="9">
        <f>SUMIFS(Datos!$H$4:$H$1187,Datos!$A$4:$A$1187,A283,Datos!$C$4:$C$1187,"Nuvei")</f>
        <v/>
      </c>
      <c r="D283" s="9">
        <f>SUMIFS(Datos!$H$4:$H$1187,Datos!$A$4:$A$1187,A283,Datos!$C$4:$C$1187,"Adyen")</f>
        <v/>
      </c>
      <c r="E283" s="9">
        <f>SUMIFS(Datos!$H$4:$H$1187,Datos!$A$4:$A$1187,A283,Datos!$C$4:$C$1187,"Paysafe")</f>
        <v/>
      </c>
      <c r="F283" s="16">
        <f>SUM(B283:E283)</f>
        <v/>
      </c>
    </row>
    <row r="284">
      <c r="A284" s="13" t="n">
        <v>46209</v>
      </c>
      <c r="B284" s="14">
        <f>SUMIFS(Datos!$H$4:$H$1187,Datos!$A$4:$A$1187,A284,Datos!$C$4:$C$1187,"Shift4")</f>
        <v/>
      </c>
      <c r="C284" s="14">
        <f>SUMIFS(Datos!$H$4:$H$1187,Datos!$A$4:$A$1187,A284,Datos!$C$4:$C$1187,"Nuvei")</f>
        <v/>
      </c>
      <c r="D284" s="14">
        <f>SUMIFS(Datos!$H$4:$H$1187,Datos!$A$4:$A$1187,A284,Datos!$C$4:$C$1187,"Adyen")</f>
        <v/>
      </c>
      <c r="E284" s="14">
        <f>SUMIFS(Datos!$H$4:$H$1187,Datos!$A$4:$A$1187,A284,Datos!$C$4:$C$1187,"Paysafe")</f>
        <v/>
      </c>
      <c r="F284" s="15">
        <f>SUM(B284:E284)</f>
        <v/>
      </c>
    </row>
    <row r="285">
      <c r="A285" s="8" t="n">
        <v>46210</v>
      </c>
      <c r="B285" s="9">
        <f>SUMIFS(Datos!$H$4:$H$1187,Datos!$A$4:$A$1187,A285,Datos!$C$4:$C$1187,"Shift4")</f>
        <v/>
      </c>
      <c r="C285" s="9">
        <f>SUMIFS(Datos!$H$4:$H$1187,Datos!$A$4:$A$1187,A285,Datos!$C$4:$C$1187,"Nuvei")</f>
        <v/>
      </c>
      <c r="D285" s="9">
        <f>SUMIFS(Datos!$H$4:$H$1187,Datos!$A$4:$A$1187,A285,Datos!$C$4:$C$1187,"Adyen")</f>
        <v/>
      </c>
      <c r="E285" s="9">
        <f>SUMIFS(Datos!$H$4:$H$1187,Datos!$A$4:$A$1187,A285,Datos!$C$4:$C$1187,"Paysafe")</f>
        <v/>
      </c>
      <c r="F285" s="16">
        <f>SUM(B285:E285)</f>
        <v/>
      </c>
    </row>
    <row r="286">
      <c r="A286" s="13" t="n">
        <v>46211</v>
      </c>
      <c r="B286" s="14">
        <f>SUMIFS(Datos!$H$4:$H$1187,Datos!$A$4:$A$1187,A286,Datos!$C$4:$C$1187,"Shift4")</f>
        <v/>
      </c>
      <c r="C286" s="14">
        <f>SUMIFS(Datos!$H$4:$H$1187,Datos!$A$4:$A$1187,A286,Datos!$C$4:$C$1187,"Nuvei")</f>
        <v/>
      </c>
      <c r="D286" s="14">
        <f>SUMIFS(Datos!$H$4:$H$1187,Datos!$A$4:$A$1187,A286,Datos!$C$4:$C$1187,"Adyen")</f>
        <v/>
      </c>
      <c r="E286" s="14">
        <f>SUMIFS(Datos!$H$4:$H$1187,Datos!$A$4:$A$1187,A286,Datos!$C$4:$C$1187,"Paysafe")</f>
        <v/>
      </c>
      <c r="F286" s="15">
        <f>SUM(B286:E286)</f>
        <v/>
      </c>
    </row>
    <row r="287">
      <c r="A287" s="8" t="n">
        <v>46212</v>
      </c>
      <c r="B287" s="9">
        <f>SUMIFS(Datos!$H$4:$H$1187,Datos!$A$4:$A$1187,A287,Datos!$C$4:$C$1187,"Shift4")</f>
        <v/>
      </c>
      <c r="C287" s="9">
        <f>SUMIFS(Datos!$H$4:$H$1187,Datos!$A$4:$A$1187,A287,Datos!$C$4:$C$1187,"Nuvei")</f>
        <v/>
      </c>
      <c r="D287" s="9">
        <f>SUMIFS(Datos!$H$4:$H$1187,Datos!$A$4:$A$1187,A287,Datos!$C$4:$C$1187,"Adyen")</f>
        <v/>
      </c>
      <c r="E287" s="9">
        <f>SUMIFS(Datos!$H$4:$H$1187,Datos!$A$4:$A$1187,A287,Datos!$C$4:$C$1187,"Paysafe")</f>
        <v/>
      </c>
      <c r="F287" s="16">
        <f>SUM(B287:E287)</f>
        <v/>
      </c>
    </row>
    <row r="288">
      <c r="A288" s="13" t="n">
        <v>46213</v>
      </c>
      <c r="B288" s="14">
        <f>SUMIFS(Datos!$H$4:$H$1187,Datos!$A$4:$A$1187,A288,Datos!$C$4:$C$1187,"Shift4")</f>
        <v/>
      </c>
      <c r="C288" s="14">
        <f>SUMIFS(Datos!$H$4:$H$1187,Datos!$A$4:$A$1187,A288,Datos!$C$4:$C$1187,"Nuvei")</f>
        <v/>
      </c>
      <c r="D288" s="14">
        <f>SUMIFS(Datos!$H$4:$H$1187,Datos!$A$4:$A$1187,A288,Datos!$C$4:$C$1187,"Adyen")</f>
        <v/>
      </c>
      <c r="E288" s="14">
        <f>SUMIFS(Datos!$H$4:$H$1187,Datos!$A$4:$A$1187,A288,Datos!$C$4:$C$1187,"Paysafe")</f>
        <v/>
      </c>
      <c r="F288" s="15">
        <f>SUM(B288:E288)</f>
        <v/>
      </c>
    </row>
    <row r="289">
      <c r="A289" s="8" t="n">
        <v>46214</v>
      </c>
      <c r="B289" s="9">
        <f>SUMIFS(Datos!$H$4:$H$1187,Datos!$A$4:$A$1187,A289,Datos!$C$4:$C$1187,"Shift4")</f>
        <v/>
      </c>
      <c r="C289" s="9">
        <f>SUMIFS(Datos!$H$4:$H$1187,Datos!$A$4:$A$1187,A289,Datos!$C$4:$C$1187,"Nuvei")</f>
        <v/>
      </c>
      <c r="D289" s="9">
        <f>SUMIFS(Datos!$H$4:$H$1187,Datos!$A$4:$A$1187,A289,Datos!$C$4:$C$1187,"Adyen")</f>
        <v/>
      </c>
      <c r="E289" s="9">
        <f>SUMIFS(Datos!$H$4:$H$1187,Datos!$A$4:$A$1187,A289,Datos!$C$4:$C$1187,"Paysafe")</f>
        <v/>
      </c>
      <c r="F289" s="16">
        <f>SUM(B289:E289)</f>
        <v/>
      </c>
    </row>
    <row r="290">
      <c r="A290" s="13" t="n">
        <v>46215</v>
      </c>
      <c r="B290" s="14">
        <f>SUMIFS(Datos!$H$4:$H$1187,Datos!$A$4:$A$1187,A290,Datos!$C$4:$C$1187,"Shift4")</f>
        <v/>
      </c>
      <c r="C290" s="14">
        <f>SUMIFS(Datos!$H$4:$H$1187,Datos!$A$4:$A$1187,A290,Datos!$C$4:$C$1187,"Nuvei")</f>
        <v/>
      </c>
      <c r="D290" s="14">
        <f>SUMIFS(Datos!$H$4:$H$1187,Datos!$A$4:$A$1187,A290,Datos!$C$4:$C$1187,"Adyen")</f>
        <v/>
      </c>
      <c r="E290" s="14">
        <f>SUMIFS(Datos!$H$4:$H$1187,Datos!$A$4:$A$1187,A290,Datos!$C$4:$C$1187,"Paysafe")</f>
        <v/>
      </c>
      <c r="F290" s="15">
        <f>SUM(B290:E290)</f>
        <v/>
      </c>
    </row>
    <row r="291">
      <c r="A291" s="8" t="n">
        <v>46216</v>
      </c>
      <c r="B291" s="9">
        <f>SUMIFS(Datos!$H$4:$H$1187,Datos!$A$4:$A$1187,A291,Datos!$C$4:$C$1187,"Shift4")</f>
        <v/>
      </c>
      <c r="C291" s="9">
        <f>SUMIFS(Datos!$H$4:$H$1187,Datos!$A$4:$A$1187,A291,Datos!$C$4:$C$1187,"Nuvei")</f>
        <v/>
      </c>
      <c r="D291" s="9">
        <f>SUMIFS(Datos!$H$4:$H$1187,Datos!$A$4:$A$1187,A291,Datos!$C$4:$C$1187,"Adyen")</f>
        <v/>
      </c>
      <c r="E291" s="9">
        <f>SUMIFS(Datos!$H$4:$H$1187,Datos!$A$4:$A$1187,A291,Datos!$C$4:$C$1187,"Paysafe")</f>
        <v/>
      </c>
      <c r="F291" s="16">
        <f>SUM(B291:E291)</f>
        <v/>
      </c>
    </row>
    <row r="292">
      <c r="A292" s="13" t="n">
        <v>46217</v>
      </c>
      <c r="B292" s="14">
        <f>SUMIFS(Datos!$H$4:$H$1187,Datos!$A$4:$A$1187,A292,Datos!$C$4:$C$1187,"Shift4")</f>
        <v/>
      </c>
      <c r="C292" s="14">
        <f>SUMIFS(Datos!$H$4:$H$1187,Datos!$A$4:$A$1187,A292,Datos!$C$4:$C$1187,"Nuvei")</f>
        <v/>
      </c>
      <c r="D292" s="14">
        <f>SUMIFS(Datos!$H$4:$H$1187,Datos!$A$4:$A$1187,A292,Datos!$C$4:$C$1187,"Adyen")</f>
        <v/>
      </c>
      <c r="E292" s="14">
        <f>SUMIFS(Datos!$H$4:$H$1187,Datos!$A$4:$A$1187,A292,Datos!$C$4:$C$1187,"Paysafe")</f>
        <v/>
      </c>
      <c r="F292" s="15">
        <f>SUM(B292:E292)</f>
        <v/>
      </c>
    </row>
    <row r="293">
      <c r="A293" s="8" t="n">
        <v>46218</v>
      </c>
      <c r="B293" s="9">
        <f>SUMIFS(Datos!$H$4:$H$1187,Datos!$A$4:$A$1187,A293,Datos!$C$4:$C$1187,"Shift4")</f>
        <v/>
      </c>
      <c r="C293" s="9">
        <f>SUMIFS(Datos!$H$4:$H$1187,Datos!$A$4:$A$1187,A293,Datos!$C$4:$C$1187,"Nuvei")</f>
        <v/>
      </c>
      <c r="D293" s="9">
        <f>SUMIFS(Datos!$H$4:$H$1187,Datos!$A$4:$A$1187,A293,Datos!$C$4:$C$1187,"Adyen")</f>
        <v/>
      </c>
      <c r="E293" s="9">
        <f>SUMIFS(Datos!$H$4:$H$1187,Datos!$A$4:$A$1187,A293,Datos!$C$4:$C$1187,"Paysafe")</f>
        <v/>
      </c>
      <c r="F293" s="16">
        <f>SUM(B293:E293)</f>
        <v/>
      </c>
    </row>
    <row r="294">
      <c r="A294" s="13" t="n">
        <v>46219</v>
      </c>
      <c r="B294" s="14">
        <f>SUMIFS(Datos!$H$4:$H$1187,Datos!$A$4:$A$1187,A294,Datos!$C$4:$C$1187,"Shift4")</f>
        <v/>
      </c>
      <c r="C294" s="14">
        <f>SUMIFS(Datos!$H$4:$H$1187,Datos!$A$4:$A$1187,A294,Datos!$C$4:$C$1187,"Nuvei")</f>
        <v/>
      </c>
      <c r="D294" s="14">
        <f>SUMIFS(Datos!$H$4:$H$1187,Datos!$A$4:$A$1187,A294,Datos!$C$4:$C$1187,"Adyen")</f>
        <v/>
      </c>
      <c r="E294" s="14">
        <f>SUMIFS(Datos!$H$4:$H$1187,Datos!$A$4:$A$1187,A294,Datos!$C$4:$C$1187,"Paysafe")</f>
        <v/>
      </c>
      <c r="F294" s="15">
        <f>SUM(B294:E294)</f>
        <v/>
      </c>
    </row>
    <row r="295">
      <c r="A295" s="8" t="n">
        <v>46220</v>
      </c>
      <c r="B295" s="9">
        <f>SUMIFS(Datos!$H$4:$H$1187,Datos!$A$4:$A$1187,A295,Datos!$C$4:$C$1187,"Shift4")</f>
        <v/>
      </c>
      <c r="C295" s="9">
        <f>SUMIFS(Datos!$H$4:$H$1187,Datos!$A$4:$A$1187,A295,Datos!$C$4:$C$1187,"Nuvei")</f>
        <v/>
      </c>
      <c r="D295" s="9">
        <f>SUMIFS(Datos!$H$4:$H$1187,Datos!$A$4:$A$1187,A295,Datos!$C$4:$C$1187,"Adyen")</f>
        <v/>
      </c>
      <c r="E295" s="9">
        <f>SUMIFS(Datos!$H$4:$H$1187,Datos!$A$4:$A$1187,A295,Datos!$C$4:$C$1187,"Paysafe")</f>
        <v/>
      </c>
      <c r="F295" s="16">
        <f>SUM(B295:E295)</f>
        <v/>
      </c>
    </row>
    <row r="296">
      <c r="A296" s="13" t="n">
        <v>46221</v>
      </c>
      <c r="B296" s="14">
        <f>SUMIFS(Datos!$H$4:$H$1187,Datos!$A$4:$A$1187,A296,Datos!$C$4:$C$1187,"Shift4")</f>
        <v/>
      </c>
      <c r="C296" s="14">
        <f>SUMIFS(Datos!$H$4:$H$1187,Datos!$A$4:$A$1187,A296,Datos!$C$4:$C$1187,"Nuvei")</f>
        <v/>
      </c>
      <c r="D296" s="14">
        <f>SUMIFS(Datos!$H$4:$H$1187,Datos!$A$4:$A$1187,A296,Datos!$C$4:$C$1187,"Adyen")</f>
        <v/>
      </c>
      <c r="E296" s="14">
        <f>SUMIFS(Datos!$H$4:$H$1187,Datos!$A$4:$A$1187,A296,Datos!$C$4:$C$1187,"Paysafe")</f>
        <v/>
      </c>
      <c r="F296" s="15">
        <f>SUM(B296:E296)</f>
        <v/>
      </c>
    </row>
    <row r="297">
      <c r="A297" s="8" t="n">
        <v>46222</v>
      </c>
      <c r="B297" s="9">
        <f>SUMIFS(Datos!$H$4:$H$1187,Datos!$A$4:$A$1187,A297,Datos!$C$4:$C$1187,"Shift4")</f>
        <v/>
      </c>
      <c r="C297" s="9">
        <f>SUMIFS(Datos!$H$4:$H$1187,Datos!$A$4:$A$1187,A297,Datos!$C$4:$C$1187,"Nuvei")</f>
        <v/>
      </c>
      <c r="D297" s="9">
        <f>SUMIFS(Datos!$H$4:$H$1187,Datos!$A$4:$A$1187,A297,Datos!$C$4:$C$1187,"Adyen")</f>
        <v/>
      </c>
      <c r="E297" s="9">
        <f>SUMIFS(Datos!$H$4:$H$1187,Datos!$A$4:$A$1187,A297,Datos!$C$4:$C$1187,"Paysafe")</f>
        <v/>
      </c>
      <c r="F297" s="16">
        <f>SUM(B297:E297)</f>
        <v/>
      </c>
    </row>
    <row r="298">
      <c r="A298" s="13" t="n">
        <v>46223</v>
      </c>
      <c r="B298" s="14">
        <f>SUMIFS(Datos!$H$4:$H$1187,Datos!$A$4:$A$1187,A298,Datos!$C$4:$C$1187,"Shift4")</f>
        <v/>
      </c>
      <c r="C298" s="14">
        <f>SUMIFS(Datos!$H$4:$H$1187,Datos!$A$4:$A$1187,A298,Datos!$C$4:$C$1187,"Nuvei")</f>
        <v/>
      </c>
      <c r="D298" s="14">
        <f>SUMIFS(Datos!$H$4:$H$1187,Datos!$A$4:$A$1187,A298,Datos!$C$4:$C$1187,"Adyen")</f>
        <v/>
      </c>
      <c r="E298" s="14">
        <f>SUMIFS(Datos!$H$4:$H$1187,Datos!$A$4:$A$1187,A298,Datos!$C$4:$C$1187,"Paysafe")</f>
        <v/>
      </c>
      <c r="F298" s="15">
        <f>SUM(B298:E298)</f>
        <v/>
      </c>
    </row>
    <row r="299">
      <c r="A299" s="8" t="n">
        <v>46224</v>
      </c>
      <c r="B299" s="9">
        <f>SUMIFS(Datos!$H$4:$H$1187,Datos!$A$4:$A$1187,A299,Datos!$C$4:$C$1187,"Shift4")</f>
        <v/>
      </c>
      <c r="C299" s="9">
        <f>SUMIFS(Datos!$H$4:$H$1187,Datos!$A$4:$A$1187,A299,Datos!$C$4:$C$1187,"Nuvei")</f>
        <v/>
      </c>
      <c r="D299" s="9">
        <f>SUMIFS(Datos!$H$4:$H$1187,Datos!$A$4:$A$1187,A299,Datos!$C$4:$C$1187,"Adyen")</f>
        <v/>
      </c>
      <c r="E299" s="9">
        <f>SUMIFS(Datos!$H$4:$H$1187,Datos!$A$4:$A$1187,A299,Datos!$C$4:$C$1187,"Paysafe")</f>
        <v/>
      </c>
      <c r="F299" s="16">
        <f>SUM(B299:E299)</f>
        <v/>
      </c>
    </row>
    <row r="300">
      <c r="A300" s="13" t="n">
        <v>46225</v>
      </c>
      <c r="B300" s="14">
        <f>SUMIFS(Datos!$H$4:$H$1187,Datos!$A$4:$A$1187,A300,Datos!$C$4:$C$1187,"Shift4")</f>
        <v/>
      </c>
      <c r="C300" s="14">
        <f>SUMIFS(Datos!$H$4:$H$1187,Datos!$A$4:$A$1187,A300,Datos!$C$4:$C$1187,"Nuvei")</f>
        <v/>
      </c>
      <c r="D300" s="14">
        <f>SUMIFS(Datos!$H$4:$H$1187,Datos!$A$4:$A$1187,A300,Datos!$C$4:$C$1187,"Adyen")</f>
        <v/>
      </c>
      <c r="E300" s="14">
        <f>SUMIFS(Datos!$H$4:$H$1187,Datos!$A$4:$A$1187,A300,Datos!$C$4:$C$1187,"Paysafe")</f>
        <v/>
      </c>
      <c r="F300" s="15">
        <f>SUM(B300:E300)</f>
        <v/>
      </c>
    </row>
    <row r="301">
      <c r="A301" s="8" t="n">
        <v>46226</v>
      </c>
      <c r="B301" s="9">
        <f>SUMIFS(Datos!$H$4:$H$1187,Datos!$A$4:$A$1187,A301,Datos!$C$4:$C$1187,"Shift4")</f>
        <v/>
      </c>
      <c r="C301" s="9">
        <f>SUMIFS(Datos!$H$4:$H$1187,Datos!$A$4:$A$1187,A301,Datos!$C$4:$C$1187,"Nuvei")</f>
        <v/>
      </c>
      <c r="D301" s="9">
        <f>SUMIFS(Datos!$H$4:$H$1187,Datos!$A$4:$A$1187,A301,Datos!$C$4:$C$1187,"Adyen")</f>
        <v/>
      </c>
      <c r="E301" s="9">
        <f>SUMIFS(Datos!$H$4:$H$1187,Datos!$A$4:$A$1187,A301,Datos!$C$4:$C$1187,"Paysafe")</f>
        <v/>
      </c>
      <c r="F301" s="16">
        <f>SUM(B301:E301)</f>
        <v/>
      </c>
    </row>
    <row r="302">
      <c r="A302" s="13" t="n">
        <v>46227</v>
      </c>
      <c r="B302" s="14">
        <f>SUMIFS(Datos!$H$4:$H$1187,Datos!$A$4:$A$1187,A302,Datos!$C$4:$C$1187,"Shift4")</f>
        <v/>
      </c>
      <c r="C302" s="14">
        <f>SUMIFS(Datos!$H$4:$H$1187,Datos!$A$4:$A$1187,A302,Datos!$C$4:$C$1187,"Nuvei")</f>
        <v/>
      </c>
      <c r="D302" s="14">
        <f>SUMIFS(Datos!$H$4:$H$1187,Datos!$A$4:$A$1187,A302,Datos!$C$4:$C$1187,"Adyen")</f>
        <v/>
      </c>
      <c r="E302" s="14">
        <f>SUMIFS(Datos!$H$4:$H$1187,Datos!$A$4:$A$1187,A302,Datos!$C$4:$C$1187,"Paysafe")</f>
        <v/>
      </c>
      <c r="F302" s="15">
        <f>SUM(B302:E302)</f>
        <v/>
      </c>
    </row>
    <row r="303">
      <c r="A303" s="8" t="n">
        <v>46228</v>
      </c>
      <c r="B303" s="9">
        <f>SUMIFS(Datos!$H$4:$H$1187,Datos!$A$4:$A$1187,A303,Datos!$C$4:$C$1187,"Shift4")</f>
        <v/>
      </c>
      <c r="C303" s="9">
        <f>SUMIFS(Datos!$H$4:$H$1187,Datos!$A$4:$A$1187,A303,Datos!$C$4:$C$1187,"Nuvei")</f>
        <v/>
      </c>
      <c r="D303" s="9">
        <f>SUMIFS(Datos!$H$4:$H$1187,Datos!$A$4:$A$1187,A303,Datos!$C$4:$C$1187,"Adyen")</f>
        <v/>
      </c>
      <c r="E303" s="9">
        <f>SUMIFS(Datos!$H$4:$H$1187,Datos!$A$4:$A$1187,A303,Datos!$C$4:$C$1187,"Paysafe")</f>
        <v/>
      </c>
      <c r="F303" s="16">
        <f>SUM(B303:E303)</f>
        <v/>
      </c>
    </row>
    <row r="304">
      <c r="A304" s="13" t="n">
        <v>46229</v>
      </c>
      <c r="B304" s="14">
        <f>SUMIFS(Datos!$H$4:$H$1187,Datos!$A$4:$A$1187,A304,Datos!$C$4:$C$1187,"Shift4")</f>
        <v/>
      </c>
      <c r="C304" s="14">
        <f>SUMIFS(Datos!$H$4:$H$1187,Datos!$A$4:$A$1187,A304,Datos!$C$4:$C$1187,"Nuvei")</f>
        <v/>
      </c>
      <c r="D304" s="14">
        <f>SUMIFS(Datos!$H$4:$H$1187,Datos!$A$4:$A$1187,A304,Datos!$C$4:$C$1187,"Adyen")</f>
        <v/>
      </c>
      <c r="E304" s="14">
        <f>SUMIFS(Datos!$H$4:$H$1187,Datos!$A$4:$A$1187,A304,Datos!$C$4:$C$1187,"Paysafe")</f>
        <v/>
      </c>
      <c r="F304" s="15">
        <f>SUM(B304:E304)</f>
        <v/>
      </c>
    </row>
    <row r="305">
      <c r="A305" s="8" t="n">
        <v>46230</v>
      </c>
      <c r="B305" s="9">
        <f>SUMIFS(Datos!$H$4:$H$1187,Datos!$A$4:$A$1187,A305,Datos!$C$4:$C$1187,"Shift4")</f>
        <v/>
      </c>
      <c r="C305" s="9">
        <f>SUMIFS(Datos!$H$4:$H$1187,Datos!$A$4:$A$1187,A305,Datos!$C$4:$C$1187,"Nuvei")</f>
        <v/>
      </c>
      <c r="D305" s="9">
        <f>SUMIFS(Datos!$H$4:$H$1187,Datos!$A$4:$A$1187,A305,Datos!$C$4:$C$1187,"Adyen")</f>
        <v/>
      </c>
      <c r="E305" s="9">
        <f>SUMIFS(Datos!$H$4:$H$1187,Datos!$A$4:$A$1187,A305,Datos!$C$4:$C$1187,"Paysafe")</f>
        <v/>
      </c>
      <c r="F305" s="16">
        <f>SUM(B305:E305)</f>
        <v/>
      </c>
    </row>
    <row r="306">
      <c r="A306" s="13" t="n">
        <v>46231</v>
      </c>
      <c r="B306" s="14">
        <f>SUMIFS(Datos!$H$4:$H$1187,Datos!$A$4:$A$1187,A306,Datos!$C$4:$C$1187,"Shift4")</f>
        <v/>
      </c>
      <c r="C306" s="14">
        <f>SUMIFS(Datos!$H$4:$H$1187,Datos!$A$4:$A$1187,A306,Datos!$C$4:$C$1187,"Nuvei")</f>
        <v/>
      </c>
      <c r="D306" s="14">
        <f>SUMIFS(Datos!$H$4:$H$1187,Datos!$A$4:$A$1187,A306,Datos!$C$4:$C$1187,"Adyen")</f>
        <v/>
      </c>
      <c r="E306" s="14">
        <f>SUMIFS(Datos!$H$4:$H$1187,Datos!$A$4:$A$1187,A306,Datos!$C$4:$C$1187,"Paysafe")</f>
        <v/>
      </c>
      <c r="F306" s="15">
        <f>SUM(B306:E306)</f>
        <v/>
      </c>
    </row>
    <row r="307">
      <c r="A307" s="8" t="n">
        <v>46232</v>
      </c>
      <c r="B307" s="9">
        <f>SUMIFS(Datos!$H$4:$H$1187,Datos!$A$4:$A$1187,A307,Datos!$C$4:$C$1187,"Shift4")</f>
        <v/>
      </c>
      <c r="C307" s="9">
        <f>SUMIFS(Datos!$H$4:$H$1187,Datos!$A$4:$A$1187,A307,Datos!$C$4:$C$1187,"Nuvei")</f>
        <v/>
      </c>
      <c r="D307" s="9">
        <f>SUMIFS(Datos!$H$4:$H$1187,Datos!$A$4:$A$1187,A307,Datos!$C$4:$C$1187,"Adyen")</f>
        <v/>
      </c>
      <c r="E307" s="9">
        <f>SUMIFS(Datos!$H$4:$H$1187,Datos!$A$4:$A$1187,A307,Datos!$C$4:$C$1187,"Paysafe")</f>
        <v/>
      </c>
      <c r="F307" s="16">
        <f>SUM(B307:E307)</f>
        <v/>
      </c>
    </row>
    <row r="308">
      <c r="A308" s="13" t="n">
        <v>46233</v>
      </c>
      <c r="B308" s="14">
        <f>SUMIFS(Datos!$H$4:$H$1187,Datos!$A$4:$A$1187,A308,Datos!$C$4:$C$1187,"Shift4")</f>
        <v/>
      </c>
      <c r="C308" s="14">
        <f>SUMIFS(Datos!$H$4:$H$1187,Datos!$A$4:$A$1187,A308,Datos!$C$4:$C$1187,"Nuvei")</f>
        <v/>
      </c>
      <c r="D308" s="14">
        <f>SUMIFS(Datos!$H$4:$H$1187,Datos!$A$4:$A$1187,A308,Datos!$C$4:$C$1187,"Adyen")</f>
        <v/>
      </c>
      <c r="E308" s="14">
        <f>SUMIFS(Datos!$H$4:$H$1187,Datos!$A$4:$A$1187,A308,Datos!$C$4:$C$1187,"Paysafe")</f>
        <v/>
      </c>
      <c r="F308" s="15">
        <f>SUM(B308:E308)</f>
        <v/>
      </c>
    </row>
    <row r="309">
      <c r="A309" s="8" t="n">
        <v>46234</v>
      </c>
      <c r="B309" s="9">
        <f>SUMIFS(Datos!$H$4:$H$1187,Datos!$A$4:$A$1187,A309,Datos!$C$4:$C$1187,"Shift4")</f>
        <v/>
      </c>
      <c r="C309" s="9">
        <f>SUMIFS(Datos!$H$4:$H$1187,Datos!$A$4:$A$1187,A309,Datos!$C$4:$C$1187,"Nuvei")</f>
        <v/>
      </c>
      <c r="D309" s="9">
        <f>SUMIFS(Datos!$H$4:$H$1187,Datos!$A$4:$A$1187,A309,Datos!$C$4:$C$1187,"Adyen")</f>
        <v/>
      </c>
      <c r="E309" s="9">
        <f>SUMIFS(Datos!$H$4:$H$1187,Datos!$A$4:$A$1187,A309,Datos!$C$4:$C$1187,"Paysafe")</f>
        <v/>
      </c>
      <c r="F309" s="16">
        <f>SUM(B309:E309)</f>
        <v/>
      </c>
    </row>
    <row r="310">
      <c r="A310" s="5" t="inlineStr">
        <is>
          <t>TOTAL</t>
        </is>
      </c>
      <c r="B310" s="17">
        <f>SUM(B4:B309)</f>
        <v/>
      </c>
      <c r="C310" s="17">
        <f>SUM(C4:C309)</f>
        <v/>
      </c>
      <c r="D310" s="17">
        <f>SUM(D4:D309)</f>
        <v/>
      </c>
      <c r="E310" s="17">
        <f>SUM(E4:E309)</f>
        <v/>
      </c>
      <c r="F310" s="17">
        <f>SUM(F4:F309)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0" t="inlineStr">
        <is>
          <t>VENTAS SEMANALES POR PASARELA (€)  ·  control semanal</t>
        </is>
      </c>
      <c r="B1" s="11" t="n"/>
      <c r="C1" s="11" t="n"/>
      <c r="D1" s="11" t="n"/>
      <c r="E1" s="11" t="n"/>
      <c r="F1" s="11" t="n"/>
      <c r="G1" s="11" t="n"/>
    </row>
    <row r="3">
      <c r="A3" s="12" t="inlineStr">
        <is>
          <t>Semana</t>
        </is>
      </c>
      <c r="B3" s="12" t="inlineStr">
        <is>
          <t>Shift4</t>
        </is>
      </c>
      <c r="C3" s="12" t="inlineStr">
        <is>
          <t>Nuvei</t>
        </is>
      </c>
      <c r="D3" s="12" t="inlineStr">
        <is>
          <t>Adyen</t>
        </is>
      </c>
      <c r="E3" s="12" t="inlineStr">
        <is>
          <t>Paysafe</t>
        </is>
      </c>
      <c r="F3" s="12" t="inlineStr">
        <is>
          <t>TOTAL</t>
        </is>
      </c>
    </row>
    <row r="4">
      <c r="A4" s="18" t="inlineStr">
        <is>
          <t>2025-W39</t>
        </is>
      </c>
      <c r="B4" s="14">
        <f>SUMIFS(Datos!$H$4:$H$1187,Datos!$B$4:$B$1187,A4,Datos!$C$4:$C$1187,"Shift4")</f>
        <v/>
      </c>
      <c r="C4" s="14">
        <f>SUMIFS(Datos!$H$4:$H$1187,Datos!$B$4:$B$1187,A4,Datos!$C$4:$C$1187,"Nuvei")</f>
        <v/>
      </c>
      <c r="D4" s="14">
        <f>SUMIFS(Datos!$H$4:$H$1187,Datos!$B$4:$B$1187,A4,Datos!$C$4:$C$1187,"Adyen")</f>
        <v/>
      </c>
      <c r="E4" s="14">
        <f>SUMIFS(Datos!$H$4:$H$1187,Datos!$B$4:$B$1187,A4,Datos!$C$4:$C$1187,"Paysafe")</f>
        <v/>
      </c>
      <c r="F4" s="15">
        <f>SUM(B4:E4)</f>
        <v/>
      </c>
    </row>
    <row r="5">
      <c r="A5" s="5" t="inlineStr">
        <is>
          <t>2025-W40</t>
        </is>
      </c>
      <c r="B5" s="9">
        <f>SUMIFS(Datos!$H$4:$H$1187,Datos!$B$4:$B$1187,A5,Datos!$C$4:$C$1187,"Shift4")</f>
        <v/>
      </c>
      <c r="C5" s="9">
        <f>SUMIFS(Datos!$H$4:$H$1187,Datos!$B$4:$B$1187,A5,Datos!$C$4:$C$1187,"Nuvei")</f>
        <v/>
      </c>
      <c r="D5" s="9">
        <f>SUMIFS(Datos!$H$4:$H$1187,Datos!$B$4:$B$1187,A5,Datos!$C$4:$C$1187,"Adyen")</f>
        <v/>
      </c>
      <c r="E5" s="9">
        <f>SUMIFS(Datos!$H$4:$H$1187,Datos!$B$4:$B$1187,A5,Datos!$C$4:$C$1187,"Paysafe")</f>
        <v/>
      </c>
      <c r="F5" s="16">
        <f>SUM(B5:E5)</f>
        <v/>
      </c>
    </row>
    <row r="6">
      <c r="A6" s="18" t="inlineStr">
        <is>
          <t>2025-W41</t>
        </is>
      </c>
      <c r="B6" s="14">
        <f>SUMIFS(Datos!$H$4:$H$1187,Datos!$B$4:$B$1187,A6,Datos!$C$4:$C$1187,"Shift4")</f>
        <v/>
      </c>
      <c r="C6" s="14">
        <f>SUMIFS(Datos!$H$4:$H$1187,Datos!$B$4:$B$1187,A6,Datos!$C$4:$C$1187,"Nuvei")</f>
        <v/>
      </c>
      <c r="D6" s="14">
        <f>SUMIFS(Datos!$H$4:$H$1187,Datos!$B$4:$B$1187,A6,Datos!$C$4:$C$1187,"Adyen")</f>
        <v/>
      </c>
      <c r="E6" s="14">
        <f>SUMIFS(Datos!$H$4:$H$1187,Datos!$B$4:$B$1187,A6,Datos!$C$4:$C$1187,"Paysafe")</f>
        <v/>
      </c>
      <c r="F6" s="15">
        <f>SUM(B6:E6)</f>
        <v/>
      </c>
    </row>
    <row r="7">
      <c r="A7" s="5" t="inlineStr">
        <is>
          <t>2025-W42</t>
        </is>
      </c>
      <c r="B7" s="9">
        <f>SUMIFS(Datos!$H$4:$H$1187,Datos!$B$4:$B$1187,A7,Datos!$C$4:$C$1187,"Shift4")</f>
        <v/>
      </c>
      <c r="C7" s="9">
        <f>SUMIFS(Datos!$H$4:$H$1187,Datos!$B$4:$B$1187,A7,Datos!$C$4:$C$1187,"Nuvei")</f>
        <v/>
      </c>
      <c r="D7" s="9">
        <f>SUMIFS(Datos!$H$4:$H$1187,Datos!$B$4:$B$1187,A7,Datos!$C$4:$C$1187,"Adyen")</f>
        <v/>
      </c>
      <c r="E7" s="9">
        <f>SUMIFS(Datos!$H$4:$H$1187,Datos!$B$4:$B$1187,A7,Datos!$C$4:$C$1187,"Paysafe")</f>
        <v/>
      </c>
      <c r="F7" s="16">
        <f>SUM(B7:E7)</f>
        <v/>
      </c>
    </row>
    <row r="8">
      <c r="A8" s="18" t="inlineStr">
        <is>
          <t>2025-W43</t>
        </is>
      </c>
      <c r="B8" s="14">
        <f>SUMIFS(Datos!$H$4:$H$1187,Datos!$B$4:$B$1187,A8,Datos!$C$4:$C$1187,"Shift4")</f>
        <v/>
      </c>
      <c r="C8" s="14">
        <f>SUMIFS(Datos!$H$4:$H$1187,Datos!$B$4:$B$1187,A8,Datos!$C$4:$C$1187,"Nuvei")</f>
        <v/>
      </c>
      <c r="D8" s="14">
        <f>SUMIFS(Datos!$H$4:$H$1187,Datos!$B$4:$B$1187,A8,Datos!$C$4:$C$1187,"Adyen")</f>
        <v/>
      </c>
      <c r="E8" s="14">
        <f>SUMIFS(Datos!$H$4:$H$1187,Datos!$B$4:$B$1187,A8,Datos!$C$4:$C$1187,"Paysafe")</f>
        <v/>
      </c>
      <c r="F8" s="15">
        <f>SUM(B8:E8)</f>
        <v/>
      </c>
    </row>
    <row r="9">
      <c r="A9" s="5" t="inlineStr">
        <is>
          <t>2025-W44</t>
        </is>
      </c>
      <c r="B9" s="9">
        <f>SUMIFS(Datos!$H$4:$H$1187,Datos!$B$4:$B$1187,A9,Datos!$C$4:$C$1187,"Shift4")</f>
        <v/>
      </c>
      <c r="C9" s="9">
        <f>SUMIFS(Datos!$H$4:$H$1187,Datos!$B$4:$B$1187,A9,Datos!$C$4:$C$1187,"Nuvei")</f>
        <v/>
      </c>
      <c r="D9" s="9">
        <f>SUMIFS(Datos!$H$4:$H$1187,Datos!$B$4:$B$1187,A9,Datos!$C$4:$C$1187,"Adyen")</f>
        <v/>
      </c>
      <c r="E9" s="9">
        <f>SUMIFS(Datos!$H$4:$H$1187,Datos!$B$4:$B$1187,A9,Datos!$C$4:$C$1187,"Paysafe")</f>
        <v/>
      </c>
      <c r="F9" s="16">
        <f>SUM(B9:E9)</f>
        <v/>
      </c>
    </row>
    <row r="10">
      <c r="A10" s="18" t="inlineStr">
        <is>
          <t>2025-W45</t>
        </is>
      </c>
      <c r="B10" s="14">
        <f>SUMIFS(Datos!$H$4:$H$1187,Datos!$B$4:$B$1187,A10,Datos!$C$4:$C$1187,"Shift4")</f>
        <v/>
      </c>
      <c r="C10" s="14">
        <f>SUMIFS(Datos!$H$4:$H$1187,Datos!$B$4:$B$1187,A10,Datos!$C$4:$C$1187,"Nuvei")</f>
        <v/>
      </c>
      <c r="D10" s="14">
        <f>SUMIFS(Datos!$H$4:$H$1187,Datos!$B$4:$B$1187,A10,Datos!$C$4:$C$1187,"Adyen")</f>
        <v/>
      </c>
      <c r="E10" s="14">
        <f>SUMIFS(Datos!$H$4:$H$1187,Datos!$B$4:$B$1187,A10,Datos!$C$4:$C$1187,"Paysafe")</f>
        <v/>
      </c>
      <c r="F10" s="15">
        <f>SUM(B10:E10)</f>
        <v/>
      </c>
    </row>
    <row r="11">
      <c r="A11" s="5" t="inlineStr">
        <is>
          <t>2025-W46</t>
        </is>
      </c>
      <c r="B11" s="9">
        <f>SUMIFS(Datos!$H$4:$H$1187,Datos!$B$4:$B$1187,A11,Datos!$C$4:$C$1187,"Shift4")</f>
        <v/>
      </c>
      <c r="C11" s="9">
        <f>SUMIFS(Datos!$H$4:$H$1187,Datos!$B$4:$B$1187,A11,Datos!$C$4:$C$1187,"Nuvei")</f>
        <v/>
      </c>
      <c r="D11" s="9">
        <f>SUMIFS(Datos!$H$4:$H$1187,Datos!$B$4:$B$1187,A11,Datos!$C$4:$C$1187,"Adyen")</f>
        <v/>
      </c>
      <c r="E11" s="9">
        <f>SUMIFS(Datos!$H$4:$H$1187,Datos!$B$4:$B$1187,A11,Datos!$C$4:$C$1187,"Paysafe")</f>
        <v/>
      </c>
      <c r="F11" s="16">
        <f>SUM(B11:E11)</f>
        <v/>
      </c>
    </row>
    <row r="12">
      <c r="A12" s="18" t="inlineStr">
        <is>
          <t>2025-W47</t>
        </is>
      </c>
      <c r="B12" s="14">
        <f>SUMIFS(Datos!$H$4:$H$1187,Datos!$B$4:$B$1187,A12,Datos!$C$4:$C$1187,"Shift4")</f>
        <v/>
      </c>
      <c r="C12" s="14">
        <f>SUMIFS(Datos!$H$4:$H$1187,Datos!$B$4:$B$1187,A12,Datos!$C$4:$C$1187,"Nuvei")</f>
        <v/>
      </c>
      <c r="D12" s="14">
        <f>SUMIFS(Datos!$H$4:$H$1187,Datos!$B$4:$B$1187,A12,Datos!$C$4:$C$1187,"Adyen")</f>
        <v/>
      </c>
      <c r="E12" s="14">
        <f>SUMIFS(Datos!$H$4:$H$1187,Datos!$B$4:$B$1187,A12,Datos!$C$4:$C$1187,"Paysafe")</f>
        <v/>
      </c>
      <c r="F12" s="15">
        <f>SUM(B12:E12)</f>
        <v/>
      </c>
    </row>
    <row r="13">
      <c r="A13" s="5" t="inlineStr">
        <is>
          <t>2025-W48</t>
        </is>
      </c>
      <c r="B13" s="9">
        <f>SUMIFS(Datos!$H$4:$H$1187,Datos!$B$4:$B$1187,A13,Datos!$C$4:$C$1187,"Shift4")</f>
        <v/>
      </c>
      <c r="C13" s="9">
        <f>SUMIFS(Datos!$H$4:$H$1187,Datos!$B$4:$B$1187,A13,Datos!$C$4:$C$1187,"Nuvei")</f>
        <v/>
      </c>
      <c r="D13" s="9">
        <f>SUMIFS(Datos!$H$4:$H$1187,Datos!$B$4:$B$1187,A13,Datos!$C$4:$C$1187,"Adyen")</f>
        <v/>
      </c>
      <c r="E13" s="9">
        <f>SUMIFS(Datos!$H$4:$H$1187,Datos!$B$4:$B$1187,A13,Datos!$C$4:$C$1187,"Paysafe")</f>
        <v/>
      </c>
      <c r="F13" s="16">
        <f>SUM(B13:E13)</f>
        <v/>
      </c>
    </row>
    <row r="14">
      <c r="A14" s="18" t="inlineStr">
        <is>
          <t>2025-W49</t>
        </is>
      </c>
      <c r="B14" s="14">
        <f>SUMIFS(Datos!$H$4:$H$1187,Datos!$B$4:$B$1187,A14,Datos!$C$4:$C$1187,"Shift4")</f>
        <v/>
      </c>
      <c r="C14" s="14">
        <f>SUMIFS(Datos!$H$4:$H$1187,Datos!$B$4:$B$1187,A14,Datos!$C$4:$C$1187,"Nuvei")</f>
        <v/>
      </c>
      <c r="D14" s="14">
        <f>SUMIFS(Datos!$H$4:$H$1187,Datos!$B$4:$B$1187,A14,Datos!$C$4:$C$1187,"Adyen")</f>
        <v/>
      </c>
      <c r="E14" s="14">
        <f>SUMIFS(Datos!$H$4:$H$1187,Datos!$B$4:$B$1187,A14,Datos!$C$4:$C$1187,"Paysafe")</f>
        <v/>
      </c>
      <c r="F14" s="15">
        <f>SUM(B14:E14)</f>
        <v/>
      </c>
    </row>
    <row r="15">
      <c r="A15" s="5" t="inlineStr">
        <is>
          <t>2025-W50</t>
        </is>
      </c>
      <c r="B15" s="9">
        <f>SUMIFS(Datos!$H$4:$H$1187,Datos!$B$4:$B$1187,A15,Datos!$C$4:$C$1187,"Shift4")</f>
        <v/>
      </c>
      <c r="C15" s="9">
        <f>SUMIFS(Datos!$H$4:$H$1187,Datos!$B$4:$B$1187,A15,Datos!$C$4:$C$1187,"Nuvei")</f>
        <v/>
      </c>
      <c r="D15" s="9">
        <f>SUMIFS(Datos!$H$4:$H$1187,Datos!$B$4:$B$1187,A15,Datos!$C$4:$C$1187,"Adyen")</f>
        <v/>
      </c>
      <c r="E15" s="9">
        <f>SUMIFS(Datos!$H$4:$H$1187,Datos!$B$4:$B$1187,A15,Datos!$C$4:$C$1187,"Paysafe")</f>
        <v/>
      </c>
      <c r="F15" s="16">
        <f>SUM(B15:E15)</f>
        <v/>
      </c>
    </row>
    <row r="16">
      <c r="A16" s="18" t="inlineStr">
        <is>
          <t>2025-W51</t>
        </is>
      </c>
      <c r="B16" s="14">
        <f>SUMIFS(Datos!$H$4:$H$1187,Datos!$B$4:$B$1187,A16,Datos!$C$4:$C$1187,"Shift4")</f>
        <v/>
      </c>
      <c r="C16" s="14">
        <f>SUMIFS(Datos!$H$4:$H$1187,Datos!$B$4:$B$1187,A16,Datos!$C$4:$C$1187,"Nuvei")</f>
        <v/>
      </c>
      <c r="D16" s="14">
        <f>SUMIFS(Datos!$H$4:$H$1187,Datos!$B$4:$B$1187,A16,Datos!$C$4:$C$1187,"Adyen")</f>
        <v/>
      </c>
      <c r="E16" s="14">
        <f>SUMIFS(Datos!$H$4:$H$1187,Datos!$B$4:$B$1187,A16,Datos!$C$4:$C$1187,"Paysafe")</f>
        <v/>
      </c>
      <c r="F16" s="15">
        <f>SUM(B16:E16)</f>
        <v/>
      </c>
    </row>
    <row r="17">
      <c r="A17" s="5" t="inlineStr">
        <is>
          <t>2025-W52</t>
        </is>
      </c>
      <c r="B17" s="9">
        <f>SUMIFS(Datos!$H$4:$H$1187,Datos!$B$4:$B$1187,A17,Datos!$C$4:$C$1187,"Shift4")</f>
        <v/>
      </c>
      <c r="C17" s="9">
        <f>SUMIFS(Datos!$H$4:$H$1187,Datos!$B$4:$B$1187,A17,Datos!$C$4:$C$1187,"Nuvei")</f>
        <v/>
      </c>
      <c r="D17" s="9">
        <f>SUMIFS(Datos!$H$4:$H$1187,Datos!$B$4:$B$1187,A17,Datos!$C$4:$C$1187,"Adyen")</f>
        <v/>
      </c>
      <c r="E17" s="9">
        <f>SUMIFS(Datos!$H$4:$H$1187,Datos!$B$4:$B$1187,A17,Datos!$C$4:$C$1187,"Paysafe")</f>
        <v/>
      </c>
      <c r="F17" s="16">
        <f>SUM(B17:E17)</f>
        <v/>
      </c>
    </row>
    <row r="18">
      <c r="A18" s="18" t="inlineStr">
        <is>
          <t>2026-W01</t>
        </is>
      </c>
      <c r="B18" s="14">
        <f>SUMIFS(Datos!$H$4:$H$1187,Datos!$B$4:$B$1187,A18,Datos!$C$4:$C$1187,"Shift4")</f>
        <v/>
      </c>
      <c r="C18" s="14">
        <f>SUMIFS(Datos!$H$4:$H$1187,Datos!$B$4:$B$1187,A18,Datos!$C$4:$C$1187,"Nuvei")</f>
        <v/>
      </c>
      <c r="D18" s="14">
        <f>SUMIFS(Datos!$H$4:$H$1187,Datos!$B$4:$B$1187,A18,Datos!$C$4:$C$1187,"Adyen")</f>
        <v/>
      </c>
      <c r="E18" s="14">
        <f>SUMIFS(Datos!$H$4:$H$1187,Datos!$B$4:$B$1187,A18,Datos!$C$4:$C$1187,"Paysafe")</f>
        <v/>
      </c>
      <c r="F18" s="15">
        <f>SUM(B18:E18)</f>
        <v/>
      </c>
    </row>
    <row r="19">
      <c r="A19" s="5" t="inlineStr">
        <is>
          <t>2026-W02</t>
        </is>
      </c>
      <c r="B19" s="9">
        <f>SUMIFS(Datos!$H$4:$H$1187,Datos!$B$4:$B$1187,A19,Datos!$C$4:$C$1187,"Shift4")</f>
        <v/>
      </c>
      <c r="C19" s="9">
        <f>SUMIFS(Datos!$H$4:$H$1187,Datos!$B$4:$B$1187,A19,Datos!$C$4:$C$1187,"Nuvei")</f>
        <v/>
      </c>
      <c r="D19" s="9">
        <f>SUMIFS(Datos!$H$4:$H$1187,Datos!$B$4:$B$1187,A19,Datos!$C$4:$C$1187,"Adyen")</f>
        <v/>
      </c>
      <c r="E19" s="9">
        <f>SUMIFS(Datos!$H$4:$H$1187,Datos!$B$4:$B$1187,A19,Datos!$C$4:$C$1187,"Paysafe")</f>
        <v/>
      </c>
      <c r="F19" s="16">
        <f>SUM(B19:E19)</f>
        <v/>
      </c>
    </row>
    <row r="20">
      <c r="A20" s="18" t="inlineStr">
        <is>
          <t>2026-W03</t>
        </is>
      </c>
      <c r="B20" s="14">
        <f>SUMIFS(Datos!$H$4:$H$1187,Datos!$B$4:$B$1187,A20,Datos!$C$4:$C$1187,"Shift4")</f>
        <v/>
      </c>
      <c r="C20" s="14">
        <f>SUMIFS(Datos!$H$4:$H$1187,Datos!$B$4:$B$1187,A20,Datos!$C$4:$C$1187,"Nuvei")</f>
        <v/>
      </c>
      <c r="D20" s="14">
        <f>SUMIFS(Datos!$H$4:$H$1187,Datos!$B$4:$B$1187,A20,Datos!$C$4:$C$1187,"Adyen")</f>
        <v/>
      </c>
      <c r="E20" s="14">
        <f>SUMIFS(Datos!$H$4:$H$1187,Datos!$B$4:$B$1187,A20,Datos!$C$4:$C$1187,"Paysafe")</f>
        <v/>
      </c>
      <c r="F20" s="15">
        <f>SUM(B20:E20)</f>
        <v/>
      </c>
    </row>
    <row r="21">
      <c r="A21" s="5" t="inlineStr">
        <is>
          <t>2026-W04</t>
        </is>
      </c>
      <c r="B21" s="9">
        <f>SUMIFS(Datos!$H$4:$H$1187,Datos!$B$4:$B$1187,A21,Datos!$C$4:$C$1187,"Shift4")</f>
        <v/>
      </c>
      <c r="C21" s="9">
        <f>SUMIFS(Datos!$H$4:$H$1187,Datos!$B$4:$B$1187,A21,Datos!$C$4:$C$1187,"Nuvei")</f>
        <v/>
      </c>
      <c r="D21" s="9">
        <f>SUMIFS(Datos!$H$4:$H$1187,Datos!$B$4:$B$1187,A21,Datos!$C$4:$C$1187,"Adyen")</f>
        <v/>
      </c>
      <c r="E21" s="9">
        <f>SUMIFS(Datos!$H$4:$H$1187,Datos!$B$4:$B$1187,A21,Datos!$C$4:$C$1187,"Paysafe")</f>
        <v/>
      </c>
      <c r="F21" s="16">
        <f>SUM(B21:E21)</f>
        <v/>
      </c>
    </row>
    <row r="22">
      <c r="A22" s="18" t="inlineStr">
        <is>
          <t>2026-W05</t>
        </is>
      </c>
      <c r="B22" s="14">
        <f>SUMIFS(Datos!$H$4:$H$1187,Datos!$B$4:$B$1187,A22,Datos!$C$4:$C$1187,"Shift4")</f>
        <v/>
      </c>
      <c r="C22" s="14">
        <f>SUMIFS(Datos!$H$4:$H$1187,Datos!$B$4:$B$1187,A22,Datos!$C$4:$C$1187,"Nuvei")</f>
        <v/>
      </c>
      <c r="D22" s="14">
        <f>SUMIFS(Datos!$H$4:$H$1187,Datos!$B$4:$B$1187,A22,Datos!$C$4:$C$1187,"Adyen")</f>
        <v/>
      </c>
      <c r="E22" s="14">
        <f>SUMIFS(Datos!$H$4:$H$1187,Datos!$B$4:$B$1187,A22,Datos!$C$4:$C$1187,"Paysafe")</f>
        <v/>
      </c>
      <c r="F22" s="15">
        <f>SUM(B22:E22)</f>
        <v/>
      </c>
    </row>
    <row r="23">
      <c r="A23" s="5" t="inlineStr">
        <is>
          <t>2026-W06</t>
        </is>
      </c>
      <c r="B23" s="9">
        <f>SUMIFS(Datos!$H$4:$H$1187,Datos!$B$4:$B$1187,A23,Datos!$C$4:$C$1187,"Shift4")</f>
        <v/>
      </c>
      <c r="C23" s="9">
        <f>SUMIFS(Datos!$H$4:$H$1187,Datos!$B$4:$B$1187,A23,Datos!$C$4:$C$1187,"Nuvei")</f>
        <v/>
      </c>
      <c r="D23" s="9">
        <f>SUMIFS(Datos!$H$4:$H$1187,Datos!$B$4:$B$1187,A23,Datos!$C$4:$C$1187,"Adyen")</f>
        <v/>
      </c>
      <c r="E23" s="9">
        <f>SUMIFS(Datos!$H$4:$H$1187,Datos!$B$4:$B$1187,A23,Datos!$C$4:$C$1187,"Paysafe")</f>
        <v/>
      </c>
      <c r="F23" s="16">
        <f>SUM(B23:E23)</f>
        <v/>
      </c>
    </row>
    <row r="24">
      <c r="A24" s="18" t="inlineStr">
        <is>
          <t>2026-W07</t>
        </is>
      </c>
      <c r="B24" s="14">
        <f>SUMIFS(Datos!$H$4:$H$1187,Datos!$B$4:$B$1187,A24,Datos!$C$4:$C$1187,"Shift4")</f>
        <v/>
      </c>
      <c r="C24" s="14">
        <f>SUMIFS(Datos!$H$4:$H$1187,Datos!$B$4:$B$1187,A24,Datos!$C$4:$C$1187,"Nuvei")</f>
        <v/>
      </c>
      <c r="D24" s="14">
        <f>SUMIFS(Datos!$H$4:$H$1187,Datos!$B$4:$B$1187,A24,Datos!$C$4:$C$1187,"Adyen")</f>
        <v/>
      </c>
      <c r="E24" s="14">
        <f>SUMIFS(Datos!$H$4:$H$1187,Datos!$B$4:$B$1187,A24,Datos!$C$4:$C$1187,"Paysafe")</f>
        <v/>
      </c>
      <c r="F24" s="15">
        <f>SUM(B24:E24)</f>
        <v/>
      </c>
    </row>
    <row r="25">
      <c r="A25" s="5" t="inlineStr">
        <is>
          <t>2026-W08</t>
        </is>
      </c>
      <c r="B25" s="9">
        <f>SUMIFS(Datos!$H$4:$H$1187,Datos!$B$4:$B$1187,A25,Datos!$C$4:$C$1187,"Shift4")</f>
        <v/>
      </c>
      <c r="C25" s="9">
        <f>SUMIFS(Datos!$H$4:$H$1187,Datos!$B$4:$B$1187,A25,Datos!$C$4:$C$1187,"Nuvei")</f>
        <v/>
      </c>
      <c r="D25" s="9">
        <f>SUMIFS(Datos!$H$4:$H$1187,Datos!$B$4:$B$1187,A25,Datos!$C$4:$C$1187,"Adyen")</f>
        <v/>
      </c>
      <c r="E25" s="9">
        <f>SUMIFS(Datos!$H$4:$H$1187,Datos!$B$4:$B$1187,A25,Datos!$C$4:$C$1187,"Paysafe")</f>
        <v/>
      </c>
      <c r="F25" s="16">
        <f>SUM(B25:E25)</f>
        <v/>
      </c>
    </row>
    <row r="26">
      <c r="A26" s="18" t="inlineStr">
        <is>
          <t>2026-W09</t>
        </is>
      </c>
      <c r="B26" s="14">
        <f>SUMIFS(Datos!$H$4:$H$1187,Datos!$B$4:$B$1187,A26,Datos!$C$4:$C$1187,"Shift4")</f>
        <v/>
      </c>
      <c r="C26" s="14">
        <f>SUMIFS(Datos!$H$4:$H$1187,Datos!$B$4:$B$1187,A26,Datos!$C$4:$C$1187,"Nuvei")</f>
        <v/>
      </c>
      <c r="D26" s="14">
        <f>SUMIFS(Datos!$H$4:$H$1187,Datos!$B$4:$B$1187,A26,Datos!$C$4:$C$1187,"Adyen")</f>
        <v/>
      </c>
      <c r="E26" s="14">
        <f>SUMIFS(Datos!$H$4:$H$1187,Datos!$B$4:$B$1187,A26,Datos!$C$4:$C$1187,"Paysafe")</f>
        <v/>
      </c>
      <c r="F26" s="15">
        <f>SUM(B26:E26)</f>
        <v/>
      </c>
    </row>
    <row r="27">
      <c r="A27" s="5" t="inlineStr">
        <is>
          <t>2026-W10</t>
        </is>
      </c>
      <c r="B27" s="9">
        <f>SUMIFS(Datos!$H$4:$H$1187,Datos!$B$4:$B$1187,A27,Datos!$C$4:$C$1187,"Shift4")</f>
        <v/>
      </c>
      <c r="C27" s="9">
        <f>SUMIFS(Datos!$H$4:$H$1187,Datos!$B$4:$B$1187,A27,Datos!$C$4:$C$1187,"Nuvei")</f>
        <v/>
      </c>
      <c r="D27" s="9">
        <f>SUMIFS(Datos!$H$4:$H$1187,Datos!$B$4:$B$1187,A27,Datos!$C$4:$C$1187,"Adyen")</f>
        <v/>
      </c>
      <c r="E27" s="9">
        <f>SUMIFS(Datos!$H$4:$H$1187,Datos!$B$4:$B$1187,A27,Datos!$C$4:$C$1187,"Paysafe")</f>
        <v/>
      </c>
      <c r="F27" s="16">
        <f>SUM(B27:E27)</f>
        <v/>
      </c>
    </row>
    <row r="28">
      <c r="A28" s="18" t="inlineStr">
        <is>
          <t>2026-W11</t>
        </is>
      </c>
      <c r="B28" s="14">
        <f>SUMIFS(Datos!$H$4:$H$1187,Datos!$B$4:$B$1187,A28,Datos!$C$4:$C$1187,"Shift4")</f>
        <v/>
      </c>
      <c r="C28" s="14">
        <f>SUMIFS(Datos!$H$4:$H$1187,Datos!$B$4:$B$1187,A28,Datos!$C$4:$C$1187,"Nuvei")</f>
        <v/>
      </c>
      <c r="D28" s="14">
        <f>SUMIFS(Datos!$H$4:$H$1187,Datos!$B$4:$B$1187,A28,Datos!$C$4:$C$1187,"Adyen")</f>
        <v/>
      </c>
      <c r="E28" s="14">
        <f>SUMIFS(Datos!$H$4:$H$1187,Datos!$B$4:$B$1187,A28,Datos!$C$4:$C$1187,"Paysafe")</f>
        <v/>
      </c>
      <c r="F28" s="15">
        <f>SUM(B28:E28)</f>
        <v/>
      </c>
    </row>
    <row r="29">
      <c r="A29" s="5" t="inlineStr">
        <is>
          <t>2026-W12</t>
        </is>
      </c>
      <c r="B29" s="9">
        <f>SUMIFS(Datos!$H$4:$H$1187,Datos!$B$4:$B$1187,A29,Datos!$C$4:$C$1187,"Shift4")</f>
        <v/>
      </c>
      <c r="C29" s="9">
        <f>SUMIFS(Datos!$H$4:$H$1187,Datos!$B$4:$B$1187,A29,Datos!$C$4:$C$1187,"Nuvei")</f>
        <v/>
      </c>
      <c r="D29" s="9">
        <f>SUMIFS(Datos!$H$4:$H$1187,Datos!$B$4:$B$1187,A29,Datos!$C$4:$C$1187,"Adyen")</f>
        <v/>
      </c>
      <c r="E29" s="9">
        <f>SUMIFS(Datos!$H$4:$H$1187,Datos!$B$4:$B$1187,A29,Datos!$C$4:$C$1187,"Paysafe")</f>
        <v/>
      </c>
      <c r="F29" s="16">
        <f>SUM(B29:E29)</f>
        <v/>
      </c>
    </row>
    <row r="30">
      <c r="A30" s="18" t="inlineStr">
        <is>
          <t>2026-W13</t>
        </is>
      </c>
      <c r="B30" s="14">
        <f>SUMIFS(Datos!$H$4:$H$1187,Datos!$B$4:$B$1187,A30,Datos!$C$4:$C$1187,"Shift4")</f>
        <v/>
      </c>
      <c r="C30" s="14">
        <f>SUMIFS(Datos!$H$4:$H$1187,Datos!$B$4:$B$1187,A30,Datos!$C$4:$C$1187,"Nuvei")</f>
        <v/>
      </c>
      <c r="D30" s="14">
        <f>SUMIFS(Datos!$H$4:$H$1187,Datos!$B$4:$B$1187,A30,Datos!$C$4:$C$1187,"Adyen")</f>
        <v/>
      </c>
      <c r="E30" s="14">
        <f>SUMIFS(Datos!$H$4:$H$1187,Datos!$B$4:$B$1187,A30,Datos!$C$4:$C$1187,"Paysafe")</f>
        <v/>
      </c>
      <c r="F30" s="15">
        <f>SUM(B30:E30)</f>
        <v/>
      </c>
    </row>
    <row r="31">
      <c r="A31" s="5" t="inlineStr">
        <is>
          <t>2026-W14</t>
        </is>
      </c>
      <c r="B31" s="9">
        <f>SUMIFS(Datos!$H$4:$H$1187,Datos!$B$4:$B$1187,A31,Datos!$C$4:$C$1187,"Shift4")</f>
        <v/>
      </c>
      <c r="C31" s="9">
        <f>SUMIFS(Datos!$H$4:$H$1187,Datos!$B$4:$B$1187,A31,Datos!$C$4:$C$1187,"Nuvei")</f>
        <v/>
      </c>
      <c r="D31" s="9">
        <f>SUMIFS(Datos!$H$4:$H$1187,Datos!$B$4:$B$1187,A31,Datos!$C$4:$C$1187,"Adyen")</f>
        <v/>
      </c>
      <c r="E31" s="9">
        <f>SUMIFS(Datos!$H$4:$H$1187,Datos!$B$4:$B$1187,A31,Datos!$C$4:$C$1187,"Paysafe")</f>
        <v/>
      </c>
      <c r="F31" s="16">
        <f>SUM(B31:E31)</f>
        <v/>
      </c>
    </row>
    <row r="32">
      <c r="A32" s="18" t="inlineStr">
        <is>
          <t>2026-W15</t>
        </is>
      </c>
      <c r="B32" s="14">
        <f>SUMIFS(Datos!$H$4:$H$1187,Datos!$B$4:$B$1187,A32,Datos!$C$4:$C$1187,"Shift4")</f>
        <v/>
      </c>
      <c r="C32" s="14">
        <f>SUMIFS(Datos!$H$4:$H$1187,Datos!$B$4:$B$1187,A32,Datos!$C$4:$C$1187,"Nuvei")</f>
        <v/>
      </c>
      <c r="D32" s="14">
        <f>SUMIFS(Datos!$H$4:$H$1187,Datos!$B$4:$B$1187,A32,Datos!$C$4:$C$1187,"Adyen")</f>
        <v/>
      </c>
      <c r="E32" s="14">
        <f>SUMIFS(Datos!$H$4:$H$1187,Datos!$B$4:$B$1187,A32,Datos!$C$4:$C$1187,"Paysafe")</f>
        <v/>
      </c>
      <c r="F32" s="15">
        <f>SUM(B32:E32)</f>
        <v/>
      </c>
    </row>
    <row r="33">
      <c r="A33" s="5" t="inlineStr">
        <is>
          <t>2026-W16</t>
        </is>
      </c>
      <c r="B33" s="9">
        <f>SUMIFS(Datos!$H$4:$H$1187,Datos!$B$4:$B$1187,A33,Datos!$C$4:$C$1187,"Shift4")</f>
        <v/>
      </c>
      <c r="C33" s="9">
        <f>SUMIFS(Datos!$H$4:$H$1187,Datos!$B$4:$B$1187,A33,Datos!$C$4:$C$1187,"Nuvei")</f>
        <v/>
      </c>
      <c r="D33" s="9">
        <f>SUMIFS(Datos!$H$4:$H$1187,Datos!$B$4:$B$1187,A33,Datos!$C$4:$C$1187,"Adyen")</f>
        <v/>
      </c>
      <c r="E33" s="9">
        <f>SUMIFS(Datos!$H$4:$H$1187,Datos!$B$4:$B$1187,A33,Datos!$C$4:$C$1187,"Paysafe")</f>
        <v/>
      </c>
      <c r="F33" s="16">
        <f>SUM(B33:E33)</f>
        <v/>
      </c>
    </row>
    <row r="34">
      <c r="A34" s="18" t="inlineStr">
        <is>
          <t>2026-W17</t>
        </is>
      </c>
      <c r="B34" s="14">
        <f>SUMIFS(Datos!$H$4:$H$1187,Datos!$B$4:$B$1187,A34,Datos!$C$4:$C$1187,"Shift4")</f>
        <v/>
      </c>
      <c r="C34" s="14">
        <f>SUMIFS(Datos!$H$4:$H$1187,Datos!$B$4:$B$1187,A34,Datos!$C$4:$C$1187,"Nuvei")</f>
        <v/>
      </c>
      <c r="D34" s="14">
        <f>SUMIFS(Datos!$H$4:$H$1187,Datos!$B$4:$B$1187,A34,Datos!$C$4:$C$1187,"Adyen")</f>
        <v/>
      </c>
      <c r="E34" s="14">
        <f>SUMIFS(Datos!$H$4:$H$1187,Datos!$B$4:$B$1187,A34,Datos!$C$4:$C$1187,"Paysafe")</f>
        <v/>
      </c>
      <c r="F34" s="15">
        <f>SUM(B34:E34)</f>
        <v/>
      </c>
    </row>
    <row r="35">
      <c r="A35" s="5" t="inlineStr">
        <is>
          <t>2026-W18</t>
        </is>
      </c>
      <c r="B35" s="9">
        <f>SUMIFS(Datos!$H$4:$H$1187,Datos!$B$4:$B$1187,A35,Datos!$C$4:$C$1187,"Shift4")</f>
        <v/>
      </c>
      <c r="C35" s="9">
        <f>SUMIFS(Datos!$H$4:$H$1187,Datos!$B$4:$B$1187,A35,Datos!$C$4:$C$1187,"Nuvei")</f>
        <v/>
      </c>
      <c r="D35" s="9">
        <f>SUMIFS(Datos!$H$4:$H$1187,Datos!$B$4:$B$1187,A35,Datos!$C$4:$C$1187,"Adyen")</f>
        <v/>
      </c>
      <c r="E35" s="9">
        <f>SUMIFS(Datos!$H$4:$H$1187,Datos!$B$4:$B$1187,A35,Datos!$C$4:$C$1187,"Paysafe")</f>
        <v/>
      </c>
      <c r="F35" s="16">
        <f>SUM(B35:E35)</f>
        <v/>
      </c>
    </row>
    <row r="36">
      <c r="A36" s="18" t="inlineStr">
        <is>
          <t>2026-W19</t>
        </is>
      </c>
      <c r="B36" s="14">
        <f>SUMIFS(Datos!$H$4:$H$1187,Datos!$B$4:$B$1187,A36,Datos!$C$4:$C$1187,"Shift4")</f>
        <v/>
      </c>
      <c r="C36" s="14">
        <f>SUMIFS(Datos!$H$4:$H$1187,Datos!$B$4:$B$1187,A36,Datos!$C$4:$C$1187,"Nuvei")</f>
        <v/>
      </c>
      <c r="D36" s="14">
        <f>SUMIFS(Datos!$H$4:$H$1187,Datos!$B$4:$B$1187,A36,Datos!$C$4:$C$1187,"Adyen")</f>
        <v/>
      </c>
      <c r="E36" s="14">
        <f>SUMIFS(Datos!$H$4:$H$1187,Datos!$B$4:$B$1187,A36,Datos!$C$4:$C$1187,"Paysafe")</f>
        <v/>
      </c>
      <c r="F36" s="15">
        <f>SUM(B36:E36)</f>
        <v/>
      </c>
    </row>
    <row r="37">
      <c r="A37" s="5" t="inlineStr">
        <is>
          <t>2026-W20</t>
        </is>
      </c>
      <c r="B37" s="9">
        <f>SUMIFS(Datos!$H$4:$H$1187,Datos!$B$4:$B$1187,A37,Datos!$C$4:$C$1187,"Shift4")</f>
        <v/>
      </c>
      <c r="C37" s="9">
        <f>SUMIFS(Datos!$H$4:$H$1187,Datos!$B$4:$B$1187,A37,Datos!$C$4:$C$1187,"Nuvei")</f>
        <v/>
      </c>
      <c r="D37" s="9">
        <f>SUMIFS(Datos!$H$4:$H$1187,Datos!$B$4:$B$1187,A37,Datos!$C$4:$C$1187,"Adyen")</f>
        <v/>
      </c>
      <c r="E37" s="9">
        <f>SUMIFS(Datos!$H$4:$H$1187,Datos!$B$4:$B$1187,A37,Datos!$C$4:$C$1187,"Paysafe")</f>
        <v/>
      </c>
      <c r="F37" s="16">
        <f>SUM(B37:E37)</f>
        <v/>
      </c>
    </row>
    <row r="38">
      <c r="A38" s="18" t="inlineStr">
        <is>
          <t>2026-W21</t>
        </is>
      </c>
      <c r="B38" s="14">
        <f>SUMIFS(Datos!$H$4:$H$1187,Datos!$B$4:$B$1187,A38,Datos!$C$4:$C$1187,"Shift4")</f>
        <v/>
      </c>
      <c r="C38" s="14">
        <f>SUMIFS(Datos!$H$4:$H$1187,Datos!$B$4:$B$1187,A38,Datos!$C$4:$C$1187,"Nuvei")</f>
        <v/>
      </c>
      <c r="D38" s="14">
        <f>SUMIFS(Datos!$H$4:$H$1187,Datos!$B$4:$B$1187,A38,Datos!$C$4:$C$1187,"Adyen")</f>
        <v/>
      </c>
      <c r="E38" s="14">
        <f>SUMIFS(Datos!$H$4:$H$1187,Datos!$B$4:$B$1187,A38,Datos!$C$4:$C$1187,"Paysafe")</f>
        <v/>
      </c>
      <c r="F38" s="15">
        <f>SUM(B38:E38)</f>
        <v/>
      </c>
    </row>
    <row r="39">
      <c r="A39" s="5" t="inlineStr">
        <is>
          <t>2026-W22</t>
        </is>
      </c>
      <c r="B39" s="9">
        <f>SUMIFS(Datos!$H$4:$H$1187,Datos!$B$4:$B$1187,A39,Datos!$C$4:$C$1187,"Shift4")</f>
        <v/>
      </c>
      <c r="C39" s="9">
        <f>SUMIFS(Datos!$H$4:$H$1187,Datos!$B$4:$B$1187,A39,Datos!$C$4:$C$1187,"Nuvei")</f>
        <v/>
      </c>
      <c r="D39" s="9">
        <f>SUMIFS(Datos!$H$4:$H$1187,Datos!$B$4:$B$1187,A39,Datos!$C$4:$C$1187,"Adyen")</f>
        <v/>
      </c>
      <c r="E39" s="9">
        <f>SUMIFS(Datos!$H$4:$H$1187,Datos!$B$4:$B$1187,A39,Datos!$C$4:$C$1187,"Paysafe")</f>
        <v/>
      </c>
      <c r="F39" s="16">
        <f>SUM(B39:E39)</f>
        <v/>
      </c>
    </row>
    <row r="40">
      <c r="A40" s="18" t="inlineStr">
        <is>
          <t>2026-W23</t>
        </is>
      </c>
      <c r="B40" s="14">
        <f>SUMIFS(Datos!$H$4:$H$1187,Datos!$B$4:$B$1187,A40,Datos!$C$4:$C$1187,"Shift4")</f>
        <v/>
      </c>
      <c r="C40" s="14">
        <f>SUMIFS(Datos!$H$4:$H$1187,Datos!$B$4:$B$1187,A40,Datos!$C$4:$C$1187,"Nuvei")</f>
        <v/>
      </c>
      <c r="D40" s="14">
        <f>SUMIFS(Datos!$H$4:$H$1187,Datos!$B$4:$B$1187,A40,Datos!$C$4:$C$1187,"Adyen")</f>
        <v/>
      </c>
      <c r="E40" s="14">
        <f>SUMIFS(Datos!$H$4:$H$1187,Datos!$B$4:$B$1187,A40,Datos!$C$4:$C$1187,"Paysafe")</f>
        <v/>
      </c>
      <c r="F40" s="15">
        <f>SUM(B40:E40)</f>
        <v/>
      </c>
    </row>
    <row r="41">
      <c r="A41" s="5" t="inlineStr">
        <is>
          <t>2026-W24</t>
        </is>
      </c>
      <c r="B41" s="9">
        <f>SUMIFS(Datos!$H$4:$H$1187,Datos!$B$4:$B$1187,A41,Datos!$C$4:$C$1187,"Shift4")</f>
        <v/>
      </c>
      <c r="C41" s="9">
        <f>SUMIFS(Datos!$H$4:$H$1187,Datos!$B$4:$B$1187,A41,Datos!$C$4:$C$1187,"Nuvei")</f>
        <v/>
      </c>
      <c r="D41" s="9">
        <f>SUMIFS(Datos!$H$4:$H$1187,Datos!$B$4:$B$1187,A41,Datos!$C$4:$C$1187,"Adyen")</f>
        <v/>
      </c>
      <c r="E41" s="9">
        <f>SUMIFS(Datos!$H$4:$H$1187,Datos!$B$4:$B$1187,A41,Datos!$C$4:$C$1187,"Paysafe")</f>
        <v/>
      </c>
      <c r="F41" s="16">
        <f>SUM(B41:E41)</f>
        <v/>
      </c>
    </row>
    <row r="42">
      <c r="A42" s="18" t="inlineStr">
        <is>
          <t>2026-W25</t>
        </is>
      </c>
      <c r="B42" s="14">
        <f>SUMIFS(Datos!$H$4:$H$1187,Datos!$B$4:$B$1187,A42,Datos!$C$4:$C$1187,"Shift4")</f>
        <v/>
      </c>
      <c r="C42" s="14">
        <f>SUMIFS(Datos!$H$4:$H$1187,Datos!$B$4:$B$1187,A42,Datos!$C$4:$C$1187,"Nuvei")</f>
        <v/>
      </c>
      <c r="D42" s="14">
        <f>SUMIFS(Datos!$H$4:$H$1187,Datos!$B$4:$B$1187,A42,Datos!$C$4:$C$1187,"Adyen")</f>
        <v/>
      </c>
      <c r="E42" s="14">
        <f>SUMIFS(Datos!$H$4:$H$1187,Datos!$B$4:$B$1187,A42,Datos!$C$4:$C$1187,"Paysafe")</f>
        <v/>
      </c>
      <c r="F42" s="15">
        <f>SUM(B42:E42)</f>
        <v/>
      </c>
    </row>
    <row r="43">
      <c r="A43" s="5" t="inlineStr">
        <is>
          <t>2026-W26</t>
        </is>
      </c>
      <c r="B43" s="9">
        <f>SUMIFS(Datos!$H$4:$H$1187,Datos!$B$4:$B$1187,A43,Datos!$C$4:$C$1187,"Shift4")</f>
        <v/>
      </c>
      <c r="C43" s="9">
        <f>SUMIFS(Datos!$H$4:$H$1187,Datos!$B$4:$B$1187,A43,Datos!$C$4:$C$1187,"Nuvei")</f>
        <v/>
      </c>
      <c r="D43" s="9">
        <f>SUMIFS(Datos!$H$4:$H$1187,Datos!$B$4:$B$1187,A43,Datos!$C$4:$C$1187,"Adyen")</f>
        <v/>
      </c>
      <c r="E43" s="9">
        <f>SUMIFS(Datos!$H$4:$H$1187,Datos!$B$4:$B$1187,A43,Datos!$C$4:$C$1187,"Paysafe")</f>
        <v/>
      </c>
      <c r="F43" s="16">
        <f>SUM(B43:E43)</f>
        <v/>
      </c>
    </row>
    <row r="44">
      <c r="A44" s="18" t="inlineStr">
        <is>
          <t>2026-W27</t>
        </is>
      </c>
      <c r="B44" s="14">
        <f>SUMIFS(Datos!$H$4:$H$1187,Datos!$B$4:$B$1187,A44,Datos!$C$4:$C$1187,"Shift4")</f>
        <v/>
      </c>
      <c r="C44" s="14">
        <f>SUMIFS(Datos!$H$4:$H$1187,Datos!$B$4:$B$1187,A44,Datos!$C$4:$C$1187,"Nuvei")</f>
        <v/>
      </c>
      <c r="D44" s="14">
        <f>SUMIFS(Datos!$H$4:$H$1187,Datos!$B$4:$B$1187,A44,Datos!$C$4:$C$1187,"Adyen")</f>
        <v/>
      </c>
      <c r="E44" s="14">
        <f>SUMIFS(Datos!$H$4:$H$1187,Datos!$B$4:$B$1187,A44,Datos!$C$4:$C$1187,"Paysafe")</f>
        <v/>
      </c>
      <c r="F44" s="15">
        <f>SUM(B44:E44)</f>
        <v/>
      </c>
    </row>
    <row r="45">
      <c r="A45" s="5" t="inlineStr">
        <is>
          <t>2026-W28</t>
        </is>
      </c>
      <c r="B45" s="9">
        <f>SUMIFS(Datos!$H$4:$H$1187,Datos!$B$4:$B$1187,A45,Datos!$C$4:$C$1187,"Shift4")</f>
        <v/>
      </c>
      <c r="C45" s="9">
        <f>SUMIFS(Datos!$H$4:$H$1187,Datos!$B$4:$B$1187,A45,Datos!$C$4:$C$1187,"Nuvei")</f>
        <v/>
      </c>
      <c r="D45" s="9">
        <f>SUMIFS(Datos!$H$4:$H$1187,Datos!$B$4:$B$1187,A45,Datos!$C$4:$C$1187,"Adyen")</f>
        <v/>
      </c>
      <c r="E45" s="9">
        <f>SUMIFS(Datos!$H$4:$H$1187,Datos!$B$4:$B$1187,A45,Datos!$C$4:$C$1187,"Paysafe")</f>
        <v/>
      </c>
      <c r="F45" s="16">
        <f>SUM(B45:E45)</f>
        <v/>
      </c>
    </row>
    <row r="46">
      <c r="A46" s="18" t="inlineStr">
        <is>
          <t>2026-W29</t>
        </is>
      </c>
      <c r="B46" s="14">
        <f>SUMIFS(Datos!$H$4:$H$1187,Datos!$B$4:$B$1187,A46,Datos!$C$4:$C$1187,"Shift4")</f>
        <v/>
      </c>
      <c r="C46" s="14">
        <f>SUMIFS(Datos!$H$4:$H$1187,Datos!$B$4:$B$1187,A46,Datos!$C$4:$C$1187,"Nuvei")</f>
        <v/>
      </c>
      <c r="D46" s="14">
        <f>SUMIFS(Datos!$H$4:$H$1187,Datos!$B$4:$B$1187,A46,Datos!$C$4:$C$1187,"Adyen")</f>
        <v/>
      </c>
      <c r="E46" s="14">
        <f>SUMIFS(Datos!$H$4:$H$1187,Datos!$B$4:$B$1187,A46,Datos!$C$4:$C$1187,"Paysafe")</f>
        <v/>
      </c>
      <c r="F46" s="15">
        <f>SUM(B46:E46)</f>
        <v/>
      </c>
    </row>
    <row r="47">
      <c r="A47" s="5" t="inlineStr">
        <is>
          <t>2026-W30</t>
        </is>
      </c>
      <c r="B47" s="9">
        <f>SUMIFS(Datos!$H$4:$H$1187,Datos!$B$4:$B$1187,A47,Datos!$C$4:$C$1187,"Shift4")</f>
        <v/>
      </c>
      <c r="C47" s="9">
        <f>SUMIFS(Datos!$H$4:$H$1187,Datos!$B$4:$B$1187,A47,Datos!$C$4:$C$1187,"Nuvei")</f>
        <v/>
      </c>
      <c r="D47" s="9">
        <f>SUMIFS(Datos!$H$4:$H$1187,Datos!$B$4:$B$1187,A47,Datos!$C$4:$C$1187,"Adyen")</f>
        <v/>
      </c>
      <c r="E47" s="9">
        <f>SUMIFS(Datos!$H$4:$H$1187,Datos!$B$4:$B$1187,A47,Datos!$C$4:$C$1187,"Paysafe")</f>
        <v/>
      </c>
      <c r="F47" s="16">
        <f>SUM(B47:E47)</f>
        <v/>
      </c>
    </row>
    <row r="48">
      <c r="A48" s="18" t="inlineStr">
        <is>
          <t>2026-W31</t>
        </is>
      </c>
      <c r="B48" s="14">
        <f>SUMIFS(Datos!$H$4:$H$1187,Datos!$B$4:$B$1187,A48,Datos!$C$4:$C$1187,"Shift4")</f>
        <v/>
      </c>
      <c r="C48" s="14">
        <f>SUMIFS(Datos!$H$4:$H$1187,Datos!$B$4:$B$1187,A48,Datos!$C$4:$C$1187,"Nuvei")</f>
        <v/>
      </c>
      <c r="D48" s="14">
        <f>SUMIFS(Datos!$H$4:$H$1187,Datos!$B$4:$B$1187,A48,Datos!$C$4:$C$1187,"Adyen")</f>
        <v/>
      </c>
      <c r="E48" s="14">
        <f>SUMIFS(Datos!$H$4:$H$1187,Datos!$B$4:$B$1187,A48,Datos!$C$4:$C$1187,"Paysafe")</f>
        <v/>
      </c>
      <c r="F48" s="15">
        <f>SUM(B48:E48)</f>
        <v/>
      </c>
    </row>
    <row r="49">
      <c r="A49" s="5" t="inlineStr">
        <is>
          <t>TOTAL</t>
        </is>
      </c>
      <c r="B49" s="17">
        <f>SUM(B4:B48)</f>
        <v/>
      </c>
      <c r="C49" s="17">
        <f>SUM(C4:C48)</f>
        <v/>
      </c>
      <c r="D49" s="17">
        <f>SUM(D4:D48)</f>
        <v/>
      </c>
      <c r="E49" s="17">
        <f>SUM(E4:E48)</f>
        <v/>
      </c>
      <c r="F49" s="17">
        <f>SUM(F4:F48)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8" customWidth="1" min="4" max="4"/>
  </cols>
  <sheetData>
    <row r="1">
      <c r="A1" s="10" t="inlineStr">
        <is>
          <t>DINERO RETENIDO EN PASARELAS (€)</t>
        </is>
      </c>
      <c r="B1" s="11" t="n"/>
      <c r="C1" s="11" t="n"/>
      <c r="D1" s="11" t="n"/>
    </row>
    <row r="3">
      <c r="A3" s="19" t="inlineStr">
        <is>
          <t>Retenido actual (snapshot)</t>
        </is>
      </c>
      <c r="B3" s="20" t="n"/>
      <c r="C3" s="20" t="n"/>
      <c r="D3" s="20" t="n"/>
    </row>
    <row r="4">
      <c r="A4" s="5" t="inlineStr">
        <is>
          <t>Pasarela</t>
        </is>
      </c>
      <c r="B4" s="5" t="inlineStr">
        <is>
          <t>Retenido (€)</t>
        </is>
      </c>
    </row>
    <row r="5">
      <c r="A5" t="inlineStr">
        <is>
          <t>Shift4</t>
        </is>
      </c>
      <c r="B5" s="9" t="n">
        <v>1180011.48</v>
      </c>
    </row>
    <row r="6">
      <c r="A6" t="inlineStr">
        <is>
          <t>Nuvei</t>
        </is>
      </c>
      <c r="B6" s="9">
        <f>1735149.23+107343.25*Datos!$L$1</f>
        <v/>
      </c>
      <c r="C6" s="21" t="inlineStr">
        <is>
          <t>(incl. 107,343 USD Nuvei)</t>
        </is>
      </c>
    </row>
    <row r="7">
      <c r="A7" t="inlineStr">
        <is>
          <t>Adyen</t>
        </is>
      </c>
      <c r="B7" s="9" t="n">
        <v>3644042.27</v>
      </c>
    </row>
    <row r="8">
      <c r="A8" t="inlineStr">
        <is>
          <t>Paysafe</t>
        </is>
      </c>
      <c r="B8" s="9" t="n">
        <v>313165.0399999999</v>
      </c>
    </row>
    <row r="9">
      <c r="A9" s="22" t="inlineStr">
        <is>
          <t>TOTAL RETENIDO</t>
        </is>
      </c>
      <c r="B9" s="17">
        <f>SUM(B5:B8)</f>
        <v/>
      </c>
    </row>
    <row r="12">
      <c r="A12" s="19" t="inlineStr">
        <is>
          <t>FLUJO SEMANAL (qué entra en retenido vs qué se libera)</t>
        </is>
      </c>
      <c r="B12" s="20" t="n"/>
      <c r="C12" s="20" t="n"/>
      <c r="D12" s="20" t="n"/>
    </row>
    <row r="13">
      <c r="A13" s="23" t="inlineStr">
        <is>
          <t>Semana</t>
        </is>
      </c>
      <c r="B13" s="23" t="inlineStr">
        <is>
          <t>Ventas Netas (€)</t>
        </is>
      </c>
      <c r="C13" s="23" t="inlineStr">
        <is>
          <t>Payouts a banco (€)</t>
        </is>
      </c>
      <c r="D13" s="23" t="inlineStr">
        <is>
          <t>Δ Retenido (€)</t>
        </is>
      </c>
    </row>
    <row r="14">
      <c r="A14" t="inlineStr">
        <is>
          <t>2025-W39</t>
        </is>
      </c>
      <c r="B14" s="9">
        <f>SUMIFS(Datos!$I$4:$I$1187,Datos!$B$4:$B$1187,A14)</f>
        <v/>
      </c>
      <c r="C14" s="9">
        <f>SUMIFS(Datos!$J$4:$J$1187,Datos!$B$4:$B$1187,A14)</f>
        <v/>
      </c>
      <c r="D14" s="16">
        <f>B14+C14</f>
        <v/>
      </c>
    </row>
    <row r="15">
      <c r="A15" t="inlineStr">
        <is>
          <t>2025-W40</t>
        </is>
      </c>
      <c r="B15" s="9">
        <f>SUMIFS(Datos!$I$4:$I$1187,Datos!$B$4:$B$1187,A15)</f>
        <v/>
      </c>
      <c r="C15" s="9">
        <f>SUMIFS(Datos!$J$4:$J$1187,Datos!$B$4:$B$1187,A15)</f>
        <v/>
      </c>
      <c r="D15" s="16">
        <f>B15+C15</f>
        <v/>
      </c>
    </row>
    <row r="16">
      <c r="A16" t="inlineStr">
        <is>
          <t>2025-W41</t>
        </is>
      </c>
      <c r="B16" s="9">
        <f>SUMIFS(Datos!$I$4:$I$1187,Datos!$B$4:$B$1187,A16)</f>
        <v/>
      </c>
      <c r="C16" s="9">
        <f>SUMIFS(Datos!$J$4:$J$1187,Datos!$B$4:$B$1187,A16)</f>
        <v/>
      </c>
      <c r="D16" s="16">
        <f>B16+C16</f>
        <v/>
      </c>
    </row>
    <row r="17">
      <c r="A17" t="inlineStr">
        <is>
          <t>2025-W42</t>
        </is>
      </c>
      <c r="B17" s="9">
        <f>SUMIFS(Datos!$I$4:$I$1187,Datos!$B$4:$B$1187,A17)</f>
        <v/>
      </c>
      <c r="C17" s="9">
        <f>SUMIFS(Datos!$J$4:$J$1187,Datos!$B$4:$B$1187,A17)</f>
        <v/>
      </c>
      <c r="D17" s="16">
        <f>B17+C17</f>
        <v/>
      </c>
    </row>
    <row r="18">
      <c r="A18" t="inlineStr">
        <is>
          <t>2025-W43</t>
        </is>
      </c>
      <c r="B18" s="9">
        <f>SUMIFS(Datos!$I$4:$I$1187,Datos!$B$4:$B$1187,A18)</f>
        <v/>
      </c>
      <c r="C18" s="9">
        <f>SUMIFS(Datos!$J$4:$J$1187,Datos!$B$4:$B$1187,A18)</f>
        <v/>
      </c>
      <c r="D18" s="16">
        <f>B18+C18</f>
        <v/>
      </c>
    </row>
    <row r="19">
      <c r="A19" t="inlineStr">
        <is>
          <t>2025-W44</t>
        </is>
      </c>
      <c r="B19" s="9">
        <f>SUMIFS(Datos!$I$4:$I$1187,Datos!$B$4:$B$1187,A19)</f>
        <v/>
      </c>
      <c r="C19" s="9">
        <f>SUMIFS(Datos!$J$4:$J$1187,Datos!$B$4:$B$1187,A19)</f>
        <v/>
      </c>
      <c r="D19" s="16">
        <f>B19+C19</f>
        <v/>
      </c>
    </row>
    <row r="20">
      <c r="A20" t="inlineStr">
        <is>
          <t>2025-W45</t>
        </is>
      </c>
      <c r="B20" s="9">
        <f>SUMIFS(Datos!$I$4:$I$1187,Datos!$B$4:$B$1187,A20)</f>
        <v/>
      </c>
      <c r="C20" s="9">
        <f>SUMIFS(Datos!$J$4:$J$1187,Datos!$B$4:$B$1187,A20)</f>
        <v/>
      </c>
      <c r="D20" s="16">
        <f>B20+C20</f>
        <v/>
      </c>
    </row>
    <row r="21">
      <c r="A21" t="inlineStr">
        <is>
          <t>2025-W46</t>
        </is>
      </c>
      <c r="B21" s="9">
        <f>SUMIFS(Datos!$I$4:$I$1187,Datos!$B$4:$B$1187,A21)</f>
        <v/>
      </c>
      <c r="C21" s="9">
        <f>SUMIFS(Datos!$J$4:$J$1187,Datos!$B$4:$B$1187,A21)</f>
        <v/>
      </c>
      <c r="D21" s="16">
        <f>B21+C21</f>
        <v/>
      </c>
    </row>
    <row r="22">
      <c r="A22" t="inlineStr">
        <is>
          <t>2025-W47</t>
        </is>
      </c>
      <c r="B22" s="9">
        <f>SUMIFS(Datos!$I$4:$I$1187,Datos!$B$4:$B$1187,A22)</f>
        <v/>
      </c>
      <c r="C22" s="9">
        <f>SUMIFS(Datos!$J$4:$J$1187,Datos!$B$4:$B$1187,A22)</f>
        <v/>
      </c>
      <c r="D22" s="16">
        <f>B22+C22</f>
        <v/>
      </c>
    </row>
    <row r="23">
      <c r="A23" t="inlineStr">
        <is>
          <t>2025-W48</t>
        </is>
      </c>
      <c r="B23" s="9">
        <f>SUMIFS(Datos!$I$4:$I$1187,Datos!$B$4:$B$1187,A23)</f>
        <v/>
      </c>
      <c r="C23" s="9">
        <f>SUMIFS(Datos!$J$4:$J$1187,Datos!$B$4:$B$1187,A23)</f>
        <v/>
      </c>
      <c r="D23" s="16">
        <f>B23+C23</f>
        <v/>
      </c>
    </row>
    <row r="24">
      <c r="A24" t="inlineStr">
        <is>
          <t>2025-W49</t>
        </is>
      </c>
      <c r="B24" s="9">
        <f>SUMIFS(Datos!$I$4:$I$1187,Datos!$B$4:$B$1187,A24)</f>
        <v/>
      </c>
      <c r="C24" s="9">
        <f>SUMIFS(Datos!$J$4:$J$1187,Datos!$B$4:$B$1187,A24)</f>
        <v/>
      </c>
      <c r="D24" s="16">
        <f>B24+C24</f>
        <v/>
      </c>
    </row>
    <row r="25">
      <c r="A25" t="inlineStr">
        <is>
          <t>2025-W50</t>
        </is>
      </c>
      <c r="B25" s="9">
        <f>SUMIFS(Datos!$I$4:$I$1187,Datos!$B$4:$B$1187,A25)</f>
        <v/>
      </c>
      <c r="C25" s="9">
        <f>SUMIFS(Datos!$J$4:$J$1187,Datos!$B$4:$B$1187,A25)</f>
        <v/>
      </c>
      <c r="D25" s="16">
        <f>B25+C25</f>
        <v/>
      </c>
    </row>
    <row r="26">
      <c r="A26" t="inlineStr">
        <is>
          <t>2025-W51</t>
        </is>
      </c>
      <c r="B26" s="9">
        <f>SUMIFS(Datos!$I$4:$I$1187,Datos!$B$4:$B$1187,A26)</f>
        <v/>
      </c>
      <c r="C26" s="9">
        <f>SUMIFS(Datos!$J$4:$J$1187,Datos!$B$4:$B$1187,A26)</f>
        <v/>
      </c>
      <c r="D26" s="16">
        <f>B26+C26</f>
        <v/>
      </c>
    </row>
    <row r="27">
      <c r="A27" t="inlineStr">
        <is>
          <t>2025-W52</t>
        </is>
      </c>
      <c r="B27" s="9">
        <f>SUMIFS(Datos!$I$4:$I$1187,Datos!$B$4:$B$1187,A27)</f>
        <v/>
      </c>
      <c r="C27" s="9">
        <f>SUMIFS(Datos!$J$4:$J$1187,Datos!$B$4:$B$1187,A27)</f>
        <v/>
      </c>
      <c r="D27" s="16">
        <f>B27+C27</f>
        <v/>
      </c>
    </row>
    <row r="28">
      <c r="A28" t="inlineStr">
        <is>
          <t>2026-W01</t>
        </is>
      </c>
      <c r="B28" s="9">
        <f>SUMIFS(Datos!$I$4:$I$1187,Datos!$B$4:$B$1187,A28)</f>
        <v/>
      </c>
      <c r="C28" s="9">
        <f>SUMIFS(Datos!$J$4:$J$1187,Datos!$B$4:$B$1187,A28)</f>
        <v/>
      </c>
      <c r="D28" s="16">
        <f>B28+C28</f>
        <v/>
      </c>
    </row>
    <row r="29">
      <c r="A29" t="inlineStr">
        <is>
          <t>2026-W02</t>
        </is>
      </c>
      <c r="B29" s="9">
        <f>SUMIFS(Datos!$I$4:$I$1187,Datos!$B$4:$B$1187,A29)</f>
        <v/>
      </c>
      <c r="C29" s="9">
        <f>SUMIFS(Datos!$J$4:$J$1187,Datos!$B$4:$B$1187,A29)</f>
        <v/>
      </c>
      <c r="D29" s="16">
        <f>B29+C29</f>
        <v/>
      </c>
    </row>
    <row r="30">
      <c r="A30" t="inlineStr">
        <is>
          <t>2026-W03</t>
        </is>
      </c>
      <c r="B30" s="9">
        <f>SUMIFS(Datos!$I$4:$I$1187,Datos!$B$4:$B$1187,A30)</f>
        <v/>
      </c>
      <c r="C30" s="9">
        <f>SUMIFS(Datos!$J$4:$J$1187,Datos!$B$4:$B$1187,A30)</f>
        <v/>
      </c>
      <c r="D30" s="16">
        <f>B30+C30</f>
        <v/>
      </c>
    </row>
    <row r="31">
      <c r="A31" t="inlineStr">
        <is>
          <t>2026-W04</t>
        </is>
      </c>
      <c r="B31" s="9">
        <f>SUMIFS(Datos!$I$4:$I$1187,Datos!$B$4:$B$1187,A31)</f>
        <v/>
      </c>
      <c r="C31" s="9">
        <f>SUMIFS(Datos!$J$4:$J$1187,Datos!$B$4:$B$1187,A31)</f>
        <v/>
      </c>
      <c r="D31" s="16">
        <f>B31+C31</f>
        <v/>
      </c>
    </row>
    <row r="32">
      <c r="A32" t="inlineStr">
        <is>
          <t>2026-W05</t>
        </is>
      </c>
      <c r="B32" s="9">
        <f>SUMIFS(Datos!$I$4:$I$1187,Datos!$B$4:$B$1187,A32)</f>
        <v/>
      </c>
      <c r="C32" s="9">
        <f>SUMIFS(Datos!$J$4:$J$1187,Datos!$B$4:$B$1187,A32)</f>
        <v/>
      </c>
      <c r="D32" s="16">
        <f>B32+C32</f>
        <v/>
      </c>
    </row>
    <row r="33">
      <c r="A33" t="inlineStr">
        <is>
          <t>2026-W06</t>
        </is>
      </c>
      <c r="B33" s="9">
        <f>SUMIFS(Datos!$I$4:$I$1187,Datos!$B$4:$B$1187,A33)</f>
        <v/>
      </c>
      <c r="C33" s="9">
        <f>SUMIFS(Datos!$J$4:$J$1187,Datos!$B$4:$B$1187,A33)</f>
        <v/>
      </c>
      <c r="D33" s="16">
        <f>B33+C33</f>
        <v/>
      </c>
    </row>
    <row r="34">
      <c r="A34" t="inlineStr">
        <is>
          <t>2026-W07</t>
        </is>
      </c>
      <c r="B34" s="9">
        <f>SUMIFS(Datos!$I$4:$I$1187,Datos!$B$4:$B$1187,A34)</f>
        <v/>
      </c>
      <c r="C34" s="9">
        <f>SUMIFS(Datos!$J$4:$J$1187,Datos!$B$4:$B$1187,A34)</f>
        <v/>
      </c>
      <c r="D34" s="16">
        <f>B34+C34</f>
        <v/>
      </c>
    </row>
    <row r="35">
      <c r="A35" t="inlineStr">
        <is>
          <t>2026-W08</t>
        </is>
      </c>
      <c r="B35" s="9">
        <f>SUMIFS(Datos!$I$4:$I$1187,Datos!$B$4:$B$1187,A35)</f>
        <v/>
      </c>
      <c r="C35" s="9">
        <f>SUMIFS(Datos!$J$4:$J$1187,Datos!$B$4:$B$1187,A35)</f>
        <v/>
      </c>
      <c r="D35" s="16">
        <f>B35+C35</f>
        <v/>
      </c>
    </row>
    <row r="36">
      <c r="A36" t="inlineStr">
        <is>
          <t>2026-W09</t>
        </is>
      </c>
      <c r="B36" s="9">
        <f>SUMIFS(Datos!$I$4:$I$1187,Datos!$B$4:$B$1187,A36)</f>
        <v/>
      </c>
      <c r="C36" s="9">
        <f>SUMIFS(Datos!$J$4:$J$1187,Datos!$B$4:$B$1187,A36)</f>
        <v/>
      </c>
      <c r="D36" s="16">
        <f>B36+C36</f>
        <v/>
      </c>
    </row>
    <row r="37">
      <c r="A37" t="inlineStr">
        <is>
          <t>2026-W10</t>
        </is>
      </c>
      <c r="B37" s="9">
        <f>SUMIFS(Datos!$I$4:$I$1187,Datos!$B$4:$B$1187,A37)</f>
        <v/>
      </c>
      <c r="C37" s="9">
        <f>SUMIFS(Datos!$J$4:$J$1187,Datos!$B$4:$B$1187,A37)</f>
        <v/>
      </c>
      <c r="D37" s="16">
        <f>B37+C37</f>
        <v/>
      </c>
    </row>
    <row r="38">
      <c r="A38" t="inlineStr">
        <is>
          <t>2026-W11</t>
        </is>
      </c>
      <c r="B38" s="9">
        <f>SUMIFS(Datos!$I$4:$I$1187,Datos!$B$4:$B$1187,A38)</f>
        <v/>
      </c>
      <c r="C38" s="9">
        <f>SUMIFS(Datos!$J$4:$J$1187,Datos!$B$4:$B$1187,A38)</f>
        <v/>
      </c>
      <c r="D38" s="16">
        <f>B38+C38</f>
        <v/>
      </c>
    </row>
    <row r="39">
      <c r="A39" t="inlineStr">
        <is>
          <t>2026-W12</t>
        </is>
      </c>
      <c r="B39" s="9">
        <f>SUMIFS(Datos!$I$4:$I$1187,Datos!$B$4:$B$1187,A39)</f>
        <v/>
      </c>
      <c r="C39" s="9">
        <f>SUMIFS(Datos!$J$4:$J$1187,Datos!$B$4:$B$1187,A39)</f>
        <v/>
      </c>
      <c r="D39" s="16">
        <f>B39+C39</f>
        <v/>
      </c>
    </row>
    <row r="40">
      <c r="A40" t="inlineStr">
        <is>
          <t>2026-W13</t>
        </is>
      </c>
      <c r="B40" s="9">
        <f>SUMIFS(Datos!$I$4:$I$1187,Datos!$B$4:$B$1187,A40)</f>
        <v/>
      </c>
      <c r="C40" s="9">
        <f>SUMIFS(Datos!$J$4:$J$1187,Datos!$B$4:$B$1187,A40)</f>
        <v/>
      </c>
      <c r="D40" s="16">
        <f>B40+C40</f>
        <v/>
      </c>
    </row>
    <row r="41">
      <c r="A41" t="inlineStr">
        <is>
          <t>2026-W14</t>
        </is>
      </c>
      <c r="B41" s="9">
        <f>SUMIFS(Datos!$I$4:$I$1187,Datos!$B$4:$B$1187,A41)</f>
        <v/>
      </c>
      <c r="C41" s="9">
        <f>SUMIFS(Datos!$J$4:$J$1187,Datos!$B$4:$B$1187,A41)</f>
        <v/>
      </c>
      <c r="D41" s="16">
        <f>B41+C41</f>
        <v/>
      </c>
    </row>
    <row r="42">
      <c r="A42" t="inlineStr">
        <is>
          <t>2026-W15</t>
        </is>
      </c>
      <c r="B42" s="9">
        <f>SUMIFS(Datos!$I$4:$I$1187,Datos!$B$4:$B$1187,A42)</f>
        <v/>
      </c>
      <c r="C42" s="9">
        <f>SUMIFS(Datos!$J$4:$J$1187,Datos!$B$4:$B$1187,A42)</f>
        <v/>
      </c>
      <c r="D42" s="16">
        <f>B42+C42</f>
        <v/>
      </c>
    </row>
    <row r="43">
      <c r="A43" t="inlineStr">
        <is>
          <t>2026-W16</t>
        </is>
      </c>
      <c r="B43" s="9">
        <f>SUMIFS(Datos!$I$4:$I$1187,Datos!$B$4:$B$1187,A43)</f>
        <v/>
      </c>
      <c r="C43" s="9">
        <f>SUMIFS(Datos!$J$4:$J$1187,Datos!$B$4:$B$1187,A43)</f>
        <v/>
      </c>
      <c r="D43" s="16">
        <f>B43+C43</f>
        <v/>
      </c>
    </row>
    <row r="44">
      <c r="A44" t="inlineStr">
        <is>
          <t>2026-W17</t>
        </is>
      </c>
      <c r="B44" s="9">
        <f>SUMIFS(Datos!$I$4:$I$1187,Datos!$B$4:$B$1187,A44)</f>
        <v/>
      </c>
      <c r="C44" s="9">
        <f>SUMIFS(Datos!$J$4:$J$1187,Datos!$B$4:$B$1187,A44)</f>
        <v/>
      </c>
      <c r="D44" s="16">
        <f>B44+C44</f>
        <v/>
      </c>
    </row>
    <row r="45">
      <c r="A45" t="inlineStr">
        <is>
          <t>2026-W18</t>
        </is>
      </c>
      <c r="B45" s="9">
        <f>SUMIFS(Datos!$I$4:$I$1187,Datos!$B$4:$B$1187,A45)</f>
        <v/>
      </c>
      <c r="C45" s="9">
        <f>SUMIFS(Datos!$J$4:$J$1187,Datos!$B$4:$B$1187,A45)</f>
        <v/>
      </c>
      <c r="D45" s="16">
        <f>B45+C45</f>
        <v/>
      </c>
    </row>
    <row r="46">
      <c r="A46" t="inlineStr">
        <is>
          <t>2026-W19</t>
        </is>
      </c>
      <c r="B46" s="9">
        <f>SUMIFS(Datos!$I$4:$I$1187,Datos!$B$4:$B$1187,A46)</f>
        <v/>
      </c>
      <c r="C46" s="9">
        <f>SUMIFS(Datos!$J$4:$J$1187,Datos!$B$4:$B$1187,A46)</f>
        <v/>
      </c>
      <c r="D46" s="16">
        <f>B46+C46</f>
        <v/>
      </c>
    </row>
    <row r="47">
      <c r="A47" t="inlineStr">
        <is>
          <t>2026-W20</t>
        </is>
      </c>
      <c r="B47" s="9">
        <f>SUMIFS(Datos!$I$4:$I$1187,Datos!$B$4:$B$1187,A47)</f>
        <v/>
      </c>
      <c r="C47" s="9">
        <f>SUMIFS(Datos!$J$4:$J$1187,Datos!$B$4:$B$1187,A47)</f>
        <v/>
      </c>
      <c r="D47" s="16">
        <f>B47+C47</f>
        <v/>
      </c>
    </row>
    <row r="48">
      <c r="A48" t="inlineStr">
        <is>
          <t>2026-W21</t>
        </is>
      </c>
      <c r="B48" s="9">
        <f>SUMIFS(Datos!$I$4:$I$1187,Datos!$B$4:$B$1187,A48)</f>
        <v/>
      </c>
      <c r="C48" s="9">
        <f>SUMIFS(Datos!$J$4:$J$1187,Datos!$B$4:$B$1187,A48)</f>
        <v/>
      </c>
      <c r="D48" s="16">
        <f>B48+C48</f>
        <v/>
      </c>
    </row>
    <row r="49">
      <c r="A49" t="inlineStr">
        <is>
          <t>2026-W22</t>
        </is>
      </c>
      <c r="B49" s="9">
        <f>SUMIFS(Datos!$I$4:$I$1187,Datos!$B$4:$B$1187,A49)</f>
        <v/>
      </c>
      <c r="C49" s="9">
        <f>SUMIFS(Datos!$J$4:$J$1187,Datos!$B$4:$B$1187,A49)</f>
        <v/>
      </c>
      <c r="D49" s="16">
        <f>B49+C49</f>
        <v/>
      </c>
    </row>
    <row r="50">
      <c r="A50" t="inlineStr">
        <is>
          <t>2026-W23</t>
        </is>
      </c>
      <c r="B50" s="9">
        <f>SUMIFS(Datos!$I$4:$I$1187,Datos!$B$4:$B$1187,A50)</f>
        <v/>
      </c>
      <c r="C50" s="9">
        <f>SUMIFS(Datos!$J$4:$J$1187,Datos!$B$4:$B$1187,A50)</f>
        <v/>
      </c>
      <c r="D50" s="16">
        <f>B50+C50</f>
        <v/>
      </c>
    </row>
    <row r="51">
      <c r="A51" t="inlineStr">
        <is>
          <t>2026-W24</t>
        </is>
      </c>
      <c r="B51" s="9">
        <f>SUMIFS(Datos!$I$4:$I$1187,Datos!$B$4:$B$1187,A51)</f>
        <v/>
      </c>
      <c r="C51" s="9">
        <f>SUMIFS(Datos!$J$4:$J$1187,Datos!$B$4:$B$1187,A51)</f>
        <v/>
      </c>
      <c r="D51" s="16">
        <f>B51+C51</f>
        <v/>
      </c>
    </row>
    <row r="52">
      <c r="A52" t="inlineStr">
        <is>
          <t>2026-W25</t>
        </is>
      </c>
      <c r="B52" s="9">
        <f>SUMIFS(Datos!$I$4:$I$1187,Datos!$B$4:$B$1187,A52)</f>
        <v/>
      </c>
      <c r="C52" s="9">
        <f>SUMIFS(Datos!$J$4:$J$1187,Datos!$B$4:$B$1187,A52)</f>
        <v/>
      </c>
      <c r="D52" s="16">
        <f>B52+C52</f>
        <v/>
      </c>
    </row>
    <row r="53">
      <c r="A53" t="inlineStr">
        <is>
          <t>2026-W26</t>
        </is>
      </c>
      <c r="B53" s="9">
        <f>SUMIFS(Datos!$I$4:$I$1187,Datos!$B$4:$B$1187,A53)</f>
        <v/>
      </c>
      <c r="C53" s="9">
        <f>SUMIFS(Datos!$J$4:$J$1187,Datos!$B$4:$B$1187,A53)</f>
        <v/>
      </c>
      <c r="D53" s="16">
        <f>B53+C53</f>
        <v/>
      </c>
    </row>
    <row r="54">
      <c r="A54" t="inlineStr">
        <is>
          <t>2026-W27</t>
        </is>
      </c>
      <c r="B54" s="9">
        <f>SUMIFS(Datos!$I$4:$I$1187,Datos!$B$4:$B$1187,A54)</f>
        <v/>
      </c>
      <c r="C54" s="9">
        <f>SUMIFS(Datos!$J$4:$J$1187,Datos!$B$4:$B$1187,A54)</f>
        <v/>
      </c>
      <c r="D54" s="16">
        <f>B54+C54</f>
        <v/>
      </c>
    </row>
    <row r="55">
      <c r="A55" t="inlineStr">
        <is>
          <t>2026-W28</t>
        </is>
      </c>
      <c r="B55" s="9">
        <f>SUMIFS(Datos!$I$4:$I$1187,Datos!$B$4:$B$1187,A55)</f>
        <v/>
      </c>
      <c r="C55" s="9">
        <f>SUMIFS(Datos!$J$4:$J$1187,Datos!$B$4:$B$1187,A55)</f>
        <v/>
      </c>
      <c r="D55" s="16">
        <f>B55+C55</f>
        <v/>
      </c>
    </row>
    <row r="56">
      <c r="A56" t="inlineStr">
        <is>
          <t>2026-W29</t>
        </is>
      </c>
      <c r="B56" s="9">
        <f>SUMIFS(Datos!$I$4:$I$1187,Datos!$B$4:$B$1187,A56)</f>
        <v/>
      </c>
      <c r="C56" s="9">
        <f>SUMIFS(Datos!$J$4:$J$1187,Datos!$B$4:$B$1187,A56)</f>
        <v/>
      </c>
      <c r="D56" s="16">
        <f>B56+C56</f>
        <v/>
      </c>
    </row>
    <row r="57">
      <c r="A57" t="inlineStr">
        <is>
          <t>2026-W30</t>
        </is>
      </c>
      <c r="B57" s="9">
        <f>SUMIFS(Datos!$I$4:$I$1187,Datos!$B$4:$B$1187,A57)</f>
        <v/>
      </c>
      <c r="C57" s="9">
        <f>SUMIFS(Datos!$J$4:$J$1187,Datos!$B$4:$B$1187,A57)</f>
        <v/>
      </c>
      <c r="D57" s="16">
        <f>B57+C57</f>
        <v/>
      </c>
    </row>
    <row r="58">
      <c r="A58" t="inlineStr">
        <is>
          <t>2026-W31</t>
        </is>
      </c>
      <c r="B58" s="9">
        <f>SUMIFS(Datos!$I$4:$I$1187,Datos!$B$4:$B$1187,A58)</f>
        <v/>
      </c>
      <c r="C58" s="9">
        <f>SUMIFS(Datos!$J$4:$J$1187,Datos!$B$4:$B$1187,A58)</f>
        <v/>
      </c>
      <c r="D58" s="16">
        <f>B58+C58</f>
        <v/>
      </c>
    </row>
  </sheetData>
  <mergeCells count="2">
    <mergeCell ref="A1:D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2026-07-14T13:27:04Z</dcterms:created>
  <dcterms:modified xsi:type="dcterms:W3CDTF">2026-07-14T13:27:04Z</dcterms:modified>
</cp:coreProperties>
</file>