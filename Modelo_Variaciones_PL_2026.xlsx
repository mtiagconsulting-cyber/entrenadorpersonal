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Budget" sheetId="2" state="visible" r:id="rId2"/>
    <sheet name="Actual (ST)" sheetId="3" state="visible" r:id="rId3"/>
    <sheet name="Variaciones" sheetId="4" state="visible" r:id="rId4"/>
    <sheet name="Variaciones %" sheetId="5" state="visible" r:id="rId5"/>
    <sheet name="Dashboard" sheetId="6" state="visible" r:id="rId6"/>
    <sheet name="Puente PL-Caj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"/>
    <numFmt numFmtId="165" formatCode="0.0%;[Red](0.0%)"/>
  </numFmts>
  <fonts count="13">
    <font>
      <name val="Calibri"/>
      <family val="2"/>
      <color theme="1"/>
      <sz val="11"/>
      <scheme val="minor"/>
    </font>
    <font>
      <b val="1"/>
      <color rgb="002E5496"/>
      <sz val="14"/>
    </font>
    <font>
      <color rgb="00000000"/>
      <sz val="11"/>
    </font>
    <font>
      <color rgb="00808080"/>
      <sz val="11"/>
    </font>
    <font>
      <b val="1"/>
      <color rgb="001F3864"/>
      <sz val="12"/>
    </font>
    <font>
      <color rgb="00C00000"/>
      <sz val="11"/>
    </font>
    <font>
      <color rgb="00808080"/>
      <sz val="10"/>
    </font>
    <font>
      <b val="1"/>
      <color rgb="00FFFFFF"/>
      <sz val="13"/>
    </font>
    <font>
      <b val="1"/>
      <color rgb="00FFFFFF"/>
    </font>
    <font>
      <b val="1"/>
    </font>
    <font>
      <b val="1"/>
      <sz val="12"/>
    </font>
    <font/>
    <font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0" pivotButton="0" quotePrefix="0" xfId="0"/>
    <xf numFmtId="0" fontId="0" fillId="2" borderId="0" pivotButton="0" quotePrefix="0" xfId="0"/>
    <xf numFmtId="0" fontId="8" fillId="3" borderId="0" pivotButton="0" quotePrefix="0" xfId="0"/>
    <xf numFmtId="0" fontId="8" fillId="3" borderId="0" applyAlignment="1" pivotButton="0" quotePrefix="0" xfId="0">
      <alignment horizontal="center"/>
    </xf>
    <xf numFmtId="0" fontId="0" fillId="3" borderId="0" pivotButton="0" quotePrefix="0" xfId="0"/>
    <xf numFmtId="164" fontId="0" fillId="0" borderId="1" pivotButton="0" quotePrefix="0" xfId="0"/>
    <xf numFmtId="164" fontId="9" fillId="0" borderId="1" pivotButton="0" quotePrefix="0" xfId="0"/>
    <xf numFmtId="0" fontId="0" fillId="4" borderId="0" pivotButton="0" quotePrefix="0" xfId="0"/>
    <xf numFmtId="164" fontId="9" fillId="4" borderId="1" pivotButton="0" quotePrefix="0" xfId="0"/>
    <xf numFmtId="0" fontId="9" fillId="5" borderId="0" pivotButton="0" quotePrefix="0" xfId="0"/>
    <xf numFmtId="164" fontId="9" fillId="5" borderId="1" pivotButton="0" quotePrefix="0" xfId="0"/>
    <xf numFmtId="0" fontId="10" fillId="6" borderId="0" pivotButton="0" quotePrefix="0" xfId="0"/>
    <xf numFmtId="164" fontId="10" fillId="6" borderId="1" pivotButton="0" quotePrefix="0" xfId="0"/>
    <xf numFmtId="165" fontId="0" fillId="0" borderId="1" pivotButton="0" quotePrefix="0" xfId="0"/>
    <xf numFmtId="165" fontId="9" fillId="0" borderId="1" pivotButton="0" quotePrefix="0" xfId="0"/>
    <xf numFmtId="165" fontId="9" fillId="4" borderId="1" pivotButton="0" quotePrefix="0" xfId="0"/>
    <xf numFmtId="165" fontId="9" fillId="5" borderId="1" pivotButton="0" quotePrefix="0" xfId="0"/>
    <xf numFmtId="165" fontId="10" fillId="6" borderId="1" pivotButton="0" quotePrefix="0" xfId="0"/>
    <xf numFmtId="0" fontId="9" fillId="0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0" fillId="0" borderId="1" pivotButton="0" quotePrefix="0" xfId="0"/>
    <xf numFmtId="0" fontId="9" fillId="4" borderId="0" pivotButton="0" quotePrefix="0" xfId="0"/>
    <xf numFmtId="0" fontId="9" fillId="4" borderId="1" pivotButton="0" quotePrefix="0" xfId="0"/>
    <xf numFmtId="0" fontId="9" fillId="5" borderId="1" pivotButton="0" quotePrefix="0" xfId="0"/>
    <xf numFmtId="0" fontId="11" fillId="6" borderId="0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6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Junio: 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'Dashboard'!$A$4:$A$13</f>
            </numRef>
          </cat>
          <val>
            <numRef>
              <f>'Dashboard'!$B$4:$B$13</f>
            </numRef>
          </val>
        </ser>
        <ser>
          <idx val="1"/>
          <order val="1"/>
          <tx>
            <strRef>
              <f>'Dashboard'!C3</f>
            </strRef>
          </tx>
          <spPr>
            <a:ln>
              <a:prstDash val="solid"/>
            </a:ln>
          </spPr>
          <cat>
            <numRef>
              <f>'Dashboard'!$A$4:$A$13</f>
            </numRef>
          </cat>
          <val>
            <numRef>
              <f>'Dashboard'!$C$4:$C$13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MODELO DE VARIACIONES P&amp;L — MES A MES (Budget vs Actual)</t>
        </is>
      </c>
    </row>
    <row r="2">
      <c r="A2" s="2" t="inlineStr"/>
    </row>
    <row r="3">
      <c r="A3" s="3" t="inlineStr">
        <is>
          <t>Estructura oficial de grupos (cuadra con vuestro EBITDA y EBT reportados).</t>
        </is>
      </c>
    </row>
    <row r="4">
      <c r="A4" s="2" t="inlineStr"/>
    </row>
    <row r="5">
      <c r="A5" s="4" t="inlineStr">
        <is>
          <t>CÓMO FUNCIONA</t>
        </is>
      </c>
    </row>
    <row r="6">
      <c r="A6" s="2" t="inlineStr">
        <is>
          <t>1) 'Budget': presupuesto por mes. Junio cargado; rellena el resto cuando lo tengas.</t>
        </is>
      </c>
    </row>
    <row r="7">
      <c r="A7" s="2" t="inlineStr">
        <is>
          <t>2) 'Actual (ST)': reales. Junio cerrado y cargado. Cada cierre, pega/vincula la columna del mes.</t>
        </is>
      </c>
    </row>
    <row r="8">
      <c r="A8" s="2" t="inlineStr">
        <is>
          <t>3) 'Variaciones' y 'Variaciones %': se calculan solas (Actual − Budget). No tocar.</t>
        </is>
      </c>
    </row>
    <row r="9">
      <c r="A9" s="2" t="inlineStr">
        <is>
          <t>4) 'Dashboard': resumen visual de junio.</t>
        </is>
      </c>
    </row>
    <row r="10">
      <c r="A10" s="2" t="inlineStr"/>
    </row>
    <row r="11">
      <c r="A11" s="4" t="inlineStr">
        <is>
          <t>VINCULAR EL FICHERO ST CADA MES</t>
        </is>
      </c>
    </row>
    <row r="12">
      <c r="A12" s="2" t="inlineStr">
        <is>
          <t>Opción A (recomendada): en 'Actual (ST)', celda del mes, fórmula al fichero ST. Ej:</t>
        </is>
      </c>
    </row>
    <row r="13">
      <c r="A13" s="5" t="inlineStr">
        <is>
          <t xml:space="preserve">     ='[ST_Junio.xlsx]P&amp;L'!$C$10     (ajusta fichero, hoja y celda de origen)</t>
        </is>
      </c>
    </row>
    <row r="14">
      <c r="A14" s="2" t="inlineStr">
        <is>
          <t>Opción B: Datos &gt; Obtener datos &gt; Desde un libro, enlazas la tabla del ST.</t>
        </is>
      </c>
    </row>
    <row r="15">
      <c r="A15" s="2" t="inlineStr">
        <is>
          <t>Opción C: pega los valores del mes (pegado normal).</t>
        </is>
      </c>
    </row>
    <row r="16">
      <c r="A16" s="2" t="inlineStr"/>
    </row>
    <row r="17">
      <c r="A17" s="4" t="inlineStr">
        <is>
          <t>INTERPRETACIÓN</t>
        </is>
      </c>
    </row>
    <row r="18">
      <c r="A18" s="2" t="inlineStr">
        <is>
          <t>• Ingresos: variación negativa (rojo) = por debajo de budget (malo).</t>
        </is>
      </c>
    </row>
    <row r="19">
      <c r="A19" s="2" t="inlineStr">
        <is>
          <t>• Costes (signo negativo): variación negativa = gasto MAYOR al budget (malo); positiva = ahorro (bueno).</t>
        </is>
      </c>
    </row>
    <row r="20">
      <c r="A20" s="2" t="inlineStr">
        <is>
          <t>• EBITDA/EBT: variación negativa = peor que budget.</t>
        </is>
      </c>
    </row>
    <row r="21">
      <c r="A21" s="2" t="inlineStr"/>
    </row>
    <row r="22">
      <c r="A22" s="6" t="inlineStr">
        <is>
          <t>Cifras en euros. Budget/Actual junio: hoja 'DiF (BDG March)' del fichero original.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BUDGET 2026 — P&amp;L mensual (€)</t>
        </is>
      </c>
    </row>
    <row r="3">
      <c r="A3" s="9" t="inlineStr">
        <is>
          <t>Concepto</t>
        </is>
      </c>
      <c r="B3" s="10" t="inlineStr">
        <is>
          <t>Ene</t>
        </is>
      </c>
      <c r="C3" s="10" t="inlineStr">
        <is>
          <t>Feb</t>
        </is>
      </c>
      <c r="D3" s="10" t="inlineStr">
        <is>
          <t>Mar</t>
        </is>
      </c>
      <c r="E3" s="10" t="inlineStr">
        <is>
          <t>Abr</t>
        </is>
      </c>
      <c r="F3" s="10" t="inlineStr">
        <is>
          <t>May</t>
        </is>
      </c>
      <c r="G3" s="10" t="inlineStr">
        <is>
          <t>Jun</t>
        </is>
      </c>
      <c r="H3" s="10" t="inlineStr">
        <is>
          <t>Jul</t>
        </is>
      </c>
      <c r="I3" s="10" t="inlineStr">
        <is>
          <t>Ago</t>
        </is>
      </c>
      <c r="J3" s="10" t="inlineStr">
        <is>
          <t>Sep</t>
        </is>
      </c>
      <c r="K3" s="10" t="inlineStr">
        <is>
          <t>Oct</t>
        </is>
      </c>
      <c r="L3" s="10" t="inlineStr">
        <is>
          <t>Nov</t>
        </is>
      </c>
      <c r="M3" s="10" t="inlineStr">
        <is>
          <t>Dic</t>
        </is>
      </c>
      <c r="N3" s="10" t="inlineStr">
        <is>
          <t>FY Total</t>
        </is>
      </c>
    </row>
    <row r="4">
      <c r="A4" s="9" t="inlineStr">
        <is>
          <t>INGRESOS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>
      <c r="A5" t="inlineStr">
        <is>
          <t>Passenger Revenue</t>
        </is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50518235.9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3">
        <f>SUM(B5:M5)</f>
        <v/>
      </c>
    </row>
    <row r="6">
      <c r="A6" t="inlineStr">
        <is>
          <t>Shuttle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921600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3">
        <f>SUM(B6:M6)</f>
        <v/>
      </c>
    </row>
    <row r="7">
      <c r="A7" t="inlineStr">
        <is>
          <t>Charter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3">
        <f>SUM(B7:M7)</f>
        <v/>
      </c>
    </row>
    <row r="8">
      <c r="A8" t="inlineStr">
        <is>
          <t>Ancillary Revenue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31961511.7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3">
        <f>SUM(B8:M8)</f>
        <v/>
      </c>
    </row>
    <row r="9">
      <c r="A9" s="14" t="inlineStr">
        <is>
          <t>Total Revenue</t>
        </is>
      </c>
      <c r="B9" s="15">
        <f>SUM(B5:B8)</f>
        <v/>
      </c>
      <c r="C9" s="15">
        <f>SUM(C5:C8)</f>
        <v/>
      </c>
      <c r="D9" s="15">
        <f>SUM(D5:D8)</f>
        <v/>
      </c>
      <c r="E9" s="15">
        <f>SUM(E5:E8)</f>
        <v/>
      </c>
      <c r="F9" s="15">
        <f>SUM(F5:F8)</f>
        <v/>
      </c>
      <c r="G9" s="15">
        <f>SUM(G5:G8)</f>
        <v/>
      </c>
      <c r="H9" s="15">
        <f>SUM(H5:H8)</f>
        <v/>
      </c>
      <c r="I9" s="15">
        <f>SUM(I5:I8)</f>
        <v/>
      </c>
      <c r="J9" s="15">
        <f>SUM(J5:J8)</f>
        <v/>
      </c>
      <c r="K9" s="15">
        <f>SUM(K5:K8)</f>
        <v/>
      </c>
      <c r="L9" s="15">
        <f>SUM(L5:L8)</f>
        <v/>
      </c>
      <c r="M9" s="15">
        <f>SUM(M5:M8)</f>
        <v/>
      </c>
      <c r="N9" s="15">
        <f>SUM(B9:M9)</f>
        <v/>
      </c>
    </row>
    <row r="10">
      <c r="A10" s="9" t="inlineStr">
        <is>
          <t>COSTES OPERATIVOS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t="inlineStr">
        <is>
          <t>Fuel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-35899289.5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3">
        <f>SUM(B11:M11)</f>
        <v/>
      </c>
    </row>
    <row r="12">
      <c r="A12" t="inlineStr">
        <is>
          <t>Crew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-8414640.6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3">
        <f>SUM(B12:M12)</f>
        <v/>
      </c>
    </row>
    <row r="13">
      <c r="A13" t="inlineStr">
        <is>
          <t>Maintenance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-5710849.6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>
        <f>SUM(B13:M13)</f>
        <v/>
      </c>
    </row>
    <row r="14">
      <c r="A14" t="inlineStr">
        <is>
          <t>Airport &amp; Navigation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-8030910.4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3">
        <f>SUM(B14:M14)</f>
        <v/>
      </c>
    </row>
    <row r="15">
      <c r="A15" t="inlineStr">
        <is>
          <t>Handling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-7369747.5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3">
        <f>SUM(B15:M15)</f>
        <v/>
      </c>
    </row>
    <row r="16">
      <c r="A16" t="inlineStr">
        <is>
          <t>Sales &amp; Distribution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-4848405.2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3">
        <f>SUM(B16:M16)</f>
        <v/>
      </c>
    </row>
    <row r="17">
      <c r="A17" t="inlineStr">
        <is>
          <t>G&amp;A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-8119261.8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3">
        <f>SUM(B17:M17)</f>
        <v/>
      </c>
    </row>
    <row r="18">
      <c r="A18" s="16" t="inlineStr">
        <is>
          <t>EBITDA</t>
        </is>
      </c>
      <c r="B18" s="17">
        <f>B9+SUM(B11:B17)</f>
        <v/>
      </c>
      <c r="C18" s="17">
        <f>C9+SUM(C11:C17)</f>
        <v/>
      </c>
      <c r="D18" s="17">
        <f>D9+SUM(D11:D17)</f>
        <v/>
      </c>
      <c r="E18" s="17">
        <f>E9+SUM(E11:E17)</f>
        <v/>
      </c>
      <c r="F18" s="17">
        <f>F9+SUM(F11:F17)</f>
        <v/>
      </c>
      <c r="G18" s="17">
        <f>G9+SUM(G11:G17)</f>
        <v/>
      </c>
      <c r="H18" s="17">
        <f>H9+SUM(H11:H17)</f>
        <v/>
      </c>
      <c r="I18" s="17">
        <f>I9+SUM(I11:I17)</f>
        <v/>
      </c>
      <c r="J18" s="17">
        <f>J9+SUM(J11:J17)</f>
        <v/>
      </c>
      <c r="K18" s="17">
        <f>K9+SUM(K11:K17)</f>
        <v/>
      </c>
      <c r="L18" s="17">
        <f>L9+SUM(L11:L17)</f>
        <v/>
      </c>
      <c r="M18" s="17">
        <f>M9+SUM(M11:M17)</f>
        <v/>
      </c>
      <c r="N18" s="17">
        <f>SUM(B18:M18)</f>
        <v/>
      </c>
    </row>
    <row r="19">
      <c r="A19" s="9" t="inlineStr">
        <is>
          <t>RESULTADO FINANCIERO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t="inlineStr">
        <is>
          <t>Interest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-33333.3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3">
        <f>SUM(B20:M20)</f>
        <v/>
      </c>
    </row>
    <row r="21">
      <c r="A21" s="18" t="inlineStr">
        <is>
          <t>EBT / RESULTADO NETO</t>
        </is>
      </c>
      <c r="B21" s="19">
        <f>B18+SUM(B20:B20)</f>
        <v/>
      </c>
      <c r="C21" s="19">
        <f>C18+SUM(C20:C20)</f>
        <v/>
      </c>
      <c r="D21" s="19">
        <f>D18+SUM(D20:D20)</f>
        <v/>
      </c>
      <c r="E21" s="19">
        <f>E18+SUM(E20:E20)</f>
        <v/>
      </c>
      <c r="F21" s="19">
        <f>F18+SUM(F20:F20)</f>
        <v/>
      </c>
      <c r="G21" s="19">
        <f>G18+SUM(G20:G20)</f>
        <v/>
      </c>
      <c r="H21" s="19">
        <f>H18+SUM(H20:H20)</f>
        <v/>
      </c>
      <c r="I21" s="19">
        <f>I18+SUM(I20:I20)</f>
        <v/>
      </c>
      <c r="J21" s="19">
        <f>J18+SUM(J20:J20)</f>
        <v/>
      </c>
      <c r="K21" s="19">
        <f>K18+SUM(K20:K20)</f>
        <v/>
      </c>
      <c r="L21" s="19">
        <f>L18+SUM(L20:L20)</f>
        <v/>
      </c>
      <c r="M21" s="19">
        <f>M18+SUM(M20:M20)</f>
        <v/>
      </c>
      <c r="N21" s="19">
        <f>SUM(B21:M21)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ACTUAL (ST) 2026 — P&amp;L mensual (€) · Junio cerrado</t>
        </is>
      </c>
    </row>
    <row r="3">
      <c r="A3" s="9" t="inlineStr">
        <is>
          <t>Concepto</t>
        </is>
      </c>
      <c r="B3" s="10" t="inlineStr">
        <is>
          <t>Ene</t>
        </is>
      </c>
      <c r="C3" s="10" t="inlineStr">
        <is>
          <t>Feb</t>
        </is>
      </c>
      <c r="D3" s="10" t="inlineStr">
        <is>
          <t>Mar</t>
        </is>
      </c>
      <c r="E3" s="10" t="inlineStr">
        <is>
          <t>Abr</t>
        </is>
      </c>
      <c r="F3" s="10" t="inlineStr">
        <is>
          <t>May</t>
        </is>
      </c>
      <c r="G3" s="10" t="inlineStr">
        <is>
          <t>Jun</t>
        </is>
      </c>
      <c r="H3" s="10" t="inlineStr">
        <is>
          <t>Jul</t>
        </is>
      </c>
      <c r="I3" s="10" t="inlineStr">
        <is>
          <t>Ago</t>
        </is>
      </c>
      <c r="J3" s="10" t="inlineStr">
        <is>
          <t>Sep</t>
        </is>
      </c>
      <c r="K3" s="10" t="inlineStr">
        <is>
          <t>Oct</t>
        </is>
      </c>
      <c r="L3" s="10" t="inlineStr">
        <is>
          <t>Nov</t>
        </is>
      </c>
      <c r="M3" s="10" t="inlineStr">
        <is>
          <t>Dic</t>
        </is>
      </c>
      <c r="N3" s="10" t="inlineStr">
        <is>
          <t>FY Total</t>
        </is>
      </c>
    </row>
    <row r="4">
      <c r="A4" s="9" t="inlineStr">
        <is>
          <t>INGRESOS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>
      <c r="A5" t="inlineStr">
        <is>
          <t>Passenger Revenue</t>
        </is>
      </c>
      <c r="B5" s="12" t="n">
        <v>0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51819511.7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3">
        <f>SUM(B5:M5)</f>
        <v/>
      </c>
    </row>
    <row r="6">
      <c r="A6" t="inlineStr">
        <is>
          <t>Shuttle</t>
        </is>
      </c>
      <c r="B6" s="12" t="n">
        <v>0</v>
      </c>
      <c r="C6" s="12" t="n">
        <v>0</v>
      </c>
      <c r="D6" s="12" t="n">
        <v>0</v>
      </c>
      <c r="E6" s="12" t="n">
        <v>0</v>
      </c>
      <c r="F6" s="12" t="n">
        <v>0</v>
      </c>
      <c r="G6" s="12" t="n">
        <v>792087.6</v>
      </c>
      <c r="H6" s="12" t="n">
        <v>0</v>
      </c>
      <c r="I6" s="12" t="n">
        <v>0</v>
      </c>
      <c r="J6" s="12" t="n">
        <v>0</v>
      </c>
      <c r="K6" s="12" t="n">
        <v>0</v>
      </c>
      <c r="L6" s="12" t="n">
        <v>0</v>
      </c>
      <c r="M6" s="12" t="n">
        <v>0</v>
      </c>
      <c r="N6" s="13">
        <f>SUM(B6:M6)</f>
        <v/>
      </c>
    </row>
    <row r="7">
      <c r="A7" t="inlineStr">
        <is>
          <t>Charter</t>
        </is>
      </c>
      <c r="B7" s="12" t="n">
        <v>0</v>
      </c>
      <c r="C7" s="12" t="n">
        <v>0</v>
      </c>
      <c r="D7" s="12" t="n">
        <v>0</v>
      </c>
      <c r="E7" s="12" t="n">
        <v>0</v>
      </c>
      <c r="F7" s="12" t="n">
        <v>0</v>
      </c>
      <c r="G7" s="12" t="n">
        <v>-14584.4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0</v>
      </c>
      <c r="M7" s="12" t="n">
        <v>0</v>
      </c>
      <c r="N7" s="13">
        <f>SUM(B7:M7)</f>
        <v/>
      </c>
    </row>
    <row r="8">
      <c r="A8" t="inlineStr">
        <is>
          <t>Ancillary Revenue</t>
        </is>
      </c>
      <c r="B8" s="12" t="n">
        <v>0</v>
      </c>
      <c r="C8" s="12" t="n">
        <v>0</v>
      </c>
      <c r="D8" s="12" t="n">
        <v>0</v>
      </c>
      <c r="E8" s="12" t="n">
        <v>0</v>
      </c>
      <c r="F8" s="12" t="n">
        <v>0</v>
      </c>
      <c r="G8" s="12" t="n">
        <v>31198002.1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0</v>
      </c>
      <c r="M8" s="12" t="n">
        <v>0</v>
      </c>
      <c r="N8" s="13">
        <f>SUM(B8:M8)</f>
        <v/>
      </c>
    </row>
    <row r="9">
      <c r="A9" s="14" t="inlineStr">
        <is>
          <t>Total Revenue</t>
        </is>
      </c>
      <c r="B9" s="15">
        <f>SUM(B5:B8)</f>
        <v/>
      </c>
      <c r="C9" s="15">
        <f>SUM(C5:C8)</f>
        <v/>
      </c>
      <c r="D9" s="15">
        <f>SUM(D5:D8)</f>
        <v/>
      </c>
      <c r="E9" s="15">
        <f>SUM(E5:E8)</f>
        <v/>
      </c>
      <c r="F9" s="15">
        <f>SUM(F5:F8)</f>
        <v/>
      </c>
      <c r="G9" s="15">
        <f>SUM(G5:G8)</f>
        <v/>
      </c>
      <c r="H9" s="15">
        <f>SUM(H5:H8)</f>
        <v/>
      </c>
      <c r="I9" s="15">
        <f>SUM(I5:I8)</f>
        <v/>
      </c>
      <c r="J9" s="15">
        <f>SUM(J5:J8)</f>
        <v/>
      </c>
      <c r="K9" s="15">
        <f>SUM(K5:K8)</f>
        <v/>
      </c>
      <c r="L9" s="15">
        <f>SUM(L5:L8)</f>
        <v/>
      </c>
      <c r="M9" s="15">
        <f>SUM(M5:M8)</f>
        <v/>
      </c>
      <c r="N9" s="15">
        <f>SUM(B9:M9)</f>
        <v/>
      </c>
    </row>
    <row r="10">
      <c r="A10" s="9" t="inlineStr">
        <is>
          <t>COSTES OPERATIVOS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t="inlineStr">
        <is>
          <t>Fuel</t>
        </is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-41526565.9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13">
        <f>SUM(B11:M11)</f>
        <v/>
      </c>
    </row>
    <row r="12">
      <c r="A12" t="inlineStr">
        <is>
          <t>Crew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-8174673.4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3">
        <f>SUM(B12:M12)</f>
        <v/>
      </c>
    </row>
    <row r="13">
      <c r="A13" t="inlineStr">
        <is>
          <t>Maintenance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-6520046.3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3">
        <f>SUM(B13:M13)</f>
        <v/>
      </c>
    </row>
    <row r="14">
      <c r="A14" t="inlineStr">
        <is>
          <t>Airport &amp; Navigation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-7038581.8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3">
        <f>SUM(B14:M14)</f>
        <v/>
      </c>
    </row>
    <row r="15">
      <c r="A15" t="inlineStr">
        <is>
          <t>Handling</t>
        </is>
      </c>
      <c r="B15" s="12" t="n">
        <v>0</v>
      </c>
      <c r="C15" s="12" t="n">
        <v>0</v>
      </c>
      <c r="D15" s="12" t="n">
        <v>0</v>
      </c>
      <c r="E15" s="12" t="n">
        <v>0</v>
      </c>
      <c r="F15" s="12" t="n">
        <v>0</v>
      </c>
      <c r="G15" s="12" t="n">
        <v>-6884768.9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13">
        <f>SUM(B15:M15)</f>
        <v/>
      </c>
    </row>
    <row r="16">
      <c r="A16" t="inlineStr">
        <is>
          <t>Sales &amp; Distribution</t>
        </is>
      </c>
      <c r="B16" s="12" t="n">
        <v>0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-4704608.5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3">
        <f>SUM(B16:M16)</f>
        <v/>
      </c>
    </row>
    <row r="17">
      <c r="A17" t="inlineStr">
        <is>
          <t>G&amp;A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-8225842.4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13">
        <f>SUM(B17:M17)</f>
        <v/>
      </c>
    </row>
    <row r="18">
      <c r="A18" s="16" t="inlineStr">
        <is>
          <t>EBITDA</t>
        </is>
      </c>
      <c r="B18" s="17">
        <f>B9+SUM(B11:B17)</f>
        <v/>
      </c>
      <c r="C18" s="17">
        <f>C9+SUM(C11:C17)</f>
        <v/>
      </c>
      <c r="D18" s="17">
        <f>D9+SUM(D11:D17)</f>
        <v/>
      </c>
      <c r="E18" s="17">
        <f>E9+SUM(E11:E17)</f>
        <v/>
      </c>
      <c r="F18" s="17">
        <f>F9+SUM(F11:F17)</f>
        <v/>
      </c>
      <c r="G18" s="17">
        <f>G9+SUM(G11:G17)</f>
        <v/>
      </c>
      <c r="H18" s="17">
        <f>H9+SUM(H11:H17)</f>
        <v/>
      </c>
      <c r="I18" s="17">
        <f>I9+SUM(I11:I17)</f>
        <v/>
      </c>
      <c r="J18" s="17">
        <f>J9+SUM(J11:J17)</f>
        <v/>
      </c>
      <c r="K18" s="17">
        <f>K9+SUM(K11:K17)</f>
        <v/>
      </c>
      <c r="L18" s="17">
        <f>L9+SUM(L11:L17)</f>
        <v/>
      </c>
      <c r="M18" s="17">
        <f>M9+SUM(M11:M17)</f>
        <v/>
      </c>
      <c r="N18" s="17">
        <f>SUM(B18:M18)</f>
        <v/>
      </c>
    </row>
    <row r="19">
      <c r="A19" s="9" t="inlineStr">
        <is>
          <t>RESULTADO FINANCIERO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t="inlineStr">
        <is>
          <t>Interest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2" t="n">
        <v>0</v>
      </c>
      <c r="N20" s="13">
        <f>SUM(B20:M20)</f>
        <v/>
      </c>
    </row>
    <row r="21">
      <c r="A21" s="18" t="inlineStr">
        <is>
          <t>EBT / RESULTADO NETO</t>
        </is>
      </c>
      <c r="B21" s="19">
        <f>B18+SUM(B20:B20)</f>
        <v/>
      </c>
      <c r="C21" s="19">
        <f>C18+SUM(C20:C20)</f>
        <v/>
      </c>
      <c r="D21" s="19">
        <f>D18+SUM(D20:D20)</f>
        <v/>
      </c>
      <c r="E21" s="19">
        <f>E18+SUM(E20:E20)</f>
        <v/>
      </c>
      <c r="F21" s="19">
        <f>F18+SUM(F20:F20)</f>
        <v/>
      </c>
      <c r="G21" s="19">
        <f>G18+SUM(G20:G20)</f>
        <v/>
      </c>
      <c r="H21" s="19">
        <f>H18+SUM(H20:H20)</f>
        <v/>
      </c>
      <c r="I21" s="19">
        <f>I18+SUM(I20:I20)</f>
        <v/>
      </c>
      <c r="J21" s="19">
        <f>J18+SUM(J20:J20)</f>
        <v/>
      </c>
      <c r="K21" s="19">
        <f>K18+SUM(K20:K20)</f>
        <v/>
      </c>
      <c r="L21" s="19">
        <f>L18+SUM(L20:L20)</f>
        <v/>
      </c>
      <c r="M21" s="19">
        <f>M18+SUM(M20:M20)</f>
        <v/>
      </c>
      <c r="N21" s="19">
        <f>SUM(B21:M21)</f>
        <v/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VARIACIONES (Actual − Budget) €</t>
        </is>
      </c>
    </row>
    <row r="3">
      <c r="A3" s="9" t="inlineStr">
        <is>
          <t>Concepto</t>
        </is>
      </c>
      <c r="B3" s="10" t="inlineStr">
        <is>
          <t>Ene</t>
        </is>
      </c>
      <c r="C3" s="10" t="inlineStr">
        <is>
          <t>Feb</t>
        </is>
      </c>
      <c r="D3" s="10" t="inlineStr">
        <is>
          <t>Mar</t>
        </is>
      </c>
      <c r="E3" s="10" t="inlineStr">
        <is>
          <t>Abr</t>
        </is>
      </c>
      <c r="F3" s="10" t="inlineStr">
        <is>
          <t>May</t>
        </is>
      </c>
      <c r="G3" s="10" t="inlineStr">
        <is>
          <t>Jun</t>
        </is>
      </c>
      <c r="H3" s="10" t="inlineStr">
        <is>
          <t>Jul</t>
        </is>
      </c>
      <c r="I3" s="10" t="inlineStr">
        <is>
          <t>Ago</t>
        </is>
      </c>
      <c r="J3" s="10" t="inlineStr">
        <is>
          <t>Sep</t>
        </is>
      </c>
      <c r="K3" s="10" t="inlineStr">
        <is>
          <t>Oct</t>
        </is>
      </c>
      <c r="L3" s="10" t="inlineStr">
        <is>
          <t>Nov</t>
        </is>
      </c>
      <c r="M3" s="10" t="inlineStr">
        <is>
          <t>Dic</t>
        </is>
      </c>
      <c r="N3" s="10" t="inlineStr">
        <is>
          <t>FY Total</t>
        </is>
      </c>
    </row>
    <row r="4">
      <c r="A4" s="9" t="inlineStr">
        <is>
          <t>INGRESOS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>
      <c r="A5" t="inlineStr">
        <is>
          <t>Passenger Revenue</t>
        </is>
      </c>
      <c r="B5" s="12">
        <f>'Actual (ST)'!B5-Budget!B5</f>
        <v/>
      </c>
      <c r="C5" s="12">
        <f>'Actual (ST)'!C5-Budget!C5</f>
        <v/>
      </c>
      <c r="D5" s="12">
        <f>'Actual (ST)'!D5-Budget!D5</f>
        <v/>
      </c>
      <c r="E5" s="12">
        <f>'Actual (ST)'!E5-Budget!E5</f>
        <v/>
      </c>
      <c r="F5" s="12">
        <f>'Actual (ST)'!F5-Budget!F5</f>
        <v/>
      </c>
      <c r="G5" s="12">
        <f>'Actual (ST)'!G5-Budget!G5</f>
        <v/>
      </c>
      <c r="H5" s="12">
        <f>'Actual (ST)'!H5-Budget!H5</f>
        <v/>
      </c>
      <c r="I5" s="12">
        <f>'Actual (ST)'!I5-Budget!I5</f>
        <v/>
      </c>
      <c r="J5" s="12">
        <f>'Actual (ST)'!J5-Budget!J5</f>
        <v/>
      </c>
      <c r="K5" s="12">
        <f>'Actual (ST)'!K5-Budget!K5</f>
        <v/>
      </c>
      <c r="L5" s="12">
        <f>'Actual (ST)'!L5-Budget!L5</f>
        <v/>
      </c>
      <c r="M5" s="12">
        <f>'Actual (ST)'!M5-Budget!M5</f>
        <v/>
      </c>
      <c r="N5" s="13">
        <f>'Actual (ST)'!N5-Budget!N5</f>
        <v/>
      </c>
    </row>
    <row r="6">
      <c r="A6" t="inlineStr">
        <is>
          <t>Shuttle</t>
        </is>
      </c>
      <c r="B6" s="12">
        <f>'Actual (ST)'!B6-Budget!B6</f>
        <v/>
      </c>
      <c r="C6" s="12">
        <f>'Actual (ST)'!C6-Budget!C6</f>
        <v/>
      </c>
      <c r="D6" s="12">
        <f>'Actual (ST)'!D6-Budget!D6</f>
        <v/>
      </c>
      <c r="E6" s="12">
        <f>'Actual (ST)'!E6-Budget!E6</f>
        <v/>
      </c>
      <c r="F6" s="12">
        <f>'Actual (ST)'!F6-Budget!F6</f>
        <v/>
      </c>
      <c r="G6" s="12">
        <f>'Actual (ST)'!G6-Budget!G6</f>
        <v/>
      </c>
      <c r="H6" s="12">
        <f>'Actual (ST)'!H6-Budget!H6</f>
        <v/>
      </c>
      <c r="I6" s="12">
        <f>'Actual (ST)'!I6-Budget!I6</f>
        <v/>
      </c>
      <c r="J6" s="12">
        <f>'Actual (ST)'!J6-Budget!J6</f>
        <v/>
      </c>
      <c r="K6" s="12">
        <f>'Actual (ST)'!K6-Budget!K6</f>
        <v/>
      </c>
      <c r="L6" s="12">
        <f>'Actual (ST)'!L6-Budget!L6</f>
        <v/>
      </c>
      <c r="M6" s="12">
        <f>'Actual (ST)'!M6-Budget!M6</f>
        <v/>
      </c>
      <c r="N6" s="13">
        <f>'Actual (ST)'!N6-Budget!N6</f>
        <v/>
      </c>
    </row>
    <row r="7">
      <c r="A7" t="inlineStr">
        <is>
          <t>Charter</t>
        </is>
      </c>
      <c r="B7" s="12">
        <f>'Actual (ST)'!B7-Budget!B7</f>
        <v/>
      </c>
      <c r="C7" s="12">
        <f>'Actual (ST)'!C7-Budget!C7</f>
        <v/>
      </c>
      <c r="D7" s="12">
        <f>'Actual (ST)'!D7-Budget!D7</f>
        <v/>
      </c>
      <c r="E7" s="12">
        <f>'Actual (ST)'!E7-Budget!E7</f>
        <v/>
      </c>
      <c r="F7" s="12">
        <f>'Actual (ST)'!F7-Budget!F7</f>
        <v/>
      </c>
      <c r="G7" s="12">
        <f>'Actual (ST)'!G7-Budget!G7</f>
        <v/>
      </c>
      <c r="H7" s="12">
        <f>'Actual (ST)'!H7-Budget!H7</f>
        <v/>
      </c>
      <c r="I7" s="12">
        <f>'Actual (ST)'!I7-Budget!I7</f>
        <v/>
      </c>
      <c r="J7" s="12">
        <f>'Actual (ST)'!J7-Budget!J7</f>
        <v/>
      </c>
      <c r="K7" s="12">
        <f>'Actual (ST)'!K7-Budget!K7</f>
        <v/>
      </c>
      <c r="L7" s="12">
        <f>'Actual (ST)'!L7-Budget!L7</f>
        <v/>
      </c>
      <c r="M7" s="12">
        <f>'Actual (ST)'!M7-Budget!M7</f>
        <v/>
      </c>
      <c r="N7" s="13">
        <f>'Actual (ST)'!N7-Budget!N7</f>
        <v/>
      </c>
    </row>
    <row r="8">
      <c r="A8" t="inlineStr">
        <is>
          <t>Ancillary Revenue</t>
        </is>
      </c>
      <c r="B8" s="12">
        <f>'Actual (ST)'!B8-Budget!B8</f>
        <v/>
      </c>
      <c r="C8" s="12">
        <f>'Actual (ST)'!C8-Budget!C8</f>
        <v/>
      </c>
      <c r="D8" s="12">
        <f>'Actual (ST)'!D8-Budget!D8</f>
        <v/>
      </c>
      <c r="E8" s="12">
        <f>'Actual (ST)'!E8-Budget!E8</f>
        <v/>
      </c>
      <c r="F8" s="12">
        <f>'Actual (ST)'!F8-Budget!F8</f>
        <v/>
      </c>
      <c r="G8" s="12">
        <f>'Actual (ST)'!G8-Budget!G8</f>
        <v/>
      </c>
      <c r="H8" s="12">
        <f>'Actual (ST)'!H8-Budget!H8</f>
        <v/>
      </c>
      <c r="I8" s="12">
        <f>'Actual (ST)'!I8-Budget!I8</f>
        <v/>
      </c>
      <c r="J8" s="12">
        <f>'Actual (ST)'!J8-Budget!J8</f>
        <v/>
      </c>
      <c r="K8" s="12">
        <f>'Actual (ST)'!K8-Budget!K8</f>
        <v/>
      </c>
      <c r="L8" s="12">
        <f>'Actual (ST)'!L8-Budget!L8</f>
        <v/>
      </c>
      <c r="M8" s="12">
        <f>'Actual (ST)'!M8-Budget!M8</f>
        <v/>
      </c>
      <c r="N8" s="13">
        <f>'Actual (ST)'!N8-Budget!N8</f>
        <v/>
      </c>
    </row>
    <row r="9">
      <c r="A9" s="14" t="inlineStr">
        <is>
          <t>Total Revenue</t>
        </is>
      </c>
      <c r="B9" s="15">
        <f>'Actual (ST)'!B9-Budget!B9</f>
        <v/>
      </c>
      <c r="C9" s="15">
        <f>'Actual (ST)'!C9-Budget!C9</f>
        <v/>
      </c>
      <c r="D9" s="15">
        <f>'Actual (ST)'!D9-Budget!D9</f>
        <v/>
      </c>
      <c r="E9" s="15">
        <f>'Actual (ST)'!E9-Budget!E9</f>
        <v/>
      </c>
      <c r="F9" s="15">
        <f>'Actual (ST)'!F9-Budget!F9</f>
        <v/>
      </c>
      <c r="G9" s="15">
        <f>'Actual (ST)'!G9-Budget!G9</f>
        <v/>
      </c>
      <c r="H9" s="15">
        <f>'Actual (ST)'!H9-Budget!H9</f>
        <v/>
      </c>
      <c r="I9" s="15">
        <f>'Actual (ST)'!I9-Budget!I9</f>
        <v/>
      </c>
      <c r="J9" s="15">
        <f>'Actual (ST)'!J9-Budget!J9</f>
        <v/>
      </c>
      <c r="K9" s="15">
        <f>'Actual (ST)'!K9-Budget!K9</f>
        <v/>
      </c>
      <c r="L9" s="15">
        <f>'Actual (ST)'!L9-Budget!L9</f>
        <v/>
      </c>
      <c r="M9" s="15">
        <f>'Actual (ST)'!M9-Budget!M9</f>
        <v/>
      </c>
      <c r="N9" s="15">
        <f>'Actual (ST)'!N9-Budget!N9</f>
        <v/>
      </c>
    </row>
    <row r="10">
      <c r="A10" s="9" t="inlineStr">
        <is>
          <t>COSTES OPERATIVOS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t="inlineStr">
        <is>
          <t>Fuel</t>
        </is>
      </c>
      <c r="B11" s="12">
        <f>'Actual (ST)'!B11-Budget!B11</f>
        <v/>
      </c>
      <c r="C11" s="12">
        <f>'Actual (ST)'!C11-Budget!C11</f>
        <v/>
      </c>
      <c r="D11" s="12">
        <f>'Actual (ST)'!D11-Budget!D11</f>
        <v/>
      </c>
      <c r="E11" s="12">
        <f>'Actual (ST)'!E11-Budget!E11</f>
        <v/>
      </c>
      <c r="F11" s="12">
        <f>'Actual (ST)'!F11-Budget!F11</f>
        <v/>
      </c>
      <c r="G11" s="12">
        <f>'Actual (ST)'!G11-Budget!G11</f>
        <v/>
      </c>
      <c r="H11" s="12">
        <f>'Actual (ST)'!H11-Budget!H11</f>
        <v/>
      </c>
      <c r="I11" s="12">
        <f>'Actual (ST)'!I11-Budget!I11</f>
        <v/>
      </c>
      <c r="J11" s="12">
        <f>'Actual (ST)'!J11-Budget!J11</f>
        <v/>
      </c>
      <c r="K11" s="12">
        <f>'Actual (ST)'!K11-Budget!K11</f>
        <v/>
      </c>
      <c r="L11" s="12">
        <f>'Actual (ST)'!L11-Budget!L11</f>
        <v/>
      </c>
      <c r="M11" s="12">
        <f>'Actual (ST)'!M11-Budget!M11</f>
        <v/>
      </c>
      <c r="N11" s="13">
        <f>'Actual (ST)'!N11-Budget!N11</f>
        <v/>
      </c>
    </row>
    <row r="12">
      <c r="A12" t="inlineStr">
        <is>
          <t>Crew</t>
        </is>
      </c>
      <c r="B12" s="12">
        <f>'Actual (ST)'!B12-Budget!B12</f>
        <v/>
      </c>
      <c r="C12" s="12">
        <f>'Actual (ST)'!C12-Budget!C12</f>
        <v/>
      </c>
      <c r="D12" s="12">
        <f>'Actual (ST)'!D12-Budget!D12</f>
        <v/>
      </c>
      <c r="E12" s="12">
        <f>'Actual (ST)'!E12-Budget!E12</f>
        <v/>
      </c>
      <c r="F12" s="12">
        <f>'Actual (ST)'!F12-Budget!F12</f>
        <v/>
      </c>
      <c r="G12" s="12">
        <f>'Actual (ST)'!G12-Budget!G12</f>
        <v/>
      </c>
      <c r="H12" s="12">
        <f>'Actual (ST)'!H12-Budget!H12</f>
        <v/>
      </c>
      <c r="I12" s="12">
        <f>'Actual (ST)'!I12-Budget!I12</f>
        <v/>
      </c>
      <c r="J12" s="12">
        <f>'Actual (ST)'!J12-Budget!J12</f>
        <v/>
      </c>
      <c r="K12" s="12">
        <f>'Actual (ST)'!K12-Budget!K12</f>
        <v/>
      </c>
      <c r="L12" s="12">
        <f>'Actual (ST)'!L12-Budget!L12</f>
        <v/>
      </c>
      <c r="M12" s="12">
        <f>'Actual (ST)'!M12-Budget!M12</f>
        <v/>
      </c>
      <c r="N12" s="13">
        <f>'Actual (ST)'!N12-Budget!N12</f>
        <v/>
      </c>
    </row>
    <row r="13">
      <c r="A13" t="inlineStr">
        <is>
          <t>Maintenance</t>
        </is>
      </c>
      <c r="B13" s="12">
        <f>'Actual (ST)'!B13-Budget!B13</f>
        <v/>
      </c>
      <c r="C13" s="12">
        <f>'Actual (ST)'!C13-Budget!C13</f>
        <v/>
      </c>
      <c r="D13" s="12">
        <f>'Actual (ST)'!D13-Budget!D13</f>
        <v/>
      </c>
      <c r="E13" s="12">
        <f>'Actual (ST)'!E13-Budget!E13</f>
        <v/>
      </c>
      <c r="F13" s="12">
        <f>'Actual (ST)'!F13-Budget!F13</f>
        <v/>
      </c>
      <c r="G13" s="12">
        <f>'Actual (ST)'!G13-Budget!G13</f>
        <v/>
      </c>
      <c r="H13" s="12">
        <f>'Actual (ST)'!H13-Budget!H13</f>
        <v/>
      </c>
      <c r="I13" s="12">
        <f>'Actual (ST)'!I13-Budget!I13</f>
        <v/>
      </c>
      <c r="J13" s="12">
        <f>'Actual (ST)'!J13-Budget!J13</f>
        <v/>
      </c>
      <c r="K13" s="12">
        <f>'Actual (ST)'!K13-Budget!K13</f>
        <v/>
      </c>
      <c r="L13" s="12">
        <f>'Actual (ST)'!L13-Budget!L13</f>
        <v/>
      </c>
      <c r="M13" s="12">
        <f>'Actual (ST)'!M13-Budget!M13</f>
        <v/>
      </c>
      <c r="N13" s="13">
        <f>'Actual (ST)'!N13-Budget!N13</f>
        <v/>
      </c>
    </row>
    <row r="14">
      <c r="A14" t="inlineStr">
        <is>
          <t>Airport &amp; Navigation</t>
        </is>
      </c>
      <c r="B14" s="12">
        <f>'Actual (ST)'!B14-Budget!B14</f>
        <v/>
      </c>
      <c r="C14" s="12">
        <f>'Actual (ST)'!C14-Budget!C14</f>
        <v/>
      </c>
      <c r="D14" s="12">
        <f>'Actual (ST)'!D14-Budget!D14</f>
        <v/>
      </c>
      <c r="E14" s="12">
        <f>'Actual (ST)'!E14-Budget!E14</f>
        <v/>
      </c>
      <c r="F14" s="12">
        <f>'Actual (ST)'!F14-Budget!F14</f>
        <v/>
      </c>
      <c r="G14" s="12">
        <f>'Actual (ST)'!G14-Budget!G14</f>
        <v/>
      </c>
      <c r="H14" s="12">
        <f>'Actual (ST)'!H14-Budget!H14</f>
        <v/>
      </c>
      <c r="I14" s="12">
        <f>'Actual (ST)'!I14-Budget!I14</f>
        <v/>
      </c>
      <c r="J14" s="12">
        <f>'Actual (ST)'!J14-Budget!J14</f>
        <v/>
      </c>
      <c r="K14" s="12">
        <f>'Actual (ST)'!K14-Budget!K14</f>
        <v/>
      </c>
      <c r="L14" s="12">
        <f>'Actual (ST)'!L14-Budget!L14</f>
        <v/>
      </c>
      <c r="M14" s="12">
        <f>'Actual (ST)'!M14-Budget!M14</f>
        <v/>
      </c>
      <c r="N14" s="13">
        <f>'Actual (ST)'!N14-Budget!N14</f>
        <v/>
      </c>
    </row>
    <row r="15">
      <c r="A15" t="inlineStr">
        <is>
          <t>Handling</t>
        </is>
      </c>
      <c r="B15" s="12">
        <f>'Actual (ST)'!B15-Budget!B15</f>
        <v/>
      </c>
      <c r="C15" s="12">
        <f>'Actual (ST)'!C15-Budget!C15</f>
        <v/>
      </c>
      <c r="D15" s="12">
        <f>'Actual (ST)'!D15-Budget!D15</f>
        <v/>
      </c>
      <c r="E15" s="12">
        <f>'Actual (ST)'!E15-Budget!E15</f>
        <v/>
      </c>
      <c r="F15" s="12">
        <f>'Actual (ST)'!F15-Budget!F15</f>
        <v/>
      </c>
      <c r="G15" s="12">
        <f>'Actual (ST)'!G15-Budget!G15</f>
        <v/>
      </c>
      <c r="H15" s="12">
        <f>'Actual (ST)'!H15-Budget!H15</f>
        <v/>
      </c>
      <c r="I15" s="12">
        <f>'Actual (ST)'!I15-Budget!I15</f>
        <v/>
      </c>
      <c r="J15" s="12">
        <f>'Actual (ST)'!J15-Budget!J15</f>
        <v/>
      </c>
      <c r="K15" s="12">
        <f>'Actual (ST)'!K15-Budget!K15</f>
        <v/>
      </c>
      <c r="L15" s="12">
        <f>'Actual (ST)'!L15-Budget!L15</f>
        <v/>
      </c>
      <c r="M15" s="12">
        <f>'Actual (ST)'!M15-Budget!M15</f>
        <v/>
      </c>
      <c r="N15" s="13">
        <f>'Actual (ST)'!N15-Budget!N15</f>
        <v/>
      </c>
    </row>
    <row r="16">
      <c r="A16" t="inlineStr">
        <is>
          <t>Sales &amp; Distribution</t>
        </is>
      </c>
      <c r="B16" s="12">
        <f>'Actual (ST)'!B16-Budget!B16</f>
        <v/>
      </c>
      <c r="C16" s="12">
        <f>'Actual (ST)'!C16-Budget!C16</f>
        <v/>
      </c>
      <c r="D16" s="12">
        <f>'Actual (ST)'!D16-Budget!D16</f>
        <v/>
      </c>
      <c r="E16" s="12">
        <f>'Actual (ST)'!E16-Budget!E16</f>
        <v/>
      </c>
      <c r="F16" s="12">
        <f>'Actual (ST)'!F16-Budget!F16</f>
        <v/>
      </c>
      <c r="G16" s="12">
        <f>'Actual (ST)'!G16-Budget!G16</f>
        <v/>
      </c>
      <c r="H16" s="12">
        <f>'Actual (ST)'!H16-Budget!H16</f>
        <v/>
      </c>
      <c r="I16" s="12">
        <f>'Actual (ST)'!I16-Budget!I16</f>
        <v/>
      </c>
      <c r="J16" s="12">
        <f>'Actual (ST)'!J16-Budget!J16</f>
        <v/>
      </c>
      <c r="K16" s="12">
        <f>'Actual (ST)'!K16-Budget!K16</f>
        <v/>
      </c>
      <c r="L16" s="12">
        <f>'Actual (ST)'!L16-Budget!L16</f>
        <v/>
      </c>
      <c r="M16" s="12">
        <f>'Actual (ST)'!M16-Budget!M16</f>
        <v/>
      </c>
      <c r="N16" s="13">
        <f>'Actual (ST)'!N16-Budget!N16</f>
        <v/>
      </c>
    </row>
    <row r="17">
      <c r="A17" t="inlineStr">
        <is>
          <t>G&amp;A</t>
        </is>
      </c>
      <c r="B17" s="12">
        <f>'Actual (ST)'!B17-Budget!B17</f>
        <v/>
      </c>
      <c r="C17" s="12">
        <f>'Actual (ST)'!C17-Budget!C17</f>
        <v/>
      </c>
      <c r="D17" s="12">
        <f>'Actual (ST)'!D17-Budget!D17</f>
        <v/>
      </c>
      <c r="E17" s="12">
        <f>'Actual (ST)'!E17-Budget!E17</f>
        <v/>
      </c>
      <c r="F17" s="12">
        <f>'Actual (ST)'!F17-Budget!F17</f>
        <v/>
      </c>
      <c r="G17" s="12">
        <f>'Actual (ST)'!G17-Budget!G17</f>
        <v/>
      </c>
      <c r="H17" s="12">
        <f>'Actual (ST)'!H17-Budget!H17</f>
        <v/>
      </c>
      <c r="I17" s="12">
        <f>'Actual (ST)'!I17-Budget!I17</f>
        <v/>
      </c>
      <c r="J17" s="12">
        <f>'Actual (ST)'!J17-Budget!J17</f>
        <v/>
      </c>
      <c r="K17" s="12">
        <f>'Actual (ST)'!K17-Budget!K17</f>
        <v/>
      </c>
      <c r="L17" s="12">
        <f>'Actual (ST)'!L17-Budget!L17</f>
        <v/>
      </c>
      <c r="M17" s="12">
        <f>'Actual (ST)'!M17-Budget!M17</f>
        <v/>
      </c>
      <c r="N17" s="13">
        <f>'Actual (ST)'!N17-Budget!N17</f>
        <v/>
      </c>
    </row>
    <row r="18">
      <c r="A18" s="16" t="inlineStr">
        <is>
          <t>EBITDA</t>
        </is>
      </c>
      <c r="B18" s="17">
        <f>'Actual (ST)'!B18-Budget!B18</f>
        <v/>
      </c>
      <c r="C18" s="17">
        <f>'Actual (ST)'!C18-Budget!C18</f>
        <v/>
      </c>
      <c r="D18" s="17">
        <f>'Actual (ST)'!D18-Budget!D18</f>
        <v/>
      </c>
      <c r="E18" s="17">
        <f>'Actual (ST)'!E18-Budget!E18</f>
        <v/>
      </c>
      <c r="F18" s="17">
        <f>'Actual (ST)'!F18-Budget!F18</f>
        <v/>
      </c>
      <c r="G18" s="17">
        <f>'Actual (ST)'!G18-Budget!G18</f>
        <v/>
      </c>
      <c r="H18" s="17">
        <f>'Actual (ST)'!H18-Budget!H18</f>
        <v/>
      </c>
      <c r="I18" s="17">
        <f>'Actual (ST)'!I18-Budget!I18</f>
        <v/>
      </c>
      <c r="J18" s="17">
        <f>'Actual (ST)'!J18-Budget!J18</f>
        <v/>
      </c>
      <c r="K18" s="17">
        <f>'Actual (ST)'!K18-Budget!K18</f>
        <v/>
      </c>
      <c r="L18" s="17">
        <f>'Actual (ST)'!L18-Budget!L18</f>
        <v/>
      </c>
      <c r="M18" s="17">
        <f>'Actual (ST)'!M18-Budget!M18</f>
        <v/>
      </c>
      <c r="N18" s="17">
        <f>'Actual (ST)'!N18-Budget!N18</f>
        <v/>
      </c>
    </row>
    <row r="19">
      <c r="A19" s="9" t="inlineStr">
        <is>
          <t>RESULTADO FINANCIERO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t="inlineStr">
        <is>
          <t>Interest</t>
        </is>
      </c>
      <c r="B20" s="12">
        <f>'Actual (ST)'!B20-Budget!B20</f>
        <v/>
      </c>
      <c r="C20" s="12">
        <f>'Actual (ST)'!C20-Budget!C20</f>
        <v/>
      </c>
      <c r="D20" s="12">
        <f>'Actual (ST)'!D20-Budget!D20</f>
        <v/>
      </c>
      <c r="E20" s="12">
        <f>'Actual (ST)'!E20-Budget!E20</f>
        <v/>
      </c>
      <c r="F20" s="12">
        <f>'Actual (ST)'!F20-Budget!F20</f>
        <v/>
      </c>
      <c r="G20" s="12">
        <f>'Actual (ST)'!G20-Budget!G20</f>
        <v/>
      </c>
      <c r="H20" s="12">
        <f>'Actual (ST)'!H20-Budget!H20</f>
        <v/>
      </c>
      <c r="I20" s="12">
        <f>'Actual (ST)'!I20-Budget!I20</f>
        <v/>
      </c>
      <c r="J20" s="12">
        <f>'Actual (ST)'!J20-Budget!J20</f>
        <v/>
      </c>
      <c r="K20" s="12">
        <f>'Actual (ST)'!K20-Budget!K20</f>
        <v/>
      </c>
      <c r="L20" s="12">
        <f>'Actual (ST)'!L20-Budget!L20</f>
        <v/>
      </c>
      <c r="M20" s="12">
        <f>'Actual (ST)'!M20-Budget!M20</f>
        <v/>
      </c>
      <c r="N20" s="13">
        <f>'Actual (ST)'!N20-Budget!N20</f>
        <v/>
      </c>
    </row>
    <row r="21">
      <c r="A21" s="18" t="inlineStr">
        <is>
          <t>EBT / RESULTADO NETO</t>
        </is>
      </c>
      <c r="B21" s="19">
        <f>'Actual (ST)'!B21-Budget!B21</f>
        <v/>
      </c>
      <c r="C21" s="19">
        <f>'Actual (ST)'!C21-Budget!C21</f>
        <v/>
      </c>
      <c r="D21" s="19">
        <f>'Actual (ST)'!D21-Budget!D21</f>
        <v/>
      </c>
      <c r="E21" s="19">
        <f>'Actual (ST)'!E21-Budget!E21</f>
        <v/>
      </c>
      <c r="F21" s="19">
        <f>'Actual (ST)'!F21-Budget!F21</f>
        <v/>
      </c>
      <c r="G21" s="19">
        <f>'Actual (ST)'!G21-Budget!G21</f>
        <v/>
      </c>
      <c r="H21" s="19">
        <f>'Actual (ST)'!H21-Budget!H21</f>
        <v/>
      </c>
      <c r="I21" s="19">
        <f>'Actual (ST)'!I21-Budget!I21</f>
        <v/>
      </c>
      <c r="J21" s="19">
        <f>'Actual (ST)'!J21-Budget!J21</f>
        <v/>
      </c>
      <c r="K21" s="19">
        <f>'Actual (ST)'!K21-Budget!K21</f>
        <v/>
      </c>
      <c r="L21" s="19">
        <f>'Actual (ST)'!L21-Budget!L21</f>
        <v/>
      </c>
      <c r="M21" s="19">
        <f>'Actual (ST)'!M21-Budget!M21</f>
        <v/>
      </c>
      <c r="N21" s="19">
        <f>'Actual (ST)'!N21-Budget!N21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>
      <c r="A1" s="7" t="inlineStr">
        <is>
          <t>VARIACIONES % (vs Budget)</t>
        </is>
      </c>
    </row>
    <row r="3">
      <c r="A3" s="9" t="inlineStr">
        <is>
          <t>Concepto</t>
        </is>
      </c>
      <c r="B3" s="10" t="inlineStr">
        <is>
          <t>Ene</t>
        </is>
      </c>
      <c r="C3" s="10" t="inlineStr">
        <is>
          <t>Feb</t>
        </is>
      </c>
      <c r="D3" s="10" t="inlineStr">
        <is>
          <t>Mar</t>
        </is>
      </c>
      <c r="E3" s="10" t="inlineStr">
        <is>
          <t>Abr</t>
        </is>
      </c>
      <c r="F3" s="10" t="inlineStr">
        <is>
          <t>May</t>
        </is>
      </c>
      <c r="G3" s="10" t="inlineStr">
        <is>
          <t>Jun</t>
        </is>
      </c>
      <c r="H3" s="10" t="inlineStr">
        <is>
          <t>Jul</t>
        </is>
      </c>
      <c r="I3" s="10" t="inlineStr">
        <is>
          <t>Ago</t>
        </is>
      </c>
      <c r="J3" s="10" t="inlineStr">
        <is>
          <t>Sep</t>
        </is>
      </c>
      <c r="K3" s="10" t="inlineStr">
        <is>
          <t>Oct</t>
        </is>
      </c>
      <c r="L3" s="10" t="inlineStr">
        <is>
          <t>Nov</t>
        </is>
      </c>
      <c r="M3" s="10" t="inlineStr">
        <is>
          <t>Dic</t>
        </is>
      </c>
      <c r="N3" s="10" t="inlineStr">
        <is>
          <t>FY Total</t>
        </is>
      </c>
    </row>
    <row r="4">
      <c r="A4" s="9" t="inlineStr">
        <is>
          <t>INGRESOS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>
      <c r="A5" t="inlineStr">
        <is>
          <t>Passenger Revenue</t>
        </is>
      </c>
      <c r="B5" s="20">
        <f>IF(Budget!B5=0,"",('Actual (ST)'!B5-Budget!B5)/ABS(Budget!B5))</f>
        <v/>
      </c>
      <c r="C5" s="20">
        <f>IF(Budget!C5=0,"",('Actual (ST)'!C5-Budget!C5)/ABS(Budget!C5))</f>
        <v/>
      </c>
      <c r="D5" s="20">
        <f>IF(Budget!D5=0,"",('Actual (ST)'!D5-Budget!D5)/ABS(Budget!D5))</f>
        <v/>
      </c>
      <c r="E5" s="20">
        <f>IF(Budget!E5=0,"",('Actual (ST)'!E5-Budget!E5)/ABS(Budget!E5))</f>
        <v/>
      </c>
      <c r="F5" s="20">
        <f>IF(Budget!F5=0,"",('Actual (ST)'!F5-Budget!F5)/ABS(Budget!F5))</f>
        <v/>
      </c>
      <c r="G5" s="20">
        <f>IF(Budget!G5=0,"",('Actual (ST)'!G5-Budget!G5)/ABS(Budget!G5))</f>
        <v/>
      </c>
      <c r="H5" s="20">
        <f>IF(Budget!H5=0,"",('Actual (ST)'!H5-Budget!H5)/ABS(Budget!H5))</f>
        <v/>
      </c>
      <c r="I5" s="20">
        <f>IF(Budget!I5=0,"",('Actual (ST)'!I5-Budget!I5)/ABS(Budget!I5))</f>
        <v/>
      </c>
      <c r="J5" s="20">
        <f>IF(Budget!J5=0,"",('Actual (ST)'!J5-Budget!J5)/ABS(Budget!J5))</f>
        <v/>
      </c>
      <c r="K5" s="20">
        <f>IF(Budget!K5=0,"",('Actual (ST)'!K5-Budget!K5)/ABS(Budget!K5))</f>
        <v/>
      </c>
      <c r="L5" s="20">
        <f>IF(Budget!L5=0,"",('Actual (ST)'!L5-Budget!L5)/ABS(Budget!L5))</f>
        <v/>
      </c>
      <c r="M5" s="20">
        <f>IF(Budget!M5=0,"",('Actual (ST)'!M5-Budget!M5)/ABS(Budget!M5))</f>
        <v/>
      </c>
      <c r="N5" s="21">
        <f>IF(Budget!N5=0,"",('Actual (ST)'!N5-Budget!N5)/ABS(Budget!N5))</f>
        <v/>
      </c>
    </row>
    <row r="6">
      <c r="A6" t="inlineStr">
        <is>
          <t>Shuttle</t>
        </is>
      </c>
      <c r="B6" s="20">
        <f>IF(Budget!B6=0,"",('Actual (ST)'!B6-Budget!B6)/ABS(Budget!B6))</f>
        <v/>
      </c>
      <c r="C6" s="20">
        <f>IF(Budget!C6=0,"",('Actual (ST)'!C6-Budget!C6)/ABS(Budget!C6))</f>
        <v/>
      </c>
      <c r="D6" s="20">
        <f>IF(Budget!D6=0,"",('Actual (ST)'!D6-Budget!D6)/ABS(Budget!D6))</f>
        <v/>
      </c>
      <c r="E6" s="20">
        <f>IF(Budget!E6=0,"",('Actual (ST)'!E6-Budget!E6)/ABS(Budget!E6))</f>
        <v/>
      </c>
      <c r="F6" s="20">
        <f>IF(Budget!F6=0,"",('Actual (ST)'!F6-Budget!F6)/ABS(Budget!F6))</f>
        <v/>
      </c>
      <c r="G6" s="20">
        <f>IF(Budget!G6=0,"",('Actual (ST)'!G6-Budget!G6)/ABS(Budget!G6))</f>
        <v/>
      </c>
      <c r="H6" s="20">
        <f>IF(Budget!H6=0,"",('Actual (ST)'!H6-Budget!H6)/ABS(Budget!H6))</f>
        <v/>
      </c>
      <c r="I6" s="20">
        <f>IF(Budget!I6=0,"",('Actual (ST)'!I6-Budget!I6)/ABS(Budget!I6))</f>
        <v/>
      </c>
      <c r="J6" s="20">
        <f>IF(Budget!J6=0,"",('Actual (ST)'!J6-Budget!J6)/ABS(Budget!J6))</f>
        <v/>
      </c>
      <c r="K6" s="20">
        <f>IF(Budget!K6=0,"",('Actual (ST)'!K6-Budget!K6)/ABS(Budget!K6))</f>
        <v/>
      </c>
      <c r="L6" s="20">
        <f>IF(Budget!L6=0,"",('Actual (ST)'!L6-Budget!L6)/ABS(Budget!L6))</f>
        <v/>
      </c>
      <c r="M6" s="20">
        <f>IF(Budget!M6=0,"",('Actual (ST)'!M6-Budget!M6)/ABS(Budget!M6))</f>
        <v/>
      </c>
      <c r="N6" s="21">
        <f>IF(Budget!N6=0,"",('Actual (ST)'!N6-Budget!N6)/ABS(Budget!N6))</f>
        <v/>
      </c>
    </row>
    <row r="7">
      <c r="A7" t="inlineStr">
        <is>
          <t>Charter</t>
        </is>
      </c>
      <c r="B7" s="20">
        <f>IF(Budget!B7=0,"",('Actual (ST)'!B7-Budget!B7)/ABS(Budget!B7))</f>
        <v/>
      </c>
      <c r="C7" s="20">
        <f>IF(Budget!C7=0,"",('Actual (ST)'!C7-Budget!C7)/ABS(Budget!C7))</f>
        <v/>
      </c>
      <c r="D7" s="20">
        <f>IF(Budget!D7=0,"",('Actual (ST)'!D7-Budget!D7)/ABS(Budget!D7))</f>
        <v/>
      </c>
      <c r="E7" s="20">
        <f>IF(Budget!E7=0,"",('Actual (ST)'!E7-Budget!E7)/ABS(Budget!E7))</f>
        <v/>
      </c>
      <c r="F7" s="20">
        <f>IF(Budget!F7=0,"",('Actual (ST)'!F7-Budget!F7)/ABS(Budget!F7))</f>
        <v/>
      </c>
      <c r="G7" s="20">
        <f>IF(Budget!G7=0,"",('Actual (ST)'!G7-Budget!G7)/ABS(Budget!G7))</f>
        <v/>
      </c>
      <c r="H7" s="20">
        <f>IF(Budget!H7=0,"",('Actual (ST)'!H7-Budget!H7)/ABS(Budget!H7))</f>
        <v/>
      </c>
      <c r="I7" s="20">
        <f>IF(Budget!I7=0,"",('Actual (ST)'!I7-Budget!I7)/ABS(Budget!I7))</f>
        <v/>
      </c>
      <c r="J7" s="20">
        <f>IF(Budget!J7=0,"",('Actual (ST)'!J7-Budget!J7)/ABS(Budget!J7))</f>
        <v/>
      </c>
      <c r="K7" s="20">
        <f>IF(Budget!K7=0,"",('Actual (ST)'!K7-Budget!K7)/ABS(Budget!K7))</f>
        <v/>
      </c>
      <c r="L7" s="20">
        <f>IF(Budget!L7=0,"",('Actual (ST)'!L7-Budget!L7)/ABS(Budget!L7))</f>
        <v/>
      </c>
      <c r="M7" s="20">
        <f>IF(Budget!M7=0,"",('Actual (ST)'!M7-Budget!M7)/ABS(Budget!M7))</f>
        <v/>
      </c>
      <c r="N7" s="21">
        <f>IF(Budget!N7=0,"",('Actual (ST)'!N7-Budget!N7)/ABS(Budget!N7))</f>
        <v/>
      </c>
    </row>
    <row r="8">
      <c r="A8" t="inlineStr">
        <is>
          <t>Ancillary Revenue</t>
        </is>
      </c>
      <c r="B8" s="20">
        <f>IF(Budget!B8=0,"",('Actual (ST)'!B8-Budget!B8)/ABS(Budget!B8))</f>
        <v/>
      </c>
      <c r="C8" s="20">
        <f>IF(Budget!C8=0,"",('Actual (ST)'!C8-Budget!C8)/ABS(Budget!C8))</f>
        <v/>
      </c>
      <c r="D8" s="20">
        <f>IF(Budget!D8=0,"",('Actual (ST)'!D8-Budget!D8)/ABS(Budget!D8))</f>
        <v/>
      </c>
      <c r="E8" s="20">
        <f>IF(Budget!E8=0,"",('Actual (ST)'!E8-Budget!E8)/ABS(Budget!E8))</f>
        <v/>
      </c>
      <c r="F8" s="20">
        <f>IF(Budget!F8=0,"",('Actual (ST)'!F8-Budget!F8)/ABS(Budget!F8))</f>
        <v/>
      </c>
      <c r="G8" s="20">
        <f>IF(Budget!G8=0,"",('Actual (ST)'!G8-Budget!G8)/ABS(Budget!G8))</f>
        <v/>
      </c>
      <c r="H8" s="20">
        <f>IF(Budget!H8=0,"",('Actual (ST)'!H8-Budget!H8)/ABS(Budget!H8))</f>
        <v/>
      </c>
      <c r="I8" s="20">
        <f>IF(Budget!I8=0,"",('Actual (ST)'!I8-Budget!I8)/ABS(Budget!I8))</f>
        <v/>
      </c>
      <c r="J8" s="20">
        <f>IF(Budget!J8=0,"",('Actual (ST)'!J8-Budget!J8)/ABS(Budget!J8))</f>
        <v/>
      </c>
      <c r="K8" s="20">
        <f>IF(Budget!K8=0,"",('Actual (ST)'!K8-Budget!K8)/ABS(Budget!K8))</f>
        <v/>
      </c>
      <c r="L8" s="20">
        <f>IF(Budget!L8=0,"",('Actual (ST)'!L8-Budget!L8)/ABS(Budget!L8))</f>
        <v/>
      </c>
      <c r="M8" s="20">
        <f>IF(Budget!M8=0,"",('Actual (ST)'!M8-Budget!M8)/ABS(Budget!M8))</f>
        <v/>
      </c>
      <c r="N8" s="21">
        <f>IF(Budget!N8=0,"",('Actual (ST)'!N8-Budget!N8)/ABS(Budget!N8))</f>
        <v/>
      </c>
    </row>
    <row r="9">
      <c r="A9" s="14" t="inlineStr">
        <is>
          <t>Total Revenue</t>
        </is>
      </c>
      <c r="B9" s="22">
        <f>IF(Budget!B9=0,"",('Actual (ST)'!B9-Budget!B9)/ABS(Budget!B9))</f>
        <v/>
      </c>
      <c r="C9" s="22">
        <f>IF(Budget!C9=0,"",('Actual (ST)'!C9-Budget!C9)/ABS(Budget!C9))</f>
        <v/>
      </c>
      <c r="D9" s="22">
        <f>IF(Budget!D9=0,"",('Actual (ST)'!D9-Budget!D9)/ABS(Budget!D9))</f>
        <v/>
      </c>
      <c r="E9" s="22">
        <f>IF(Budget!E9=0,"",('Actual (ST)'!E9-Budget!E9)/ABS(Budget!E9))</f>
        <v/>
      </c>
      <c r="F9" s="22">
        <f>IF(Budget!F9=0,"",('Actual (ST)'!F9-Budget!F9)/ABS(Budget!F9))</f>
        <v/>
      </c>
      <c r="G9" s="22">
        <f>IF(Budget!G9=0,"",('Actual (ST)'!G9-Budget!G9)/ABS(Budget!G9))</f>
        <v/>
      </c>
      <c r="H9" s="22">
        <f>IF(Budget!H9=0,"",('Actual (ST)'!H9-Budget!H9)/ABS(Budget!H9))</f>
        <v/>
      </c>
      <c r="I9" s="22">
        <f>IF(Budget!I9=0,"",('Actual (ST)'!I9-Budget!I9)/ABS(Budget!I9))</f>
        <v/>
      </c>
      <c r="J9" s="22">
        <f>IF(Budget!J9=0,"",('Actual (ST)'!J9-Budget!J9)/ABS(Budget!J9))</f>
        <v/>
      </c>
      <c r="K9" s="22">
        <f>IF(Budget!K9=0,"",('Actual (ST)'!K9-Budget!K9)/ABS(Budget!K9))</f>
        <v/>
      </c>
      <c r="L9" s="22">
        <f>IF(Budget!L9=0,"",('Actual (ST)'!L9-Budget!L9)/ABS(Budget!L9))</f>
        <v/>
      </c>
      <c r="M9" s="22">
        <f>IF(Budget!M9=0,"",('Actual (ST)'!M9-Budget!M9)/ABS(Budget!M9))</f>
        <v/>
      </c>
      <c r="N9" s="22">
        <f>IF(Budget!N9=0,"",('Actual (ST)'!N9-Budget!N9)/ABS(Budget!N9))</f>
        <v/>
      </c>
    </row>
    <row r="10">
      <c r="A10" s="9" t="inlineStr">
        <is>
          <t>COSTES OPERATIVOS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>
      <c r="A11" t="inlineStr">
        <is>
          <t>Fuel</t>
        </is>
      </c>
      <c r="B11" s="20">
        <f>IF(Budget!B11=0,"",('Actual (ST)'!B11-Budget!B11)/ABS(Budget!B11))</f>
        <v/>
      </c>
      <c r="C11" s="20">
        <f>IF(Budget!C11=0,"",('Actual (ST)'!C11-Budget!C11)/ABS(Budget!C11))</f>
        <v/>
      </c>
      <c r="D11" s="20">
        <f>IF(Budget!D11=0,"",('Actual (ST)'!D11-Budget!D11)/ABS(Budget!D11))</f>
        <v/>
      </c>
      <c r="E11" s="20">
        <f>IF(Budget!E11=0,"",('Actual (ST)'!E11-Budget!E11)/ABS(Budget!E11))</f>
        <v/>
      </c>
      <c r="F11" s="20">
        <f>IF(Budget!F11=0,"",('Actual (ST)'!F11-Budget!F11)/ABS(Budget!F11))</f>
        <v/>
      </c>
      <c r="G11" s="20">
        <f>IF(Budget!G11=0,"",('Actual (ST)'!G11-Budget!G11)/ABS(Budget!G11))</f>
        <v/>
      </c>
      <c r="H11" s="20">
        <f>IF(Budget!H11=0,"",('Actual (ST)'!H11-Budget!H11)/ABS(Budget!H11))</f>
        <v/>
      </c>
      <c r="I11" s="20">
        <f>IF(Budget!I11=0,"",('Actual (ST)'!I11-Budget!I11)/ABS(Budget!I11))</f>
        <v/>
      </c>
      <c r="J11" s="20">
        <f>IF(Budget!J11=0,"",('Actual (ST)'!J11-Budget!J11)/ABS(Budget!J11))</f>
        <v/>
      </c>
      <c r="K11" s="20">
        <f>IF(Budget!K11=0,"",('Actual (ST)'!K11-Budget!K11)/ABS(Budget!K11))</f>
        <v/>
      </c>
      <c r="L11" s="20">
        <f>IF(Budget!L11=0,"",('Actual (ST)'!L11-Budget!L11)/ABS(Budget!L11))</f>
        <v/>
      </c>
      <c r="M11" s="20">
        <f>IF(Budget!M11=0,"",('Actual (ST)'!M11-Budget!M11)/ABS(Budget!M11))</f>
        <v/>
      </c>
      <c r="N11" s="21">
        <f>IF(Budget!N11=0,"",('Actual (ST)'!N11-Budget!N11)/ABS(Budget!N11))</f>
        <v/>
      </c>
    </row>
    <row r="12">
      <c r="A12" t="inlineStr">
        <is>
          <t>Crew</t>
        </is>
      </c>
      <c r="B12" s="20">
        <f>IF(Budget!B12=0,"",('Actual (ST)'!B12-Budget!B12)/ABS(Budget!B12))</f>
        <v/>
      </c>
      <c r="C12" s="20">
        <f>IF(Budget!C12=0,"",('Actual (ST)'!C12-Budget!C12)/ABS(Budget!C12))</f>
        <v/>
      </c>
      <c r="D12" s="20">
        <f>IF(Budget!D12=0,"",('Actual (ST)'!D12-Budget!D12)/ABS(Budget!D12))</f>
        <v/>
      </c>
      <c r="E12" s="20">
        <f>IF(Budget!E12=0,"",('Actual (ST)'!E12-Budget!E12)/ABS(Budget!E12))</f>
        <v/>
      </c>
      <c r="F12" s="20">
        <f>IF(Budget!F12=0,"",('Actual (ST)'!F12-Budget!F12)/ABS(Budget!F12))</f>
        <v/>
      </c>
      <c r="G12" s="20">
        <f>IF(Budget!G12=0,"",('Actual (ST)'!G12-Budget!G12)/ABS(Budget!G12))</f>
        <v/>
      </c>
      <c r="H12" s="20">
        <f>IF(Budget!H12=0,"",('Actual (ST)'!H12-Budget!H12)/ABS(Budget!H12))</f>
        <v/>
      </c>
      <c r="I12" s="20">
        <f>IF(Budget!I12=0,"",('Actual (ST)'!I12-Budget!I12)/ABS(Budget!I12))</f>
        <v/>
      </c>
      <c r="J12" s="20">
        <f>IF(Budget!J12=0,"",('Actual (ST)'!J12-Budget!J12)/ABS(Budget!J12))</f>
        <v/>
      </c>
      <c r="K12" s="20">
        <f>IF(Budget!K12=0,"",('Actual (ST)'!K12-Budget!K12)/ABS(Budget!K12))</f>
        <v/>
      </c>
      <c r="L12" s="20">
        <f>IF(Budget!L12=0,"",('Actual (ST)'!L12-Budget!L12)/ABS(Budget!L12))</f>
        <v/>
      </c>
      <c r="M12" s="20">
        <f>IF(Budget!M12=0,"",('Actual (ST)'!M12-Budget!M12)/ABS(Budget!M12))</f>
        <v/>
      </c>
      <c r="N12" s="21">
        <f>IF(Budget!N12=0,"",('Actual (ST)'!N12-Budget!N12)/ABS(Budget!N12))</f>
        <v/>
      </c>
    </row>
    <row r="13">
      <c r="A13" t="inlineStr">
        <is>
          <t>Maintenance</t>
        </is>
      </c>
      <c r="B13" s="20">
        <f>IF(Budget!B13=0,"",('Actual (ST)'!B13-Budget!B13)/ABS(Budget!B13))</f>
        <v/>
      </c>
      <c r="C13" s="20">
        <f>IF(Budget!C13=0,"",('Actual (ST)'!C13-Budget!C13)/ABS(Budget!C13))</f>
        <v/>
      </c>
      <c r="D13" s="20">
        <f>IF(Budget!D13=0,"",('Actual (ST)'!D13-Budget!D13)/ABS(Budget!D13))</f>
        <v/>
      </c>
      <c r="E13" s="20">
        <f>IF(Budget!E13=0,"",('Actual (ST)'!E13-Budget!E13)/ABS(Budget!E13))</f>
        <v/>
      </c>
      <c r="F13" s="20">
        <f>IF(Budget!F13=0,"",('Actual (ST)'!F13-Budget!F13)/ABS(Budget!F13))</f>
        <v/>
      </c>
      <c r="G13" s="20">
        <f>IF(Budget!G13=0,"",('Actual (ST)'!G13-Budget!G13)/ABS(Budget!G13))</f>
        <v/>
      </c>
      <c r="H13" s="20">
        <f>IF(Budget!H13=0,"",('Actual (ST)'!H13-Budget!H13)/ABS(Budget!H13))</f>
        <v/>
      </c>
      <c r="I13" s="20">
        <f>IF(Budget!I13=0,"",('Actual (ST)'!I13-Budget!I13)/ABS(Budget!I13))</f>
        <v/>
      </c>
      <c r="J13" s="20">
        <f>IF(Budget!J13=0,"",('Actual (ST)'!J13-Budget!J13)/ABS(Budget!J13))</f>
        <v/>
      </c>
      <c r="K13" s="20">
        <f>IF(Budget!K13=0,"",('Actual (ST)'!K13-Budget!K13)/ABS(Budget!K13))</f>
        <v/>
      </c>
      <c r="L13" s="20">
        <f>IF(Budget!L13=0,"",('Actual (ST)'!L13-Budget!L13)/ABS(Budget!L13))</f>
        <v/>
      </c>
      <c r="M13" s="20">
        <f>IF(Budget!M13=0,"",('Actual (ST)'!M13-Budget!M13)/ABS(Budget!M13))</f>
        <v/>
      </c>
      <c r="N13" s="21">
        <f>IF(Budget!N13=0,"",('Actual (ST)'!N13-Budget!N13)/ABS(Budget!N13))</f>
        <v/>
      </c>
    </row>
    <row r="14">
      <c r="A14" t="inlineStr">
        <is>
          <t>Airport &amp; Navigation</t>
        </is>
      </c>
      <c r="B14" s="20">
        <f>IF(Budget!B14=0,"",('Actual (ST)'!B14-Budget!B14)/ABS(Budget!B14))</f>
        <v/>
      </c>
      <c r="C14" s="20">
        <f>IF(Budget!C14=0,"",('Actual (ST)'!C14-Budget!C14)/ABS(Budget!C14))</f>
        <v/>
      </c>
      <c r="D14" s="20">
        <f>IF(Budget!D14=0,"",('Actual (ST)'!D14-Budget!D14)/ABS(Budget!D14))</f>
        <v/>
      </c>
      <c r="E14" s="20">
        <f>IF(Budget!E14=0,"",('Actual (ST)'!E14-Budget!E14)/ABS(Budget!E14))</f>
        <v/>
      </c>
      <c r="F14" s="20">
        <f>IF(Budget!F14=0,"",('Actual (ST)'!F14-Budget!F14)/ABS(Budget!F14))</f>
        <v/>
      </c>
      <c r="G14" s="20">
        <f>IF(Budget!G14=0,"",('Actual (ST)'!G14-Budget!G14)/ABS(Budget!G14))</f>
        <v/>
      </c>
      <c r="H14" s="20">
        <f>IF(Budget!H14=0,"",('Actual (ST)'!H14-Budget!H14)/ABS(Budget!H14))</f>
        <v/>
      </c>
      <c r="I14" s="20">
        <f>IF(Budget!I14=0,"",('Actual (ST)'!I14-Budget!I14)/ABS(Budget!I14))</f>
        <v/>
      </c>
      <c r="J14" s="20">
        <f>IF(Budget!J14=0,"",('Actual (ST)'!J14-Budget!J14)/ABS(Budget!J14))</f>
        <v/>
      </c>
      <c r="K14" s="20">
        <f>IF(Budget!K14=0,"",('Actual (ST)'!K14-Budget!K14)/ABS(Budget!K14))</f>
        <v/>
      </c>
      <c r="L14" s="20">
        <f>IF(Budget!L14=0,"",('Actual (ST)'!L14-Budget!L14)/ABS(Budget!L14))</f>
        <v/>
      </c>
      <c r="M14" s="20">
        <f>IF(Budget!M14=0,"",('Actual (ST)'!M14-Budget!M14)/ABS(Budget!M14))</f>
        <v/>
      </c>
      <c r="N14" s="21">
        <f>IF(Budget!N14=0,"",('Actual (ST)'!N14-Budget!N14)/ABS(Budget!N14))</f>
        <v/>
      </c>
    </row>
    <row r="15">
      <c r="A15" t="inlineStr">
        <is>
          <t>Handling</t>
        </is>
      </c>
      <c r="B15" s="20">
        <f>IF(Budget!B15=0,"",('Actual (ST)'!B15-Budget!B15)/ABS(Budget!B15))</f>
        <v/>
      </c>
      <c r="C15" s="20">
        <f>IF(Budget!C15=0,"",('Actual (ST)'!C15-Budget!C15)/ABS(Budget!C15))</f>
        <v/>
      </c>
      <c r="D15" s="20">
        <f>IF(Budget!D15=0,"",('Actual (ST)'!D15-Budget!D15)/ABS(Budget!D15))</f>
        <v/>
      </c>
      <c r="E15" s="20">
        <f>IF(Budget!E15=0,"",('Actual (ST)'!E15-Budget!E15)/ABS(Budget!E15))</f>
        <v/>
      </c>
      <c r="F15" s="20">
        <f>IF(Budget!F15=0,"",('Actual (ST)'!F15-Budget!F15)/ABS(Budget!F15))</f>
        <v/>
      </c>
      <c r="G15" s="20">
        <f>IF(Budget!G15=0,"",('Actual (ST)'!G15-Budget!G15)/ABS(Budget!G15))</f>
        <v/>
      </c>
      <c r="H15" s="20">
        <f>IF(Budget!H15=0,"",('Actual (ST)'!H15-Budget!H15)/ABS(Budget!H15))</f>
        <v/>
      </c>
      <c r="I15" s="20">
        <f>IF(Budget!I15=0,"",('Actual (ST)'!I15-Budget!I15)/ABS(Budget!I15))</f>
        <v/>
      </c>
      <c r="J15" s="20">
        <f>IF(Budget!J15=0,"",('Actual (ST)'!J15-Budget!J15)/ABS(Budget!J15))</f>
        <v/>
      </c>
      <c r="K15" s="20">
        <f>IF(Budget!K15=0,"",('Actual (ST)'!K15-Budget!K15)/ABS(Budget!K15))</f>
        <v/>
      </c>
      <c r="L15" s="20">
        <f>IF(Budget!L15=0,"",('Actual (ST)'!L15-Budget!L15)/ABS(Budget!L15))</f>
        <v/>
      </c>
      <c r="M15" s="20">
        <f>IF(Budget!M15=0,"",('Actual (ST)'!M15-Budget!M15)/ABS(Budget!M15))</f>
        <v/>
      </c>
      <c r="N15" s="21">
        <f>IF(Budget!N15=0,"",('Actual (ST)'!N15-Budget!N15)/ABS(Budget!N15))</f>
        <v/>
      </c>
    </row>
    <row r="16">
      <c r="A16" t="inlineStr">
        <is>
          <t>Sales &amp; Distribution</t>
        </is>
      </c>
      <c r="B16" s="20">
        <f>IF(Budget!B16=0,"",('Actual (ST)'!B16-Budget!B16)/ABS(Budget!B16))</f>
        <v/>
      </c>
      <c r="C16" s="20">
        <f>IF(Budget!C16=0,"",('Actual (ST)'!C16-Budget!C16)/ABS(Budget!C16))</f>
        <v/>
      </c>
      <c r="D16" s="20">
        <f>IF(Budget!D16=0,"",('Actual (ST)'!D16-Budget!D16)/ABS(Budget!D16))</f>
        <v/>
      </c>
      <c r="E16" s="20">
        <f>IF(Budget!E16=0,"",('Actual (ST)'!E16-Budget!E16)/ABS(Budget!E16))</f>
        <v/>
      </c>
      <c r="F16" s="20">
        <f>IF(Budget!F16=0,"",('Actual (ST)'!F16-Budget!F16)/ABS(Budget!F16))</f>
        <v/>
      </c>
      <c r="G16" s="20">
        <f>IF(Budget!G16=0,"",('Actual (ST)'!G16-Budget!G16)/ABS(Budget!G16))</f>
        <v/>
      </c>
      <c r="H16" s="20">
        <f>IF(Budget!H16=0,"",('Actual (ST)'!H16-Budget!H16)/ABS(Budget!H16))</f>
        <v/>
      </c>
      <c r="I16" s="20">
        <f>IF(Budget!I16=0,"",('Actual (ST)'!I16-Budget!I16)/ABS(Budget!I16))</f>
        <v/>
      </c>
      <c r="J16" s="20">
        <f>IF(Budget!J16=0,"",('Actual (ST)'!J16-Budget!J16)/ABS(Budget!J16))</f>
        <v/>
      </c>
      <c r="K16" s="20">
        <f>IF(Budget!K16=0,"",('Actual (ST)'!K16-Budget!K16)/ABS(Budget!K16))</f>
        <v/>
      </c>
      <c r="L16" s="20">
        <f>IF(Budget!L16=0,"",('Actual (ST)'!L16-Budget!L16)/ABS(Budget!L16))</f>
        <v/>
      </c>
      <c r="M16" s="20">
        <f>IF(Budget!M16=0,"",('Actual (ST)'!M16-Budget!M16)/ABS(Budget!M16))</f>
        <v/>
      </c>
      <c r="N16" s="21">
        <f>IF(Budget!N16=0,"",('Actual (ST)'!N16-Budget!N16)/ABS(Budget!N16))</f>
        <v/>
      </c>
    </row>
    <row r="17">
      <c r="A17" t="inlineStr">
        <is>
          <t>G&amp;A</t>
        </is>
      </c>
      <c r="B17" s="20">
        <f>IF(Budget!B17=0,"",('Actual (ST)'!B17-Budget!B17)/ABS(Budget!B17))</f>
        <v/>
      </c>
      <c r="C17" s="20">
        <f>IF(Budget!C17=0,"",('Actual (ST)'!C17-Budget!C17)/ABS(Budget!C17))</f>
        <v/>
      </c>
      <c r="D17" s="20">
        <f>IF(Budget!D17=0,"",('Actual (ST)'!D17-Budget!D17)/ABS(Budget!D17))</f>
        <v/>
      </c>
      <c r="E17" s="20">
        <f>IF(Budget!E17=0,"",('Actual (ST)'!E17-Budget!E17)/ABS(Budget!E17))</f>
        <v/>
      </c>
      <c r="F17" s="20">
        <f>IF(Budget!F17=0,"",('Actual (ST)'!F17-Budget!F17)/ABS(Budget!F17))</f>
        <v/>
      </c>
      <c r="G17" s="20">
        <f>IF(Budget!G17=0,"",('Actual (ST)'!G17-Budget!G17)/ABS(Budget!G17))</f>
        <v/>
      </c>
      <c r="H17" s="20">
        <f>IF(Budget!H17=0,"",('Actual (ST)'!H17-Budget!H17)/ABS(Budget!H17))</f>
        <v/>
      </c>
      <c r="I17" s="20">
        <f>IF(Budget!I17=0,"",('Actual (ST)'!I17-Budget!I17)/ABS(Budget!I17))</f>
        <v/>
      </c>
      <c r="J17" s="20">
        <f>IF(Budget!J17=0,"",('Actual (ST)'!J17-Budget!J17)/ABS(Budget!J17))</f>
        <v/>
      </c>
      <c r="K17" s="20">
        <f>IF(Budget!K17=0,"",('Actual (ST)'!K17-Budget!K17)/ABS(Budget!K17))</f>
        <v/>
      </c>
      <c r="L17" s="20">
        <f>IF(Budget!L17=0,"",('Actual (ST)'!L17-Budget!L17)/ABS(Budget!L17))</f>
        <v/>
      </c>
      <c r="M17" s="20">
        <f>IF(Budget!M17=0,"",('Actual (ST)'!M17-Budget!M17)/ABS(Budget!M17))</f>
        <v/>
      </c>
      <c r="N17" s="21">
        <f>IF(Budget!N17=0,"",('Actual (ST)'!N17-Budget!N17)/ABS(Budget!N17))</f>
        <v/>
      </c>
    </row>
    <row r="18">
      <c r="A18" s="16" t="inlineStr">
        <is>
          <t>EBITDA</t>
        </is>
      </c>
      <c r="B18" s="23">
        <f>IF(Budget!B18=0,"",('Actual (ST)'!B18-Budget!B18)/ABS(Budget!B18))</f>
        <v/>
      </c>
      <c r="C18" s="23">
        <f>IF(Budget!C18=0,"",('Actual (ST)'!C18-Budget!C18)/ABS(Budget!C18))</f>
        <v/>
      </c>
      <c r="D18" s="23">
        <f>IF(Budget!D18=0,"",('Actual (ST)'!D18-Budget!D18)/ABS(Budget!D18))</f>
        <v/>
      </c>
      <c r="E18" s="23">
        <f>IF(Budget!E18=0,"",('Actual (ST)'!E18-Budget!E18)/ABS(Budget!E18))</f>
        <v/>
      </c>
      <c r="F18" s="23">
        <f>IF(Budget!F18=0,"",('Actual (ST)'!F18-Budget!F18)/ABS(Budget!F18))</f>
        <v/>
      </c>
      <c r="G18" s="23">
        <f>IF(Budget!G18=0,"",('Actual (ST)'!G18-Budget!G18)/ABS(Budget!G18))</f>
        <v/>
      </c>
      <c r="H18" s="23">
        <f>IF(Budget!H18=0,"",('Actual (ST)'!H18-Budget!H18)/ABS(Budget!H18))</f>
        <v/>
      </c>
      <c r="I18" s="23">
        <f>IF(Budget!I18=0,"",('Actual (ST)'!I18-Budget!I18)/ABS(Budget!I18))</f>
        <v/>
      </c>
      <c r="J18" s="23">
        <f>IF(Budget!J18=0,"",('Actual (ST)'!J18-Budget!J18)/ABS(Budget!J18))</f>
        <v/>
      </c>
      <c r="K18" s="23">
        <f>IF(Budget!K18=0,"",('Actual (ST)'!K18-Budget!K18)/ABS(Budget!K18))</f>
        <v/>
      </c>
      <c r="L18" s="23">
        <f>IF(Budget!L18=0,"",('Actual (ST)'!L18-Budget!L18)/ABS(Budget!L18))</f>
        <v/>
      </c>
      <c r="M18" s="23">
        <f>IF(Budget!M18=0,"",('Actual (ST)'!M18-Budget!M18)/ABS(Budget!M18))</f>
        <v/>
      </c>
      <c r="N18" s="23">
        <f>IF(Budget!N18=0,"",('Actual (ST)'!N18-Budget!N18)/ABS(Budget!N18))</f>
        <v/>
      </c>
    </row>
    <row r="19">
      <c r="A19" s="9" t="inlineStr">
        <is>
          <t>RESULTADO FINANCIERO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>
      <c r="A20" t="inlineStr">
        <is>
          <t>Interest</t>
        </is>
      </c>
      <c r="B20" s="20">
        <f>IF(Budget!B20=0,"",('Actual (ST)'!B20-Budget!B20)/ABS(Budget!B20))</f>
        <v/>
      </c>
      <c r="C20" s="20">
        <f>IF(Budget!C20=0,"",('Actual (ST)'!C20-Budget!C20)/ABS(Budget!C20))</f>
        <v/>
      </c>
      <c r="D20" s="20">
        <f>IF(Budget!D20=0,"",('Actual (ST)'!D20-Budget!D20)/ABS(Budget!D20))</f>
        <v/>
      </c>
      <c r="E20" s="20">
        <f>IF(Budget!E20=0,"",('Actual (ST)'!E20-Budget!E20)/ABS(Budget!E20))</f>
        <v/>
      </c>
      <c r="F20" s="20">
        <f>IF(Budget!F20=0,"",('Actual (ST)'!F20-Budget!F20)/ABS(Budget!F20))</f>
        <v/>
      </c>
      <c r="G20" s="20">
        <f>IF(Budget!G20=0,"",('Actual (ST)'!G20-Budget!G20)/ABS(Budget!G20))</f>
        <v/>
      </c>
      <c r="H20" s="20">
        <f>IF(Budget!H20=0,"",('Actual (ST)'!H20-Budget!H20)/ABS(Budget!H20))</f>
        <v/>
      </c>
      <c r="I20" s="20">
        <f>IF(Budget!I20=0,"",('Actual (ST)'!I20-Budget!I20)/ABS(Budget!I20))</f>
        <v/>
      </c>
      <c r="J20" s="20">
        <f>IF(Budget!J20=0,"",('Actual (ST)'!J20-Budget!J20)/ABS(Budget!J20))</f>
        <v/>
      </c>
      <c r="K20" s="20">
        <f>IF(Budget!K20=0,"",('Actual (ST)'!K20-Budget!K20)/ABS(Budget!K20))</f>
        <v/>
      </c>
      <c r="L20" s="20">
        <f>IF(Budget!L20=0,"",('Actual (ST)'!L20-Budget!L20)/ABS(Budget!L20))</f>
        <v/>
      </c>
      <c r="M20" s="20">
        <f>IF(Budget!M20=0,"",('Actual (ST)'!M20-Budget!M20)/ABS(Budget!M20))</f>
        <v/>
      </c>
      <c r="N20" s="21">
        <f>IF(Budget!N20=0,"",('Actual (ST)'!N20-Budget!N20)/ABS(Budget!N20))</f>
        <v/>
      </c>
    </row>
    <row r="21">
      <c r="A21" s="18" t="inlineStr">
        <is>
          <t>EBT / RESULTADO NETO</t>
        </is>
      </c>
      <c r="B21" s="24">
        <f>IF(Budget!B21=0,"",('Actual (ST)'!B21-Budget!B21)/ABS(Budget!B21))</f>
        <v/>
      </c>
      <c r="C21" s="24">
        <f>IF(Budget!C21=0,"",('Actual (ST)'!C21-Budget!C21)/ABS(Budget!C21))</f>
        <v/>
      </c>
      <c r="D21" s="24">
        <f>IF(Budget!D21=0,"",('Actual (ST)'!D21-Budget!D21)/ABS(Budget!D21))</f>
        <v/>
      </c>
      <c r="E21" s="24">
        <f>IF(Budget!E21=0,"",('Actual (ST)'!E21-Budget!E21)/ABS(Budget!E21))</f>
        <v/>
      </c>
      <c r="F21" s="24">
        <f>IF(Budget!F21=0,"",('Actual (ST)'!F21-Budget!F21)/ABS(Budget!F21))</f>
        <v/>
      </c>
      <c r="G21" s="24">
        <f>IF(Budget!G21=0,"",('Actual (ST)'!G21-Budget!G21)/ABS(Budget!G21))</f>
        <v/>
      </c>
      <c r="H21" s="24">
        <f>IF(Budget!H21=0,"",('Actual (ST)'!H21-Budget!H21)/ABS(Budget!H21))</f>
        <v/>
      </c>
      <c r="I21" s="24">
        <f>IF(Budget!I21=0,"",('Actual (ST)'!I21-Budget!I21)/ABS(Budget!I21))</f>
        <v/>
      </c>
      <c r="J21" s="24">
        <f>IF(Budget!J21=0,"",('Actual (ST)'!J21-Budget!J21)/ABS(Budget!J21))</f>
        <v/>
      </c>
      <c r="K21" s="24">
        <f>IF(Budget!K21=0,"",('Actual (ST)'!K21-Budget!K21)/ABS(Budget!K21))</f>
        <v/>
      </c>
      <c r="L21" s="24">
        <f>IF(Budget!L21=0,"",('Actual (ST)'!L21-Budget!L21)/ABS(Budget!L21))</f>
        <v/>
      </c>
      <c r="M21" s="24">
        <f>IF(Budget!M21=0,"",('Actual (ST)'!M21-Budget!M21)/ABS(Budget!M21))</f>
        <v/>
      </c>
      <c r="N21" s="24">
        <f>IF(Budget!N21=0,"",('Actual (ST)'!N21-Budget!N21)/ABS(Budget!N21))</f>
        <v/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DASHBOARD — Junio 2026 (Budget vs Actual)</t>
        </is>
      </c>
    </row>
    <row r="3">
      <c r="A3" s="10" t="inlineStr">
        <is>
          <t>Concepto</t>
        </is>
      </c>
      <c r="B3" s="10" t="inlineStr">
        <is>
          <t>Budget</t>
        </is>
      </c>
      <c r="C3" s="10" t="inlineStr">
        <is>
          <t>Actual</t>
        </is>
      </c>
      <c r="D3" s="10" t="inlineStr">
        <is>
          <t>Variación</t>
        </is>
      </c>
      <c r="E3" s="10" t="inlineStr">
        <is>
          <t>Var %</t>
        </is>
      </c>
    </row>
    <row r="4">
      <c r="A4" s="25" t="inlineStr">
        <is>
          <t>Total Revenue</t>
        </is>
      </c>
      <c r="B4" s="12">
        <f>Budget!G9</f>
        <v/>
      </c>
      <c r="C4" s="12">
        <f>'Actual (ST)'!G9</f>
        <v/>
      </c>
      <c r="D4" s="12">
        <f>C4-B4</f>
        <v/>
      </c>
      <c r="E4" s="20">
        <f>IF(B4=0,"",D4/ABS(B4))</f>
        <v/>
      </c>
    </row>
    <row r="5">
      <c r="A5" s="25" t="inlineStr">
        <is>
          <t>Fuel</t>
        </is>
      </c>
      <c r="B5" s="12">
        <f>Budget!G11</f>
        <v/>
      </c>
      <c r="C5" s="12">
        <f>'Actual (ST)'!G11</f>
        <v/>
      </c>
      <c r="D5" s="12">
        <f>C5-B5</f>
        <v/>
      </c>
      <c r="E5" s="20">
        <f>IF(B5=0,"",D5/ABS(B5))</f>
        <v/>
      </c>
    </row>
    <row r="6">
      <c r="A6" s="25" t="inlineStr">
        <is>
          <t>Crew</t>
        </is>
      </c>
      <c r="B6" s="12">
        <f>Budget!G12</f>
        <v/>
      </c>
      <c r="C6" s="12">
        <f>'Actual (ST)'!G12</f>
        <v/>
      </c>
      <c r="D6" s="12">
        <f>C6-B6</f>
        <v/>
      </c>
      <c r="E6" s="20">
        <f>IF(B6=0,"",D6/ABS(B6))</f>
        <v/>
      </c>
    </row>
    <row r="7">
      <c r="A7" s="25" t="inlineStr">
        <is>
          <t>Maintenance</t>
        </is>
      </c>
      <c r="B7" s="12">
        <f>Budget!G13</f>
        <v/>
      </c>
      <c r="C7" s="12">
        <f>'Actual (ST)'!G13</f>
        <v/>
      </c>
      <c r="D7" s="12">
        <f>C7-B7</f>
        <v/>
      </c>
      <c r="E7" s="20">
        <f>IF(B7=0,"",D7/ABS(B7))</f>
        <v/>
      </c>
    </row>
    <row r="8">
      <c r="A8" s="25" t="inlineStr">
        <is>
          <t>Airport &amp; Navigation</t>
        </is>
      </c>
      <c r="B8" s="12">
        <f>Budget!G14</f>
        <v/>
      </c>
      <c r="C8" s="12">
        <f>'Actual (ST)'!G14</f>
        <v/>
      </c>
      <c r="D8" s="12">
        <f>C8-B8</f>
        <v/>
      </c>
      <c r="E8" s="20">
        <f>IF(B8=0,"",D8/ABS(B8))</f>
        <v/>
      </c>
    </row>
    <row r="9">
      <c r="A9" s="25" t="inlineStr">
        <is>
          <t>Handling</t>
        </is>
      </c>
      <c r="B9" s="12">
        <f>Budget!G15</f>
        <v/>
      </c>
      <c r="C9" s="12">
        <f>'Actual (ST)'!G15</f>
        <v/>
      </c>
      <c r="D9" s="12">
        <f>C9-B9</f>
        <v/>
      </c>
      <c r="E9" s="20">
        <f>IF(B9=0,"",D9/ABS(B9))</f>
        <v/>
      </c>
    </row>
    <row r="10">
      <c r="A10" s="25" t="inlineStr">
        <is>
          <t>Sales &amp; Distribution</t>
        </is>
      </c>
      <c r="B10" s="12">
        <f>Budget!G16</f>
        <v/>
      </c>
      <c r="C10" s="12">
        <f>'Actual (ST)'!G16</f>
        <v/>
      </c>
      <c r="D10" s="12">
        <f>C10-B10</f>
        <v/>
      </c>
      <c r="E10" s="20">
        <f>IF(B10=0,"",D10/ABS(B10))</f>
        <v/>
      </c>
    </row>
    <row r="11">
      <c r="A11" s="25" t="inlineStr">
        <is>
          <t>G&amp;A</t>
        </is>
      </c>
      <c r="B11" s="12">
        <f>Budget!G17</f>
        <v/>
      </c>
      <c r="C11" s="12">
        <f>'Actual (ST)'!G17</f>
        <v/>
      </c>
      <c r="D11" s="12">
        <f>C11-B11</f>
        <v/>
      </c>
      <c r="E11" s="20">
        <f>IF(B11=0,"",D11/ABS(B11))</f>
        <v/>
      </c>
    </row>
    <row r="12">
      <c r="A12" s="25" t="inlineStr">
        <is>
          <t>EBITDA</t>
        </is>
      </c>
      <c r="B12" s="12">
        <f>Budget!G18</f>
        <v/>
      </c>
      <c r="C12" s="12">
        <f>'Actual (ST)'!G18</f>
        <v/>
      </c>
      <c r="D12" s="12">
        <f>C12-B12</f>
        <v/>
      </c>
      <c r="E12" s="20">
        <f>IF(B12=0,"",D12/ABS(B12))</f>
        <v/>
      </c>
    </row>
    <row r="13">
      <c r="A13" s="25" t="inlineStr">
        <is>
          <t>EBT / Neto</t>
        </is>
      </c>
      <c r="B13" s="12">
        <f>Budget!G21</f>
        <v/>
      </c>
      <c r="C13" s="12">
        <f>'Actual (ST)'!G21</f>
        <v/>
      </c>
      <c r="D13" s="12">
        <f>C13-B13</f>
        <v/>
      </c>
      <c r="E13" s="20">
        <f>IF(B13=0,"",D13/ABS(B13))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7" t="inlineStr">
        <is>
          <t>PUENTE P&amp;L → CAJA (€k) — parte del EBITDA y baja a caja vía circulante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3">
      <c r="A3" s="9" t="inlineStr">
        <is>
          <t>Concepto</t>
        </is>
      </c>
      <c r="B3" s="10" t="inlineStr">
        <is>
          <t>Ene</t>
        </is>
      </c>
      <c r="C3" s="10" t="inlineStr">
        <is>
          <t>Feb</t>
        </is>
      </c>
      <c r="D3" s="10" t="inlineStr">
        <is>
          <t>Mar</t>
        </is>
      </c>
      <c r="E3" s="10" t="inlineStr">
        <is>
          <t>Abr</t>
        </is>
      </c>
      <c r="F3" s="10" t="inlineStr">
        <is>
          <t>May</t>
        </is>
      </c>
      <c r="G3" s="10" t="inlineStr">
        <is>
          <t>Jun</t>
        </is>
      </c>
      <c r="H3" s="10" t="inlineStr">
        <is>
          <t>Jul</t>
        </is>
      </c>
      <c r="I3" s="10" t="inlineStr">
        <is>
          <t>Ago</t>
        </is>
      </c>
      <c r="J3" s="10" t="inlineStr">
        <is>
          <t>Sep</t>
        </is>
      </c>
      <c r="K3" s="10" t="inlineStr">
        <is>
          <t>Oct</t>
        </is>
      </c>
      <c r="L3" s="10" t="inlineStr">
        <is>
          <t>Nov</t>
        </is>
      </c>
      <c r="M3" s="10" t="inlineStr">
        <is>
          <t>Dic</t>
        </is>
      </c>
    </row>
    <row r="4">
      <c r="A4" s="9" t="inlineStr">
        <is>
          <t>SALDOS DE BALANCE (€k)  ·  pega aquí del ST cada mes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</row>
    <row r="5">
      <c r="A5" s="26" t="inlineStr">
        <is>
          <t>Trade &amp; Other Receivables (saldo)</t>
        </is>
      </c>
      <c r="B5" s="12" t="n"/>
      <c r="C5" s="12" t="n"/>
      <c r="D5" s="12" t="n"/>
      <c r="E5" s="12" t="n"/>
      <c r="F5" s="12" t="n">
        <v>62049</v>
      </c>
      <c r="G5" s="12" t="n">
        <v>64297</v>
      </c>
      <c r="H5" s="12" t="n"/>
      <c r="I5" s="12" t="n"/>
      <c r="J5" s="12" t="n"/>
      <c r="K5" s="12" t="n"/>
      <c r="L5" s="12" t="n"/>
      <c r="M5" s="12" t="n"/>
    </row>
    <row r="6">
      <c r="A6" s="26" t="inlineStr">
        <is>
          <t>Trade Payables &amp; Accruals c/p (saldo)</t>
        </is>
      </c>
      <c r="B6" s="12" t="n"/>
      <c r="C6" s="12" t="n"/>
      <c r="D6" s="12" t="n"/>
      <c r="E6" s="12" t="n"/>
      <c r="F6" s="12" t="n">
        <v>278212</v>
      </c>
      <c r="G6" s="12" t="n">
        <v>282393</v>
      </c>
      <c r="H6" s="12" t="n"/>
      <c r="I6" s="12" t="n"/>
      <c r="J6" s="12" t="n"/>
      <c r="K6" s="12" t="n"/>
      <c r="L6" s="12" t="n"/>
      <c r="M6" s="12" t="n"/>
    </row>
    <row r="7">
      <c r="A7" s="26" t="inlineStr">
        <is>
          <t>Accruals l/p (saldo)</t>
        </is>
      </c>
      <c r="B7" s="12" t="n"/>
      <c r="C7" s="12" t="n"/>
      <c r="D7" s="12" t="n"/>
      <c r="E7" s="12" t="n"/>
      <c r="F7" s="12" t="n">
        <v>17873</v>
      </c>
      <c r="G7" s="12" t="n">
        <v>17789</v>
      </c>
      <c r="H7" s="12" t="n"/>
      <c r="I7" s="12" t="n"/>
      <c r="J7" s="12" t="n"/>
      <c r="K7" s="12" t="n"/>
      <c r="L7" s="12" t="n"/>
      <c r="M7" s="12" t="n"/>
    </row>
    <row r="8">
      <c r="A8" s="26" t="inlineStr">
        <is>
          <t>Deferred Income - air traffic liab. (saldo)</t>
        </is>
      </c>
      <c r="B8" s="12" t="n"/>
      <c r="C8" s="12" t="n"/>
      <c r="D8" s="12" t="n"/>
      <c r="E8" s="12" t="n"/>
      <c r="F8" s="12" t="n">
        <v>195738</v>
      </c>
      <c r="G8" s="12" t="n">
        <v>190268</v>
      </c>
      <c r="H8" s="12" t="n"/>
      <c r="I8" s="12" t="n"/>
      <c r="J8" s="12" t="n"/>
      <c r="K8" s="12" t="n"/>
      <c r="L8" s="12" t="n"/>
      <c r="M8" s="12" t="n"/>
    </row>
    <row r="9">
      <c r="A9" s="26" t="inlineStr">
        <is>
          <t>Cash &amp; Cash Equivalents (saldo)</t>
        </is>
      </c>
      <c r="B9" s="12" t="n"/>
      <c r="C9" s="12" t="n"/>
      <c r="D9" s="12" t="n"/>
      <c r="E9" s="12" t="n"/>
      <c r="F9" s="12" t="n">
        <v>68882</v>
      </c>
      <c r="G9" s="12" t="n">
        <v>54179</v>
      </c>
      <c r="H9" s="12" t="n"/>
      <c r="I9" s="12" t="n"/>
      <c r="J9" s="12" t="n"/>
      <c r="K9" s="12" t="n"/>
      <c r="L9" s="12" t="n"/>
      <c r="M9" s="12" t="n"/>
    </row>
    <row r="11">
      <c r="A11" s="9" t="inlineStr">
        <is>
          <t>PUENTE P&amp;L → CAJA (€k)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</row>
    <row r="12">
      <c r="A12" s="27" t="inlineStr">
        <is>
          <t>EBITDA (desde P&amp;L Actual)</t>
        </is>
      </c>
      <c r="B12" s="12">
        <f>'Actual (ST)'!B18/1000</f>
        <v/>
      </c>
      <c r="C12" s="12">
        <f>'Actual (ST)'!C18/1000</f>
        <v/>
      </c>
      <c r="D12" s="12">
        <f>'Actual (ST)'!D18/1000</f>
        <v/>
      </c>
      <c r="E12" s="12">
        <f>'Actual (ST)'!E18/1000</f>
        <v/>
      </c>
      <c r="F12" s="12">
        <f>'Actual (ST)'!F18/1000</f>
        <v/>
      </c>
      <c r="G12" s="12">
        <f>'Actual (ST)'!G18/1000</f>
        <v/>
      </c>
      <c r="H12" s="12">
        <f>'Actual (ST)'!H18/1000</f>
        <v/>
      </c>
      <c r="I12" s="12">
        <f>'Actual (ST)'!I18/1000</f>
        <v/>
      </c>
      <c r="J12" s="12">
        <f>'Actual (ST)'!J18/1000</f>
        <v/>
      </c>
      <c r="K12" s="12">
        <f>'Actual (ST)'!K18/1000</f>
        <v/>
      </c>
      <c r="L12" s="12">
        <f>'Actual (ST)'!L18/1000</f>
        <v/>
      </c>
      <c r="M12" s="12">
        <f>'Actual (ST)'!M18/1000</f>
        <v/>
      </c>
    </row>
    <row r="13">
      <c r="A13" s="26" t="inlineStr">
        <is>
          <t>(−) Δ Trade Receivables</t>
        </is>
      </c>
      <c r="B13" s="28" t="n"/>
      <c r="C13" s="12">
        <f>-(C5-B5)</f>
        <v/>
      </c>
      <c r="D13" s="12">
        <f>-(D5-C5)</f>
        <v/>
      </c>
      <c r="E13" s="12">
        <f>-(E5-D5)</f>
        <v/>
      </c>
      <c r="F13" s="12">
        <f>-(F5-E5)</f>
        <v/>
      </c>
      <c r="G13" s="12">
        <f>-(G5-F5)</f>
        <v/>
      </c>
      <c r="H13" s="12">
        <f>-(H5-G5)</f>
        <v/>
      </c>
      <c r="I13" s="12">
        <f>-(I5-H5)</f>
        <v/>
      </c>
      <c r="J13" s="12">
        <f>-(J5-I5)</f>
        <v/>
      </c>
      <c r="K13" s="12">
        <f>-(K5-J5)</f>
        <v/>
      </c>
      <c r="L13" s="12">
        <f>-(L5-K5)</f>
        <v/>
      </c>
      <c r="M13" s="12">
        <f>-(M5-L5)</f>
        <v/>
      </c>
    </row>
    <row r="14">
      <c r="A14" s="26" t="inlineStr">
        <is>
          <t>(+) Δ Trade Payables &amp; Accruals</t>
        </is>
      </c>
      <c r="B14" s="28" t="n"/>
      <c r="C14" s="12">
        <f>(C6-B6)</f>
        <v/>
      </c>
      <c r="D14" s="12">
        <f>(D6-C6)</f>
        <v/>
      </c>
      <c r="E14" s="12">
        <f>(E6-D6)</f>
        <v/>
      </c>
      <c r="F14" s="12">
        <f>(F6-E6)</f>
        <v/>
      </c>
      <c r="G14" s="12">
        <f>(G6-F6)</f>
        <v/>
      </c>
      <c r="H14" s="12">
        <f>(H6-G6)</f>
        <v/>
      </c>
      <c r="I14" s="12">
        <f>(I6-H6)</f>
        <v/>
      </c>
      <c r="J14" s="12">
        <f>(J6-I6)</f>
        <v/>
      </c>
      <c r="K14" s="12">
        <f>(K6-J6)</f>
        <v/>
      </c>
      <c r="L14" s="12">
        <f>(L6-K6)</f>
        <v/>
      </c>
      <c r="M14" s="12">
        <f>(M6-L6)</f>
        <v/>
      </c>
    </row>
    <row r="15">
      <c r="A15" s="26" t="inlineStr">
        <is>
          <t>(+) Δ Accruals l/p</t>
        </is>
      </c>
      <c r="B15" s="28" t="n"/>
      <c r="C15" s="12">
        <f>(C7-B7)</f>
        <v/>
      </c>
      <c r="D15" s="12">
        <f>(D7-C7)</f>
        <v/>
      </c>
      <c r="E15" s="12">
        <f>(E7-D7)</f>
        <v/>
      </c>
      <c r="F15" s="12">
        <f>(F7-E7)</f>
        <v/>
      </c>
      <c r="G15" s="12">
        <f>(G7-F7)</f>
        <v/>
      </c>
      <c r="H15" s="12">
        <f>(H7-G7)</f>
        <v/>
      </c>
      <c r="I15" s="12">
        <f>(I7-H7)</f>
        <v/>
      </c>
      <c r="J15" s="12">
        <f>(J7-I7)</f>
        <v/>
      </c>
      <c r="K15" s="12">
        <f>(K7-J7)</f>
        <v/>
      </c>
      <c r="L15" s="12">
        <f>(L7-K7)</f>
        <v/>
      </c>
      <c r="M15" s="12">
        <f>(M7-L7)</f>
        <v/>
      </c>
    </row>
    <row r="16">
      <c r="A16" s="26" t="inlineStr">
        <is>
          <t>(+) Δ Deferred Income</t>
        </is>
      </c>
      <c r="B16" s="28" t="n"/>
      <c r="C16" s="12">
        <f>(C8-B8)</f>
        <v/>
      </c>
      <c r="D16" s="12">
        <f>(D8-C8)</f>
        <v/>
      </c>
      <c r="E16" s="12">
        <f>(E8-D8)</f>
        <v/>
      </c>
      <c r="F16" s="12">
        <f>(F8-E8)</f>
        <v/>
      </c>
      <c r="G16" s="12">
        <f>(G8-F8)</f>
        <v/>
      </c>
      <c r="H16" s="12">
        <f>(H8-G8)</f>
        <v/>
      </c>
      <c r="I16" s="12">
        <f>(I8-H8)</f>
        <v/>
      </c>
      <c r="J16" s="12">
        <f>(J8-I8)</f>
        <v/>
      </c>
      <c r="K16" s="12">
        <f>(K8-J8)</f>
        <v/>
      </c>
      <c r="L16" s="12">
        <f>(L8-K8)</f>
        <v/>
      </c>
      <c r="M16" s="12">
        <f>(M8-L8)</f>
        <v/>
      </c>
    </row>
    <row r="17">
      <c r="A17" s="29">
        <f> Variación Capital Circulante</f>
        <v/>
      </c>
      <c r="B17" s="30" t="n"/>
      <c r="C17" s="15">
        <f>SUM(C13:C16)</f>
        <v/>
      </c>
      <c r="D17" s="15">
        <f>SUM(D13:D16)</f>
        <v/>
      </c>
      <c r="E17" s="15">
        <f>SUM(E13:E16)</f>
        <v/>
      </c>
      <c r="F17" s="15">
        <f>SUM(F13:F16)</f>
        <v/>
      </c>
      <c r="G17" s="15">
        <f>SUM(G13:G16)</f>
        <v/>
      </c>
      <c r="H17" s="15">
        <f>SUM(H13:H16)</f>
        <v/>
      </c>
      <c r="I17" s="15">
        <f>SUM(I13:I16)</f>
        <v/>
      </c>
      <c r="J17" s="15">
        <f>SUM(J13:J16)</f>
        <v/>
      </c>
      <c r="K17" s="15">
        <f>SUM(K13:K16)</f>
        <v/>
      </c>
      <c r="L17" s="15">
        <f>SUM(L13:L16)</f>
        <v/>
      </c>
      <c r="M17" s="15">
        <f>SUM(M13:M16)</f>
        <v/>
      </c>
      <c r="N17" s="29" t="n"/>
    </row>
    <row r="18">
      <c r="A18" s="16">
        <f> CASH FLOW OPERATIVO (EBITDA + circulante)</f>
        <v/>
      </c>
      <c r="B18" s="31" t="n"/>
      <c r="C18" s="17">
        <f>C12+C17</f>
        <v/>
      </c>
      <c r="D18" s="17">
        <f>D12+D17</f>
        <v/>
      </c>
      <c r="E18" s="17">
        <f>E12+E17</f>
        <v/>
      </c>
      <c r="F18" s="17">
        <f>F12+F17</f>
        <v/>
      </c>
      <c r="G18" s="17">
        <f>G12+G17</f>
        <v/>
      </c>
      <c r="H18" s="17">
        <f>H12+H17</f>
        <v/>
      </c>
      <c r="I18" s="17">
        <f>I12+I17</f>
        <v/>
      </c>
      <c r="J18" s="17">
        <f>J12+J17</f>
        <v/>
      </c>
      <c r="K18" s="17">
        <f>K12+K17</f>
        <v/>
      </c>
      <c r="L18" s="17">
        <f>L12+L17</f>
        <v/>
      </c>
      <c r="M18" s="17">
        <f>M12+M17</f>
        <v/>
      </c>
      <c r="N18" s="16" t="n"/>
    </row>
    <row r="19">
      <c r="A19" s="27" t="inlineStr">
        <is>
          <t>Δ Caja real (balance)</t>
        </is>
      </c>
      <c r="B19" s="25" t="n"/>
      <c r="C19" s="13">
        <f>(C9-B9)</f>
        <v/>
      </c>
      <c r="D19" s="13">
        <f>(D9-C9)</f>
        <v/>
      </c>
      <c r="E19" s="13">
        <f>(E9-D9)</f>
        <v/>
      </c>
      <c r="F19" s="13">
        <f>(F9-E9)</f>
        <v/>
      </c>
      <c r="G19" s="13">
        <f>(G9-F9)</f>
        <v/>
      </c>
      <c r="H19" s="13">
        <f>(H9-G9)</f>
        <v/>
      </c>
      <c r="I19" s="13">
        <f>(I9-H9)</f>
        <v/>
      </c>
      <c r="J19" s="13">
        <f>(J9-I9)</f>
        <v/>
      </c>
      <c r="K19" s="13">
        <f>(K9-J9)</f>
        <v/>
      </c>
      <c r="L19" s="13">
        <f>(L9-K9)</f>
        <v/>
      </c>
      <c r="M19" s="13">
        <f>(M9-L9)</f>
        <v/>
      </c>
      <c r="N19" s="27" t="n"/>
    </row>
    <row r="20">
      <c r="A20" s="32" t="inlineStr">
        <is>
          <t>(=) Otros: financiación, leasing, capex, impuestos, intereses</t>
        </is>
      </c>
      <c r="B20" s="33" t="n"/>
      <c r="C20" s="34">
        <f>C19-C18</f>
        <v/>
      </c>
      <c r="D20" s="34">
        <f>D19-D18</f>
        <v/>
      </c>
      <c r="E20" s="34">
        <f>E19-E18</f>
        <v/>
      </c>
      <c r="F20" s="34">
        <f>F19-F18</f>
        <v/>
      </c>
      <c r="G20" s="34">
        <f>G19-G18</f>
        <v/>
      </c>
      <c r="H20" s="34">
        <f>H19-H18</f>
        <v/>
      </c>
      <c r="I20" s="34">
        <f>I19-I18</f>
        <v/>
      </c>
      <c r="J20" s="34">
        <f>J19-J18</f>
        <v/>
      </c>
      <c r="K20" s="34">
        <f>K19-K18</f>
        <v/>
      </c>
      <c r="L20" s="34">
        <f>L19-L18</f>
        <v/>
      </c>
      <c r="M20" s="34">
        <f>M19-M18</f>
        <v/>
      </c>
      <c r="N20" s="35" t="n"/>
    </row>
    <row r="23">
      <c r="A23" s="36" t="inlineStr">
        <is>
          <t>CÓMO USARLA: cada mes, pega los 5 saldos de balance del ST en la columna del mes (fila 5-9).</t>
        </is>
      </c>
    </row>
    <row r="24">
      <c r="A24" s="36" t="inlineStr">
        <is>
          <t>El puente (fila 12-20) se recalcula solo: EBITDA + Δcirculante = Cash Flow Operativo; y concilia con la Δ de caja real.</t>
        </is>
      </c>
    </row>
    <row r="25">
      <c r="A25" s="36" t="inlineStr">
        <is>
          <t>Signos (efecto en CAJA): activo ↑ = caja ↓ (Receivables). Pasivo ↑ = caja ↑ (Payables, Accruals, Deferred Income).</t>
        </is>
      </c>
    </row>
    <row r="26">
      <c r="A26" s="36" t="inlineStr">
        <is>
          <t>'Otros' = todo lo que hay bajo EBITDA y fuera de circulante (deuda, leasing IFRS16, capex, impuestos, intereses).</t>
        </is>
      </c>
    </row>
  </sheetData>
  <mergeCells count="5">
    <mergeCell ref="A26:N26"/>
    <mergeCell ref="A24:N24"/>
    <mergeCell ref="A25:N25"/>
    <mergeCell ref="A23:N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2026-07-14T09:28:50Z</dcterms:created>
  <dcterms:modified xsi:type="dcterms:W3CDTF">2026-07-14T10:17:36Z</dcterms:modified>
</cp:coreProperties>
</file>